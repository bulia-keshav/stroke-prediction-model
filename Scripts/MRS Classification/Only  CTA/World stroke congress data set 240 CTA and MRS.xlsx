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Programs\Bharti Internship\Scripts\MRS Classification\Only  CTA\"/>
    </mc:Choice>
  </mc:AlternateContent>
  <xr:revisionPtr revIDLastSave="0" documentId="13_ncr:1_{D0B4C620-2B37-431D-B28B-6B151B228B45}" xr6:coauthVersionLast="47" xr6:coauthVersionMax="47" xr10:uidLastSave="{00000000-0000-0000-0000-000000000000}"/>
  <bookViews>
    <workbookView xWindow="-120" yWindow="-120" windowWidth="29040" windowHeight="16440" activeTab="2" xr2:uid="{00000000-000D-0000-FFFF-FFFF00000000}"/>
  </bookViews>
  <sheets>
    <sheet name="CT unable to download" sheetId="4" r:id="rId1"/>
    <sheet name="MRI unable to download" sheetId="3" r:id="rId2"/>
    <sheet name="Dr Dulari Data Entry_21_feb_202" sheetId="1" r:id="rId3"/>
    <sheet name="Collateral Calc" sheetId="9" r:id="rId4"/>
    <sheet name="CORREL-MRS-CBS-NIHSS" sheetId="10" r:id="rId5"/>
    <sheet name="Sheet9" sheetId="13" r:id="rId6"/>
    <sheet name="CHI SQ CALC" sheetId="14" r:id="rId7"/>
    <sheet name="Chi Sq raw" sheetId="11" r:id="rId8"/>
    <sheet name="Correl - raw data" sheetId="5" r:id="rId9"/>
    <sheet name="MRI MRS CTA completed" sheetId="2" r:id="rId10"/>
  </sheets>
  <definedNames>
    <definedName name="_xlnm._FilterDatabase" localSheetId="3" hidden="1">'Collateral Calc'!$A$3:$D$187</definedName>
    <definedName name="_xlnm._FilterDatabase" localSheetId="8" hidden="1">'Correl - raw data'!$A$1:$A$239</definedName>
    <definedName name="_xlnm._FilterDatabase" localSheetId="2" hidden="1">'Dr Dulari Data Entry_21_feb_202'!$C$2:$C$241</definedName>
    <definedName name="_xlnm._FilterDatabase" localSheetId="9" hidden="1">'MRI MRS CTA completed'!$A$2:$BY$209</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14" l="1"/>
  <c r="N14" i="14"/>
  <c r="N16" i="14" s="1"/>
  <c r="O10" i="14"/>
  <c r="N10" i="14"/>
  <c r="O9" i="14"/>
  <c r="N9" i="14"/>
  <c r="G6" i="13"/>
  <c r="F6" i="13"/>
  <c r="F7" i="13" s="1"/>
  <c r="G5" i="13"/>
  <c r="G7" i="13" s="1"/>
  <c r="F5" i="13"/>
  <c r="L7" i="10"/>
  <c r="M7" i="10" s="1"/>
  <c r="L6" i="10"/>
  <c r="M6" i="10" s="1"/>
  <c r="L5" i="10"/>
  <c r="M5" i="10" s="1"/>
  <c r="H5" i="13" l="1"/>
  <c r="H7" i="13" s="1"/>
  <c r="H6" i="13"/>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C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B1" i="5"/>
  <c r="B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241"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I186" i="9"/>
  <c r="H186" i="9"/>
  <c r="G186" i="9"/>
  <c r="F186" i="9"/>
  <c r="E186" i="9"/>
  <c r="I185" i="9"/>
  <c r="H185" i="9"/>
  <c r="G185" i="9"/>
  <c r="F185" i="9"/>
  <c r="E185" i="9"/>
  <c r="I184" i="9"/>
  <c r="H184" i="9"/>
  <c r="G184" i="9"/>
  <c r="F184" i="9"/>
  <c r="E184" i="9"/>
  <c r="I183" i="9"/>
  <c r="H183" i="9"/>
  <c r="G183" i="9"/>
  <c r="F183" i="9"/>
  <c r="E183" i="9"/>
  <c r="I182" i="9"/>
  <c r="H182" i="9"/>
  <c r="G182" i="9"/>
  <c r="F182" i="9"/>
  <c r="E182" i="9"/>
  <c r="I181" i="9"/>
  <c r="H181" i="9"/>
  <c r="G181" i="9"/>
  <c r="F181" i="9"/>
  <c r="E181" i="9"/>
  <c r="I180" i="9"/>
  <c r="H180" i="9"/>
  <c r="G180" i="9"/>
  <c r="F180" i="9"/>
  <c r="E180" i="9"/>
  <c r="I179" i="9"/>
  <c r="H179" i="9"/>
  <c r="G179" i="9"/>
  <c r="F179" i="9"/>
  <c r="E179" i="9"/>
  <c r="I178" i="9"/>
  <c r="H178" i="9"/>
  <c r="G178" i="9"/>
  <c r="F178" i="9"/>
  <c r="E178" i="9"/>
  <c r="I177" i="9"/>
  <c r="H177" i="9"/>
  <c r="G177" i="9"/>
  <c r="F177" i="9"/>
  <c r="E177" i="9"/>
  <c r="I176" i="9"/>
  <c r="H176" i="9"/>
  <c r="G176" i="9"/>
  <c r="F176" i="9"/>
  <c r="E176" i="9"/>
  <c r="I175" i="9"/>
  <c r="H175" i="9"/>
  <c r="G175" i="9"/>
  <c r="F175" i="9"/>
  <c r="E175" i="9"/>
  <c r="I174" i="9"/>
  <c r="H174" i="9"/>
  <c r="G174" i="9"/>
  <c r="F174" i="9"/>
  <c r="E174" i="9"/>
  <c r="I173" i="9"/>
  <c r="H173" i="9"/>
  <c r="G173" i="9"/>
  <c r="F173" i="9"/>
  <c r="E173" i="9"/>
  <c r="I172" i="9"/>
  <c r="H172" i="9"/>
  <c r="G172" i="9"/>
  <c r="F172" i="9"/>
  <c r="E172" i="9"/>
  <c r="I171" i="9"/>
  <c r="H171" i="9"/>
  <c r="G171" i="9"/>
  <c r="F171" i="9"/>
  <c r="E171" i="9"/>
  <c r="I170" i="9"/>
  <c r="H170" i="9"/>
  <c r="G170" i="9"/>
  <c r="F170" i="9"/>
  <c r="E170" i="9"/>
  <c r="I169" i="9"/>
  <c r="H169" i="9"/>
  <c r="G169" i="9"/>
  <c r="F169" i="9"/>
  <c r="E169" i="9"/>
  <c r="I168" i="9"/>
  <c r="H168" i="9"/>
  <c r="G168" i="9"/>
  <c r="F168" i="9"/>
  <c r="E168" i="9"/>
  <c r="I167" i="9"/>
  <c r="H167" i="9"/>
  <c r="G167" i="9"/>
  <c r="F167" i="9"/>
  <c r="E167" i="9"/>
  <c r="I166" i="9"/>
  <c r="H166" i="9"/>
  <c r="G166" i="9"/>
  <c r="F166" i="9"/>
  <c r="E166" i="9"/>
  <c r="I165" i="9"/>
  <c r="H165" i="9"/>
  <c r="G165" i="9"/>
  <c r="F165" i="9"/>
  <c r="E165" i="9"/>
  <c r="I164" i="9"/>
  <c r="H164" i="9"/>
  <c r="G164" i="9"/>
  <c r="F164" i="9"/>
  <c r="E164" i="9"/>
  <c r="I163" i="9"/>
  <c r="H163" i="9"/>
  <c r="G163" i="9"/>
  <c r="F163" i="9"/>
  <c r="E163" i="9"/>
  <c r="I162" i="9"/>
  <c r="H162" i="9"/>
  <c r="G162" i="9"/>
  <c r="F162" i="9"/>
  <c r="E162" i="9"/>
  <c r="I161" i="9"/>
  <c r="H161" i="9"/>
  <c r="G161" i="9"/>
  <c r="F161" i="9"/>
  <c r="E161" i="9"/>
  <c r="I160" i="9"/>
  <c r="H160" i="9"/>
  <c r="G160" i="9"/>
  <c r="F160" i="9"/>
  <c r="E160" i="9"/>
  <c r="I159" i="9"/>
  <c r="H159" i="9"/>
  <c r="G159" i="9"/>
  <c r="F159" i="9"/>
  <c r="E159" i="9"/>
  <c r="I158" i="9"/>
  <c r="H158" i="9"/>
  <c r="G158" i="9"/>
  <c r="F158" i="9"/>
  <c r="E158" i="9"/>
  <c r="I157" i="9"/>
  <c r="H157" i="9"/>
  <c r="G157" i="9"/>
  <c r="F157" i="9"/>
  <c r="E157" i="9"/>
  <c r="I156" i="9"/>
  <c r="H156" i="9"/>
  <c r="G156" i="9"/>
  <c r="F156" i="9"/>
  <c r="E156" i="9"/>
  <c r="I155" i="9"/>
  <c r="H155" i="9"/>
  <c r="G155" i="9"/>
  <c r="F155" i="9"/>
  <c r="E155" i="9"/>
  <c r="I154" i="9"/>
  <c r="H154" i="9"/>
  <c r="G154" i="9"/>
  <c r="F154" i="9"/>
  <c r="E154" i="9"/>
  <c r="I153" i="9"/>
  <c r="H153" i="9"/>
  <c r="G153" i="9"/>
  <c r="F153" i="9"/>
  <c r="E153" i="9"/>
  <c r="I152" i="9"/>
  <c r="H152" i="9"/>
  <c r="G152" i="9"/>
  <c r="F152" i="9"/>
  <c r="E152" i="9"/>
  <c r="I151" i="9"/>
  <c r="H151" i="9"/>
  <c r="G151" i="9"/>
  <c r="F151" i="9"/>
  <c r="E151" i="9"/>
  <c r="I150" i="9"/>
  <c r="H150" i="9"/>
  <c r="G150" i="9"/>
  <c r="F150" i="9"/>
  <c r="E150" i="9"/>
  <c r="I149" i="9"/>
  <c r="H149" i="9"/>
  <c r="G149" i="9"/>
  <c r="F149" i="9"/>
  <c r="E149" i="9"/>
  <c r="I148" i="9"/>
  <c r="H148" i="9"/>
  <c r="G148" i="9"/>
  <c r="F148" i="9"/>
  <c r="E148" i="9"/>
  <c r="I147" i="9"/>
  <c r="H147" i="9"/>
  <c r="G147" i="9"/>
  <c r="F147" i="9"/>
  <c r="E147" i="9"/>
  <c r="I146" i="9"/>
  <c r="H146" i="9"/>
  <c r="G146" i="9"/>
  <c r="F146" i="9"/>
  <c r="E146" i="9"/>
  <c r="I145" i="9"/>
  <c r="H145" i="9"/>
  <c r="G145" i="9"/>
  <c r="F145" i="9"/>
  <c r="E145" i="9"/>
  <c r="I144" i="9"/>
  <c r="H144" i="9"/>
  <c r="G144" i="9"/>
  <c r="F144" i="9"/>
  <c r="E144" i="9"/>
  <c r="I143" i="9"/>
  <c r="H143" i="9"/>
  <c r="G143" i="9"/>
  <c r="F143" i="9"/>
  <c r="E143" i="9"/>
  <c r="I142" i="9"/>
  <c r="H142" i="9"/>
  <c r="G142" i="9"/>
  <c r="F142" i="9"/>
  <c r="E142" i="9"/>
  <c r="I141" i="9"/>
  <c r="H141" i="9"/>
  <c r="G141" i="9"/>
  <c r="F141" i="9"/>
  <c r="E141" i="9"/>
  <c r="I140" i="9"/>
  <c r="H140" i="9"/>
  <c r="G140" i="9"/>
  <c r="F140" i="9"/>
  <c r="E140" i="9"/>
  <c r="I139" i="9"/>
  <c r="H139" i="9"/>
  <c r="G139" i="9"/>
  <c r="F139" i="9"/>
  <c r="E139" i="9"/>
  <c r="I138" i="9"/>
  <c r="H138" i="9"/>
  <c r="G138" i="9"/>
  <c r="F138" i="9"/>
  <c r="E138" i="9"/>
  <c r="I137" i="9"/>
  <c r="H137" i="9"/>
  <c r="G137" i="9"/>
  <c r="F137" i="9"/>
  <c r="E137" i="9"/>
  <c r="I136" i="9"/>
  <c r="H136" i="9"/>
  <c r="G136" i="9"/>
  <c r="F136" i="9"/>
  <c r="E136" i="9"/>
  <c r="I135" i="9"/>
  <c r="H135" i="9"/>
  <c r="G135" i="9"/>
  <c r="F135" i="9"/>
  <c r="E135" i="9"/>
  <c r="I134" i="9"/>
  <c r="H134" i="9"/>
  <c r="G134" i="9"/>
  <c r="F134" i="9"/>
  <c r="E134" i="9"/>
  <c r="I133" i="9"/>
  <c r="H133" i="9"/>
  <c r="G133" i="9"/>
  <c r="F133" i="9"/>
  <c r="E133" i="9"/>
  <c r="I132" i="9"/>
  <c r="H132" i="9"/>
  <c r="G132" i="9"/>
  <c r="F132" i="9"/>
  <c r="E132" i="9"/>
  <c r="I131" i="9"/>
  <c r="H131" i="9"/>
  <c r="G131" i="9"/>
  <c r="F131" i="9"/>
  <c r="E131" i="9"/>
  <c r="I130" i="9"/>
  <c r="H130" i="9"/>
  <c r="G130" i="9"/>
  <c r="F130" i="9"/>
  <c r="E130" i="9"/>
  <c r="I129" i="9"/>
  <c r="H129" i="9"/>
  <c r="G129" i="9"/>
  <c r="F129" i="9"/>
  <c r="E129" i="9"/>
  <c r="I128" i="9"/>
  <c r="H128" i="9"/>
  <c r="G128" i="9"/>
  <c r="F128" i="9"/>
  <c r="E128" i="9"/>
  <c r="I127" i="9"/>
  <c r="H127" i="9"/>
  <c r="G127" i="9"/>
  <c r="F127" i="9"/>
  <c r="E127" i="9"/>
  <c r="I126" i="9"/>
  <c r="H126" i="9"/>
  <c r="G126" i="9"/>
  <c r="F126" i="9"/>
  <c r="E126" i="9"/>
  <c r="I125" i="9"/>
  <c r="H125" i="9"/>
  <c r="G125" i="9"/>
  <c r="F125" i="9"/>
  <c r="E125" i="9"/>
  <c r="I124" i="9"/>
  <c r="H124" i="9"/>
  <c r="G124" i="9"/>
  <c r="F124" i="9"/>
  <c r="E124" i="9"/>
  <c r="I123" i="9"/>
  <c r="H123" i="9"/>
  <c r="G123" i="9"/>
  <c r="F123" i="9"/>
  <c r="E123" i="9"/>
  <c r="I122" i="9"/>
  <c r="H122" i="9"/>
  <c r="G122" i="9"/>
  <c r="F122" i="9"/>
  <c r="E122" i="9"/>
  <c r="I121" i="9"/>
  <c r="H121" i="9"/>
  <c r="G121" i="9"/>
  <c r="F121" i="9"/>
  <c r="E121" i="9"/>
  <c r="I120" i="9"/>
  <c r="H120" i="9"/>
  <c r="G120" i="9"/>
  <c r="F120" i="9"/>
  <c r="E120" i="9"/>
  <c r="I119" i="9"/>
  <c r="H119" i="9"/>
  <c r="G119" i="9"/>
  <c r="F119" i="9"/>
  <c r="E119" i="9"/>
  <c r="I118" i="9"/>
  <c r="H118" i="9"/>
  <c r="G118" i="9"/>
  <c r="F118" i="9"/>
  <c r="E118" i="9"/>
  <c r="I117" i="9"/>
  <c r="H117" i="9"/>
  <c r="G117" i="9"/>
  <c r="F117" i="9"/>
  <c r="E117" i="9"/>
  <c r="I116" i="9"/>
  <c r="H116" i="9"/>
  <c r="G116" i="9"/>
  <c r="F116" i="9"/>
  <c r="E116" i="9"/>
  <c r="I115" i="9"/>
  <c r="H115" i="9"/>
  <c r="G115" i="9"/>
  <c r="F115" i="9"/>
  <c r="E115" i="9"/>
  <c r="I114" i="9"/>
  <c r="H114" i="9"/>
  <c r="G114" i="9"/>
  <c r="F114" i="9"/>
  <c r="E114" i="9"/>
  <c r="I113" i="9"/>
  <c r="H113" i="9"/>
  <c r="G113" i="9"/>
  <c r="F113" i="9"/>
  <c r="E113" i="9"/>
  <c r="I112" i="9"/>
  <c r="H112" i="9"/>
  <c r="G112" i="9"/>
  <c r="F112" i="9"/>
  <c r="E112" i="9"/>
  <c r="I111" i="9"/>
  <c r="H111" i="9"/>
  <c r="G111" i="9"/>
  <c r="F111" i="9"/>
  <c r="E111" i="9"/>
  <c r="I110" i="9"/>
  <c r="H110" i="9"/>
  <c r="G110" i="9"/>
  <c r="F110" i="9"/>
  <c r="E110" i="9"/>
  <c r="I109" i="9"/>
  <c r="H109" i="9"/>
  <c r="G109" i="9"/>
  <c r="F109" i="9"/>
  <c r="E109" i="9"/>
  <c r="I108" i="9"/>
  <c r="H108" i="9"/>
  <c r="G108" i="9"/>
  <c r="F108" i="9"/>
  <c r="E108" i="9"/>
  <c r="I107" i="9"/>
  <c r="H107" i="9"/>
  <c r="G107" i="9"/>
  <c r="F107" i="9"/>
  <c r="E107" i="9"/>
  <c r="I106" i="9"/>
  <c r="H106" i="9"/>
  <c r="G106" i="9"/>
  <c r="F106" i="9"/>
  <c r="E106" i="9"/>
  <c r="I105" i="9"/>
  <c r="H105" i="9"/>
  <c r="G105" i="9"/>
  <c r="F105" i="9"/>
  <c r="E105" i="9"/>
  <c r="I104" i="9"/>
  <c r="H104" i="9"/>
  <c r="G104" i="9"/>
  <c r="F104" i="9"/>
  <c r="E104" i="9"/>
  <c r="I103" i="9"/>
  <c r="H103" i="9"/>
  <c r="G103" i="9"/>
  <c r="F103" i="9"/>
  <c r="E103" i="9"/>
  <c r="I102" i="9"/>
  <c r="H102" i="9"/>
  <c r="G102" i="9"/>
  <c r="F102" i="9"/>
  <c r="E102" i="9"/>
  <c r="I101" i="9"/>
  <c r="H101" i="9"/>
  <c r="G101" i="9"/>
  <c r="F101" i="9"/>
  <c r="E101" i="9"/>
  <c r="I100" i="9"/>
  <c r="H100" i="9"/>
  <c r="G100" i="9"/>
  <c r="F100" i="9"/>
  <c r="E100" i="9"/>
  <c r="I99" i="9"/>
  <c r="H99" i="9"/>
  <c r="G99" i="9"/>
  <c r="F99" i="9"/>
  <c r="E99" i="9"/>
  <c r="I98" i="9"/>
  <c r="H98" i="9"/>
  <c r="G98" i="9"/>
  <c r="F98" i="9"/>
  <c r="E98" i="9"/>
  <c r="I97" i="9"/>
  <c r="H97" i="9"/>
  <c r="G97" i="9"/>
  <c r="F97" i="9"/>
  <c r="E97" i="9"/>
  <c r="I96" i="9"/>
  <c r="H96" i="9"/>
  <c r="G96" i="9"/>
  <c r="F96" i="9"/>
  <c r="E96" i="9"/>
  <c r="I95" i="9"/>
  <c r="H95" i="9"/>
  <c r="G95" i="9"/>
  <c r="F95" i="9"/>
  <c r="E95" i="9"/>
  <c r="I94" i="9"/>
  <c r="H94" i="9"/>
  <c r="G94" i="9"/>
  <c r="F94" i="9"/>
  <c r="E94" i="9"/>
  <c r="I93" i="9"/>
  <c r="H93" i="9"/>
  <c r="G93" i="9"/>
  <c r="F93" i="9"/>
  <c r="E93" i="9"/>
  <c r="I92" i="9"/>
  <c r="H92" i="9"/>
  <c r="G92" i="9"/>
  <c r="F92" i="9"/>
  <c r="E92" i="9"/>
  <c r="I91" i="9"/>
  <c r="H91" i="9"/>
  <c r="G91" i="9"/>
  <c r="F91" i="9"/>
  <c r="E91" i="9"/>
  <c r="I90" i="9"/>
  <c r="H90" i="9"/>
  <c r="G90" i="9"/>
  <c r="F90" i="9"/>
  <c r="E90" i="9"/>
  <c r="I89" i="9"/>
  <c r="H89" i="9"/>
  <c r="G89" i="9"/>
  <c r="F89" i="9"/>
  <c r="E89" i="9"/>
  <c r="I88" i="9"/>
  <c r="H88" i="9"/>
  <c r="G88" i="9"/>
  <c r="F88" i="9"/>
  <c r="E88" i="9"/>
  <c r="I87" i="9"/>
  <c r="H87" i="9"/>
  <c r="G87" i="9"/>
  <c r="F87" i="9"/>
  <c r="E87" i="9"/>
  <c r="I86" i="9"/>
  <c r="H86" i="9"/>
  <c r="G86" i="9"/>
  <c r="F86" i="9"/>
  <c r="E86" i="9"/>
  <c r="I85" i="9"/>
  <c r="H85" i="9"/>
  <c r="G85" i="9"/>
  <c r="F85" i="9"/>
  <c r="E85" i="9"/>
  <c r="I84" i="9"/>
  <c r="H84" i="9"/>
  <c r="G84" i="9"/>
  <c r="F84" i="9"/>
  <c r="E84" i="9"/>
  <c r="I83" i="9"/>
  <c r="H83" i="9"/>
  <c r="G83" i="9"/>
  <c r="F83" i="9"/>
  <c r="E83" i="9"/>
  <c r="I82" i="9"/>
  <c r="H82" i="9"/>
  <c r="G82" i="9"/>
  <c r="F82" i="9"/>
  <c r="E82" i="9"/>
  <c r="I81" i="9"/>
  <c r="H81" i="9"/>
  <c r="G81" i="9"/>
  <c r="F81" i="9"/>
  <c r="E81" i="9"/>
  <c r="I80" i="9"/>
  <c r="H80" i="9"/>
  <c r="G80" i="9"/>
  <c r="F80" i="9"/>
  <c r="E80" i="9"/>
  <c r="I79" i="9"/>
  <c r="H79" i="9"/>
  <c r="G79" i="9"/>
  <c r="F79" i="9"/>
  <c r="E79" i="9"/>
  <c r="I78" i="9"/>
  <c r="H78" i="9"/>
  <c r="G78" i="9"/>
  <c r="F78" i="9"/>
  <c r="E78" i="9"/>
  <c r="I77" i="9"/>
  <c r="H77" i="9"/>
  <c r="G77" i="9"/>
  <c r="F77" i="9"/>
  <c r="E77" i="9"/>
  <c r="I76" i="9"/>
  <c r="H76" i="9"/>
  <c r="G76" i="9"/>
  <c r="F76" i="9"/>
  <c r="E76" i="9"/>
  <c r="I75" i="9"/>
  <c r="H75" i="9"/>
  <c r="G75" i="9"/>
  <c r="F75" i="9"/>
  <c r="E75" i="9"/>
  <c r="I74" i="9"/>
  <c r="H74" i="9"/>
  <c r="G74" i="9"/>
  <c r="F74" i="9"/>
  <c r="E74" i="9"/>
  <c r="I73" i="9"/>
  <c r="H73" i="9"/>
  <c r="G73" i="9"/>
  <c r="F73" i="9"/>
  <c r="E73" i="9"/>
  <c r="I72" i="9"/>
  <c r="H72" i="9"/>
  <c r="G72" i="9"/>
  <c r="F72" i="9"/>
  <c r="E72" i="9"/>
  <c r="I71" i="9"/>
  <c r="H71" i="9"/>
  <c r="G71" i="9"/>
  <c r="F71" i="9"/>
  <c r="E71" i="9"/>
  <c r="I70" i="9"/>
  <c r="H70" i="9"/>
  <c r="G70" i="9"/>
  <c r="F70" i="9"/>
  <c r="E70" i="9"/>
  <c r="I69" i="9"/>
  <c r="H69" i="9"/>
  <c r="G69" i="9"/>
  <c r="F69" i="9"/>
  <c r="E69" i="9"/>
  <c r="I68" i="9"/>
  <c r="H68" i="9"/>
  <c r="G68" i="9"/>
  <c r="F68" i="9"/>
  <c r="E68" i="9"/>
  <c r="I67" i="9"/>
  <c r="H67" i="9"/>
  <c r="G67" i="9"/>
  <c r="F67" i="9"/>
  <c r="E67" i="9"/>
  <c r="I66" i="9"/>
  <c r="H66" i="9"/>
  <c r="G66" i="9"/>
  <c r="F66" i="9"/>
  <c r="E66" i="9"/>
  <c r="I65" i="9"/>
  <c r="H65" i="9"/>
  <c r="G65" i="9"/>
  <c r="F65" i="9"/>
  <c r="E65" i="9"/>
  <c r="I64" i="9"/>
  <c r="H64" i="9"/>
  <c r="G64" i="9"/>
  <c r="F64" i="9"/>
  <c r="E64" i="9"/>
  <c r="I63" i="9"/>
  <c r="H63" i="9"/>
  <c r="G63" i="9"/>
  <c r="F63" i="9"/>
  <c r="E63" i="9"/>
  <c r="I62" i="9"/>
  <c r="H62" i="9"/>
  <c r="G62" i="9"/>
  <c r="F62" i="9"/>
  <c r="E62" i="9"/>
  <c r="I61" i="9"/>
  <c r="H61" i="9"/>
  <c r="G61" i="9"/>
  <c r="F61" i="9"/>
  <c r="E61" i="9"/>
  <c r="I60" i="9"/>
  <c r="H60" i="9"/>
  <c r="G60" i="9"/>
  <c r="F60" i="9"/>
  <c r="E60" i="9"/>
  <c r="I59" i="9"/>
  <c r="H59" i="9"/>
  <c r="G59" i="9"/>
  <c r="F59" i="9"/>
  <c r="E59" i="9"/>
  <c r="I58" i="9"/>
  <c r="H58" i="9"/>
  <c r="G58" i="9"/>
  <c r="F58" i="9"/>
  <c r="E58" i="9"/>
  <c r="I57" i="9"/>
  <c r="H57" i="9"/>
  <c r="G57" i="9"/>
  <c r="F57" i="9"/>
  <c r="E57" i="9"/>
  <c r="I56" i="9"/>
  <c r="H56" i="9"/>
  <c r="G56" i="9"/>
  <c r="F56" i="9"/>
  <c r="E56" i="9"/>
  <c r="I55" i="9"/>
  <c r="H55" i="9"/>
  <c r="G55" i="9"/>
  <c r="F55" i="9"/>
  <c r="E55" i="9"/>
  <c r="I54" i="9"/>
  <c r="H54" i="9"/>
  <c r="G54" i="9"/>
  <c r="F54" i="9"/>
  <c r="E54" i="9"/>
  <c r="I53" i="9"/>
  <c r="H53" i="9"/>
  <c r="G53" i="9"/>
  <c r="F53" i="9"/>
  <c r="E53" i="9"/>
  <c r="I52" i="9"/>
  <c r="H52" i="9"/>
  <c r="G52" i="9"/>
  <c r="F52" i="9"/>
  <c r="E52" i="9"/>
  <c r="I51" i="9"/>
  <c r="H51" i="9"/>
  <c r="G51" i="9"/>
  <c r="F51" i="9"/>
  <c r="E51" i="9"/>
  <c r="I50" i="9"/>
  <c r="H50" i="9"/>
  <c r="G50" i="9"/>
  <c r="F50" i="9"/>
  <c r="E50" i="9"/>
  <c r="I49" i="9"/>
  <c r="H49" i="9"/>
  <c r="G49" i="9"/>
  <c r="F49" i="9"/>
  <c r="E49" i="9"/>
  <c r="I48" i="9"/>
  <c r="H48" i="9"/>
  <c r="G48" i="9"/>
  <c r="F48" i="9"/>
  <c r="E48" i="9"/>
  <c r="I47" i="9"/>
  <c r="H47" i="9"/>
  <c r="G47" i="9"/>
  <c r="F47" i="9"/>
  <c r="E47" i="9"/>
  <c r="I46" i="9"/>
  <c r="H46" i="9"/>
  <c r="G46" i="9"/>
  <c r="F46" i="9"/>
  <c r="E46" i="9"/>
  <c r="I45" i="9"/>
  <c r="H45" i="9"/>
  <c r="G45" i="9"/>
  <c r="F45" i="9"/>
  <c r="E45" i="9"/>
  <c r="I44" i="9"/>
  <c r="H44" i="9"/>
  <c r="G44" i="9"/>
  <c r="F44" i="9"/>
  <c r="E44" i="9"/>
  <c r="I43" i="9"/>
  <c r="H43" i="9"/>
  <c r="G43" i="9"/>
  <c r="F43" i="9"/>
  <c r="E43" i="9"/>
  <c r="I42" i="9"/>
  <c r="H42" i="9"/>
  <c r="G42" i="9"/>
  <c r="F42" i="9"/>
  <c r="E42" i="9"/>
  <c r="I41" i="9"/>
  <c r="H41" i="9"/>
  <c r="G41" i="9"/>
  <c r="F41" i="9"/>
  <c r="E41" i="9"/>
  <c r="I40" i="9"/>
  <c r="H40" i="9"/>
  <c r="G40" i="9"/>
  <c r="F40" i="9"/>
  <c r="E40" i="9"/>
  <c r="I39" i="9"/>
  <c r="H39" i="9"/>
  <c r="G39" i="9"/>
  <c r="F39" i="9"/>
  <c r="E39" i="9"/>
  <c r="I38" i="9"/>
  <c r="H38" i="9"/>
  <c r="G38" i="9"/>
  <c r="F38" i="9"/>
  <c r="E38" i="9"/>
  <c r="I37" i="9"/>
  <c r="H37" i="9"/>
  <c r="G37" i="9"/>
  <c r="F37" i="9"/>
  <c r="E37" i="9"/>
  <c r="I36" i="9"/>
  <c r="H36" i="9"/>
  <c r="G36" i="9"/>
  <c r="F36" i="9"/>
  <c r="E36" i="9"/>
  <c r="I35" i="9"/>
  <c r="H35" i="9"/>
  <c r="G35" i="9"/>
  <c r="F35" i="9"/>
  <c r="E35" i="9"/>
  <c r="I34" i="9"/>
  <c r="H34" i="9"/>
  <c r="G34" i="9"/>
  <c r="F34" i="9"/>
  <c r="E34" i="9"/>
  <c r="I33" i="9"/>
  <c r="H33" i="9"/>
  <c r="G33" i="9"/>
  <c r="F33" i="9"/>
  <c r="E33" i="9"/>
  <c r="I32" i="9"/>
  <c r="H32" i="9"/>
  <c r="G32" i="9"/>
  <c r="F32" i="9"/>
  <c r="E32" i="9"/>
  <c r="I31" i="9"/>
  <c r="H31" i="9"/>
  <c r="G31" i="9"/>
  <c r="F31" i="9"/>
  <c r="E31" i="9"/>
  <c r="I30" i="9"/>
  <c r="H30" i="9"/>
  <c r="G30" i="9"/>
  <c r="F30" i="9"/>
  <c r="E30" i="9"/>
  <c r="I29" i="9"/>
  <c r="H29" i="9"/>
  <c r="G29" i="9"/>
  <c r="F29" i="9"/>
  <c r="E29" i="9"/>
  <c r="I28" i="9"/>
  <c r="H28" i="9"/>
  <c r="G28" i="9"/>
  <c r="F28" i="9"/>
  <c r="E28" i="9"/>
  <c r="I27" i="9"/>
  <c r="H27" i="9"/>
  <c r="G27" i="9"/>
  <c r="F27" i="9"/>
  <c r="E27" i="9"/>
  <c r="I26" i="9"/>
  <c r="H26" i="9"/>
  <c r="G26" i="9"/>
  <c r="F26" i="9"/>
  <c r="E26" i="9"/>
  <c r="I25" i="9"/>
  <c r="H25" i="9"/>
  <c r="G25" i="9"/>
  <c r="F25" i="9"/>
  <c r="E25" i="9"/>
  <c r="I24" i="9"/>
  <c r="H24" i="9"/>
  <c r="G24" i="9"/>
  <c r="F24" i="9"/>
  <c r="E24" i="9"/>
  <c r="I23" i="9"/>
  <c r="H23" i="9"/>
  <c r="G23" i="9"/>
  <c r="F23" i="9"/>
  <c r="E23" i="9"/>
  <c r="I22" i="9"/>
  <c r="H22" i="9"/>
  <c r="G22" i="9"/>
  <c r="F22" i="9"/>
  <c r="E22" i="9"/>
  <c r="I21" i="9"/>
  <c r="H21" i="9"/>
  <c r="G21" i="9"/>
  <c r="F21" i="9"/>
  <c r="E21" i="9"/>
  <c r="I20" i="9"/>
  <c r="H20" i="9"/>
  <c r="G20" i="9"/>
  <c r="F20" i="9"/>
  <c r="E20" i="9"/>
  <c r="I19" i="9"/>
  <c r="H19" i="9"/>
  <c r="G19" i="9"/>
  <c r="F19" i="9"/>
  <c r="E19" i="9"/>
  <c r="I18" i="9"/>
  <c r="H18" i="9"/>
  <c r="G18" i="9"/>
  <c r="F18" i="9"/>
  <c r="E18" i="9"/>
  <c r="I17" i="9"/>
  <c r="H17" i="9"/>
  <c r="G17" i="9"/>
  <c r="F17" i="9"/>
  <c r="E17" i="9"/>
  <c r="I16" i="9"/>
  <c r="H16" i="9"/>
  <c r="G16" i="9"/>
  <c r="F16" i="9"/>
  <c r="E16" i="9"/>
  <c r="I15" i="9"/>
  <c r="H15" i="9"/>
  <c r="G15" i="9"/>
  <c r="F15" i="9"/>
  <c r="E15" i="9"/>
  <c r="I14" i="9"/>
  <c r="H14" i="9"/>
  <c r="G14" i="9"/>
  <c r="F14" i="9"/>
  <c r="E14" i="9"/>
  <c r="I13" i="9"/>
  <c r="H13" i="9"/>
  <c r="G13" i="9"/>
  <c r="F13" i="9"/>
  <c r="E13" i="9"/>
  <c r="I12" i="9"/>
  <c r="H12" i="9"/>
  <c r="G12" i="9"/>
  <c r="F12" i="9"/>
  <c r="E12" i="9"/>
  <c r="I11" i="9"/>
  <c r="H11" i="9"/>
  <c r="G11" i="9"/>
  <c r="F11" i="9"/>
  <c r="E11" i="9"/>
  <c r="I10" i="9"/>
  <c r="H10" i="9"/>
  <c r="G10" i="9"/>
  <c r="F10" i="9"/>
  <c r="E10" i="9"/>
  <c r="I9" i="9"/>
  <c r="H9" i="9"/>
  <c r="G9" i="9"/>
  <c r="F9" i="9"/>
  <c r="E9" i="9"/>
  <c r="I8" i="9"/>
  <c r="H8" i="9"/>
  <c r="G8" i="9"/>
  <c r="F8" i="9"/>
  <c r="E8" i="9"/>
  <c r="I7" i="9"/>
  <c r="H7" i="9"/>
  <c r="G7" i="9"/>
  <c r="F7" i="9"/>
  <c r="E7" i="9"/>
  <c r="I6" i="9"/>
  <c r="H6" i="9"/>
  <c r="G6" i="9"/>
  <c r="F6" i="9"/>
  <c r="E6" i="9"/>
  <c r="I5" i="9"/>
  <c r="H5" i="9"/>
  <c r="G5" i="9"/>
  <c r="F5" i="9"/>
  <c r="E5" i="9"/>
  <c r="I187" i="9"/>
  <c r="H187" i="9"/>
  <c r="G187" i="9"/>
  <c r="F187" i="9"/>
  <c r="E187" i="9"/>
  <c r="I4" i="9"/>
  <c r="H4" i="9"/>
  <c r="G4" i="9"/>
  <c r="F4" i="9"/>
  <c r="E4" i="9"/>
  <c r="BC244" i="1" l="1"/>
  <c r="BC243" i="1"/>
  <c r="BC242" i="1"/>
  <c r="A1" i="2"/>
</calcChain>
</file>

<file path=xl/sharedStrings.xml><?xml version="1.0" encoding="utf-8"?>
<sst xmlns="http://schemas.openxmlformats.org/spreadsheetml/2006/main" count="2041" uniqueCount="1200">
  <si>
    <t>V4</t>
  </si>
  <si>
    <t>V39</t>
  </si>
  <si>
    <t>V41</t>
  </si>
  <si>
    <t>V40</t>
  </si>
  <si>
    <t>V42</t>
  </si>
  <si>
    <t>Mahavar Bappa</t>
  </si>
  <si>
    <t>Dimorphic Anemia</t>
  </si>
  <si>
    <t>S Iron -19, S TIBC- 317, S UIBC-298, S Feritin- 28, Transferrin saturation-5.99</t>
  </si>
  <si>
    <t xml:space="preserve">Right MCA Infarct </t>
  </si>
  <si>
    <t>A/c NHI in rt MCA territory. Thyrmbosis in rt MCA distal to origin Eccentric thrymbos in rt carotid bulb. Sanccular aneurysm noted at junction in left ACA and ACOM measuring6x6.7x5.4mm</t>
  </si>
  <si>
    <t>Santosh Nande</t>
  </si>
  <si>
    <t>On DAPT</t>
  </si>
  <si>
    <t xml:space="preserve">MRI - Infarct in rt FPT lobes , rt centrum semiovale and rt corona radiata </t>
  </si>
  <si>
    <t xml:space="preserve">RT MCA is poor opacified from the circle of willis. Mild name wing in the M1 segments of RT with marked paucity of cortical branches of rt MCA </t>
  </si>
  <si>
    <t xml:space="preserve">Malusare suresh </t>
  </si>
  <si>
    <t xml:space="preserve">S. ferritin- 247, S. Iron - 47, S.TIBC- 198, S.UIBC-151, Transferrin Saturation- 23 </t>
  </si>
  <si>
    <t>Lt FPT infract and Lt MCA teritory infract</t>
  </si>
  <si>
    <t>Thrombrosis of Lt MCA distal to M1 segment</t>
  </si>
  <si>
    <t xml:space="preserve">Pravin Gaikwad </t>
  </si>
  <si>
    <t>MRS Pvc stroke- 4</t>
  </si>
  <si>
    <t>LT MCA massive infront, Rt superior parietal lobule and post central gyrus in front</t>
  </si>
  <si>
    <t>Lt cavernous ICA thrombosis with reformation of Lt MCA. Rt ICA smooth tapering distal to carotid bulb suggestive of old dissection</t>
  </si>
  <si>
    <t xml:space="preserve">Suman G. Yadav </t>
  </si>
  <si>
    <t>Anemia</t>
  </si>
  <si>
    <t xml:space="preserve">Ramdas Darwavdkar </t>
  </si>
  <si>
    <t>Gerstmann Syndrome</t>
  </si>
  <si>
    <t>Left PCA MCA watershed infront</t>
  </si>
  <si>
    <t>Left CCA thrombosis causing 60% stenosis</t>
  </si>
  <si>
    <t xml:space="preserve">Laxmibai Mane </t>
  </si>
  <si>
    <t xml:space="preserve"> Left Corona radiata and left basal ganglia</t>
  </si>
  <si>
    <t>Pausity of chronical branches of Lt MCA</t>
  </si>
  <si>
    <t xml:space="preserve">Krushnadev Patil </t>
  </si>
  <si>
    <t xml:space="preserve">Acute NHI in Lt frontal lobe and Lt GC region </t>
  </si>
  <si>
    <t>Salunkhe Pandurang</t>
  </si>
  <si>
    <t>Scar epilepsy vascular PD</t>
  </si>
  <si>
    <t>Tiny Acute infarct in Lt centrum semiovale</t>
  </si>
  <si>
    <t>Bharati Shah</t>
  </si>
  <si>
    <t xml:space="preserve"> in neurology Acute NHI involving Lt MCA teritory there are likely suggestive of embrolic infarcts colloid cyst without hydrocephalus and current scan </t>
  </si>
  <si>
    <t>Atherosclerotic plaques in bilateral v 4 segment of vertebral arteries causing significant luminal stenosis.</t>
  </si>
  <si>
    <t xml:space="preserve">Seema Dalvi </t>
  </si>
  <si>
    <t>Iron deficiency Anemia</t>
  </si>
  <si>
    <t>S.Ferritin- 5.4, S. Iron- 17, UIBC-443, TIBC- 460, transferrin saturation- 3.69</t>
  </si>
  <si>
    <t>Left MCA- PCA watershed infract</t>
  </si>
  <si>
    <t xml:space="preserve">Left ICA plaque with thrombosis &gt;90% occlusion </t>
  </si>
  <si>
    <t xml:space="preserve">Jaydep B Panchal </t>
  </si>
  <si>
    <t>acute stroke in Rt thalamus globus pallidus caudate nucleus and anterior limb internal capsule</t>
  </si>
  <si>
    <t xml:space="preserve">Right m1 occlusion </t>
  </si>
  <si>
    <t>Subhash R Bhagawat</t>
  </si>
  <si>
    <t xml:space="preserve">Normal </t>
  </si>
  <si>
    <t>Normal</t>
  </si>
  <si>
    <t>Smita Dhepe</t>
  </si>
  <si>
    <t>Acute NHI in left periventricular region and posterior limb of left internal capsule</t>
  </si>
  <si>
    <t>Lahu D Lokhande</t>
  </si>
  <si>
    <t>Audumbar Jadhav</t>
  </si>
  <si>
    <t xml:space="preserve">Mahadev N Pandit </t>
  </si>
  <si>
    <t>Acute NHI in posterior limb and left internal capsule chronic venous hemorrhagic infract in rt temporal lobe with rt veing of labbe thrombosis</t>
  </si>
  <si>
    <t>Balu Chorghe</t>
  </si>
  <si>
    <t xml:space="preserve">left putamen and corona radiata </t>
  </si>
  <si>
    <t>Pravin E Ingale</t>
  </si>
  <si>
    <t>Left motor cortex function temporal confant</t>
  </si>
  <si>
    <t>Homorrhagic transformation +</t>
  </si>
  <si>
    <t xml:space="preserve">Laxmi B Vennu </t>
  </si>
  <si>
    <t>Vitthal S More</t>
  </si>
  <si>
    <t>A/c infarct in right frontoparietal region,right centrum semiovale and corona radiata and right occipital region</t>
  </si>
  <si>
    <t>Calcified atherodemtic changes in caverous supraclinical  segments of B/l ICA s and  left venetral arteries irregular narrowing involving supraclinicalsegments of Rt ICA</t>
  </si>
  <si>
    <t>Nivruttis Darekar</t>
  </si>
  <si>
    <t xml:space="preserve">Carotid Artery Disease </t>
  </si>
  <si>
    <t xml:space="preserve">A/C infract in Lt frontal-pariental lobe and in insular cortex </t>
  </si>
  <si>
    <t>Calcified  atherosclerotic plaque at the carotid bifurcation extending into the lumen of Left ICA with complete occlusion</t>
  </si>
  <si>
    <t xml:space="preserve">Balasaheb Dhotre </t>
  </si>
  <si>
    <t xml:space="preserve">Rt MCA infract </t>
  </si>
  <si>
    <t xml:space="preserve">Ajit Shah </t>
  </si>
  <si>
    <t>09-06-0223</t>
  </si>
  <si>
    <t>Afrial fibrillation since 6 months</t>
  </si>
  <si>
    <t>Acute NHI in rt temporal lobe, head of rt cautid nucleus and rt middle frontal gyrus, superior temporal gyrus and interior parietal lobe</t>
  </si>
  <si>
    <t>Few calcified atherosclerotic plaque hypodense area in rt temporal lobe</t>
  </si>
  <si>
    <t>Govind Kapse</t>
  </si>
  <si>
    <t>Acute indract right insular cortex</t>
  </si>
  <si>
    <t xml:space="preserve"> Atherosclerotic calcification involving cavernous segments of both internal carotid arteries with mild focal narrowing of supra clinical segment of Right ICA, eccentric hypodense plaques involving B/L distal CCAs and origins of the internal carotid arteries causing mild luminal </t>
  </si>
  <si>
    <t xml:space="preserve">Vandana N Bahirat </t>
  </si>
  <si>
    <t xml:space="preserve">Iron deficiency anemia </t>
  </si>
  <si>
    <t xml:space="preserve">Ferritin- 2.73, S Iron- 20, TIBC- 298 transferrin saturation- 6.71% </t>
  </si>
  <si>
    <t xml:space="preserve">A/C non hemorrhagic infarct right frontal lobe gliotic area left parieto occipito temporal lobe </t>
  </si>
  <si>
    <t xml:space="preserve">Arun Shinde </t>
  </si>
  <si>
    <t xml:space="preserve">Left frontal infract </t>
  </si>
  <si>
    <t xml:space="preserve">Mild narrowing with normal of calcification of distal left CCA, just proximal to its bifuration calcified atherosclerotic plaque causing mild narrowing left ICA just distal to its bifuration </t>
  </si>
  <si>
    <t xml:space="preserve">Parshuram A Shinde </t>
  </si>
  <si>
    <t xml:space="preserve">A/C infract left frontal, Rt centrum semiovale and left pariental lobe subacute to chronic infarct left frontal lobe  </t>
  </si>
  <si>
    <t xml:space="preserve">Mrunal Sawant </t>
  </si>
  <si>
    <t>Metabolic syndrome, Hypothyroid</t>
  </si>
  <si>
    <t>T3- 0.39, T4- 5.88, TSH- 7.33</t>
  </si>
  <si>
    <t xml:space="preserve">A/C infarct left PCIC and right putamen and Rt periventricular region </t>
  </si>
  <si>
    <t>Mild paucity of cortical  branches Right MCA</t>
  </si>
  <si>
    <t>Deepali Mandalik</t>
  </si>
  <si>
    <t>Smitha Ajgoankar</t>
  </si>
  <si>
    <t>Left pre central (frontal lobe) Rt half of spleen left frontal</t>
  </si>
  <si>
    <t>Paucity of insular grades of left MCA and  Parafalcine area left insular cortex and left post central gyrus</t>
  </si>
  <si>
    <t>Shanta Vishal Sose</t>
  </si>
  <si>
    <t xml:space="preserve"> A/C infarct in fronto parieto occipital region left centrum semiovale and corona radiata</t>
  </si>
  <si>
    <t xml:space="preserve">Mixed hypodense and calcified atherisclerotic plaques involving covernus segments of both kots causing irregularity and narrowing ( Rt &gt;left). paucity of cortical branches of both MCAs. Rt A1 segments of ACA appears hypoplastic. </t>
  </si>
  <si>
    <t xml:space="preserve">Prakash Kambale </t>
  </si>
  <si>
    <t xml:space="preserve">A/c infract Rt MCA and ICA watershed area </t>
  </si>
  <si>
    <t>Eccentric hypodense thrombus with calcified atherosclerotic plaque in right carotid bulb and origin of Rt ICA advised causing 90-95% stenosis Rt ICA segment</t>
  </si>
  <si>
    <t>Vimal B Khopade</t>
  </si>
  <si>
    <t xml:space="preserve">Hypothroid, Hyperhomocysteinemia, B12 Def </t>
  </si>
  <si>
    <t xml:space="preserve">Right MCA infract (frontal) </t>
  </si>
  <si>
    <t>B/L common carotid eccentric plaques 10-20% stenosis</t>
  </si>
  <si>
    <t xml:space="preserve">Surendra Deshmukh </t>
  </si>
  <si>
    <t>B12 def  Hyperhomocysteinemia</t>
  </si>
  <si>
    <t xml:space="preserve">A/C infract left fronto parrieto occipital  lobe and left centrum semiovale- s/o watershed infract </t>
  </si>
  <si>
    <t>Gpat cut off of left ICA with reformation of supra clinical segment of left ICA s/o thrombosis</t>
  </si>
  <si>
    <t>Ramchandra Pangarkar</t>
  </si>
  <si>
    <t>Acute Kidney injuri</t>
  </si>
  <si>
    <t xml:space="preserve">Left MCA infract </t>
  </si>
  <si>
    <t>Chandrakant Khopade</t>
  </si>
  <si>
    <t>Right MCA infract</t>
  </si>
  <si>
    <t xml:space="preserve">Non opacification of left ICA from its origin s/o occlusional thrombosis. non-opacification of M1, M2 and proximal M2 segments of right MCA </t>
  </si>
  <si>
    <t xml:space="preserve">Ramchandra Dhumal </t>
  </si>
  <si>
    <t>Sunil Sawant</t>
  </si>
  <si>
    <t xml:space="preserve">Thyroidectomy PODs, Hyperhomo </t>
  </si>
  <si>
    <t xml:space="preserve">Infract in left FPO region with </t>
  </si>
  <si>
    <t>M1 stenosis</t>
  </si>
  <si>
    <t>Balu Rathod</t>
  </si>
  <si>
    <t>HIV Positive</t>
  </si>
  <si>
    <t>Left MCA infract</t>
  </si>
  <si>
    <t xml:space="preserve">M1 segments regular and cut off poor reformation of ML left ICA occlusian from origin </t>
  </si>
  <si>
    <t>Ramesh Kulkarni</t>
  </si>
  <si>
    <t>A/c infarct left fronto parieto temporo occipital lobes</t>
  </si>
  <si>
    <t>Moderate narrowing in distal segment of Rt MCA. near complete thrombotic occlusion of m1 segment of left MCA with mild peripheral enhancement and f</t>
  </si>
  <si>
    <t>Surekha Jadhav</t>
  </si>
  <si>
    <t>Balasaheb Jadhav</t>
  </si>
  <si>
    <t>NHI in fronto-parietal region and left centrum semiovale</t>
  </si>
  <si>
    <t xml:space="preserve">Madhukar A Kumavat </t>
  </si>
  <si>
    <t>Acute non- hemorrhagic infarcts in bilateral fronto parietal ventricular white matter</t>
  </si>
  <si>
    <t xml:space="preserve">Madhuri Kulkarni </t>
  </si>
  <si>
    <t xml:space="preserve">Gouty arthritis superior vein thrombosis </t>
  </si>
  <si>
    <t xml:space="preserve">Acute infarct in rt fronto- parietal and temporal cortex and white matter left frontal lobe is also involved the infract hence increased in size as compared to previous scan,no blled,There is diffuse cerebral edema in the form of effacement of sulcal spaces and bilateral lateral ventricles </t>
  </si>
  <si>
    <t>Madhavi Lardal</t>
  </si>
  <si>
    <t>acute non hemorrhagic infarct in right frontal lobe rt parietal lobe , rt centrum semiovale and rt corona radiata, acute lunar infracts in rt caudate nucleus and rt periventricular white matter</t>
  </si>
  <si>
    <t>Rt ICA supraclinical narrowing</t>
  </si>
  <si>
    <t xml:space="preserve">Kishor Lunawat </t>
  </si>
  <si>
    <t xml:space="preserve">A/c right internal watershed infract </t>
  </si>
  <si>
    <t>Right ICA complete thrombosis</t>
  </si>
  <si>
    <t>Shankar S Kurale</t>
  </si>
  <si>
    <t xml:space="preserve">Acute non-hemorrhagic infract in the posterior limb of rt internal  capsule subacute on chronic subdural hemorrage along leftfronto- perietor temporal convenxity with mass effect and midline shift  </t>
  </si>
  <si>
    <t>Focal stenosis involving proximal rt ICA 13mm distal to carotid bulb causing 70-80% luminal compromise. Irregular stenosis  Lt ICA distal to carotid bulb causing 50-60% stenosis</t>
  </si>
  <si>
    <t xml:space="preserve">Hanumant Lohar </t>
  </si>
  <si>
    <t>Asthma</t>
  </si>
  <si>
    <t>Lt MCA teritory infract</t>
  </si>
  <si>
    <t xml:space="preserve">Complete occlussion/thrombosis of entire Lt ICA M1, M2 segments of Lt MCAcalcified atherosclerotic plaque in Lt carotid bulb causing approx. 20-30% luminal narrowing </t>
  </si>
  <si>
    <t>Ranesh T Raut</t>
  </si>
  <si>
    <t>Imaging S/o old cvt</t>
  </si>
  <si>
    <t>Acute infract left parietal and frontal regions area of gliosis in left temporal lobe suggective of old cvt</t>
  </si>
  <si>
    <t>Right M2 distal mirror aneurysm</t>
  </si>
  <si>
    <t>Sainath S Vakode</t>
  </si>
  <si>
    <t>Hypodense filling defect in distal M1 segment of left MCA S/o thrombosis</t>
  </si>
  <si>
    <t>Kamal Pawar</t>
  </si>
  <si>
    <t>Iron Deficiency Anemia</t>
  </si>
  <si>
    <t>S Ferritin- 24, Iron- 63, TIBC- 378, UIBC- 315,Transferitin saturation-16.6</t>
  </si>
  <si>
    <t xml:space="preserve">Acute NHI in left centrum semiovale and left frontal periventricular white matter region </t>
  </si>
  <si>
    <t xml:space="preserve">Calcified atherosclerotic plaque are noted at the origin of both ICA, causing significant luminal compromise (85-90%Dn right side and 75-85) on left side calcified atherosclerotic plaques are also noted in the cavernous segment of both ICAs </t>
  </si>
  <si>
    <t>Archana Patil</t>
  </si>
  <si>
    <t>Rheumatoid arthritis</t>
  </si>
  <si>
    <t>S ferritin- 30, S iron- 33, TIBC- 370, UIBC-337, transferrin saturation- 8.9</t>
  </si>
  <si>
    <t>Right ACA infract</t>
  </si>
  <si>
    <t>Right A3 cut off left ICA fatty plaque seen but 20% luminal compromise</t>
  </si>
  <si>
    <t>Pooja Patre</t>
  </si>
  <si>
    <t>Iron deficiency anemia, Hypothroid</t>
  </si>
  <si>
    <t>S Iron- 27, TIBC-318, UIBC- 291, transferrin saturation-8.49</t>
  </si>
  <si>
    <t>Right caudate and putamen acute infarct</t>
  </si>
  <si>
    <t>Madhav Landage</t>
  </si>
  <si>
    <t>Left MCA / PCA watershed infract</t>
  </si>
  <si>
    <t>Fetal origin left PCA. P1 segment left PCA hypoplastic</t>
  </si>
  <si>
    <t>Vitthal Yadav</t>
  </si>
  <si>
    <t>Sitabai Yewale</t>
  </si>
  <si>
    <t>COPD Iron deficiency</t>
  </si>
  <si>
    <t>S Ferritin- 162, S Iron- 22, TIBC- 208, UIBC-186, Transferrin saturation- 10.5%</t>
  </si>
  <si>
    <t>Acute NHI in left frontal lobe white matter</t>
  </si>
  <si>
    <t>Mild paucity of cortical branches of left MCA mild focal narrowing in the m2 segments of the left MCA focal narrowing at the origins of left ACA</t>
  </si>
  <si>
    <t>Kamal N Satbhai</t>
  </si>
  <si>
    <t>S Ferritin- 14.5, S Iron-24, TIBC- 297, UIBC- 273, Transferrin saturation- 8</t>
  </si>
  <si>
    <t>Acute NHI in Rt fronto-parietal lobe, Rt occipital lobe, Rt centrum semiovale and Rt corona radiation</t>
  </si>
  <si>
    <t>Shubhadra D Shilimkar</t>
  </si>
  <si>
    <t>Ferritin- 63, S Iron- 33, TIBC- 277, UIBC-244, Transferrin saturation %- 11.9</t>
  </si>
  <si>
    <t>Acute infract left MCA teritory</t>
  </si>
  <si>
    <t>Complete occlusion inferior division m2 of lt MCA</t>
  </si>
  <si>
    <t>Santosh Indurkar</t>
  </si>
  <si>
    <t xml:space="preserve">Fever since 1 week </t>
  </si>
  <si>
    <t>Fever since 1 week</t>
  </si>
  <si>
    <t xml:space="preserve">Acute NHI in left frontal lobe, left centrum semiovale and left corona radiata </t>
  </si>
  <si>
    <t>Eccentric hypodense thrombotic plaque involving left carotid bulb without significant luminal compromise Atherosclerotic calcification involving carvenous segments of both ICA both proximal MCAs and PCAS cartical branches of both MCAs</t>
  </si>
  <si>
    <t>Rangubai Yele</t>
  </si>
  <si>
    <t>Left periventrucular and left corona radiata infracts</t>
  </si>
  <si>
    <t>Rt MCA infract</t>
  </si>
  <si>
    <t>Medha S. Kulkarni</t>
  </si>
  <si>
    <t>Body aches and diffuse my algia since 1 month</t>
  </si>
  <si>
    <t>AMA 2+ positive, APCA Neg</t>
  </si>
  <si>
    <t>A/C Rt infracts</t>
  </si>
  <si>
    <t xml:space="preserve">Rt M1 occlusion and M2 occlusion </t>
  </si>
  <si>
    <t>Fulabai S Gaikwad</t>
  </si>
  <si>
    <t>ESR-11, CRP-1.2</t>
  </si>
  <si>
    <t xml:space="preserve">A/c infract Rt LTP lobes, Rt corona radiata, Rt centrum semiovale, Rt periventricular white, Rt insular cortex, Rt  lentiform nucleus, Rt head of caudate    </t>
  </si>
  <si>
    <t>Right ICA thrombosis and Rt M1 MCA occlusion</t>
  </si>
  <si>
    <t>Vitthal Y Limkar</t>
  </si>
  <si>
    <t xml:space="preserve">NHI in Rt centrum Semiovale </t>
  </si>
  <si>
    <t>Atherosclerotic calcification of aorta of both carvenous ICAs</t>
  </si>
  <si>
    <t>Moni M Chakrawarti</t>
  </si>
  <si>
    <t>Hypothyroid, Hypokalemia ECGU waves</t>
  </si>
  <si>
    <t>B/L right&gt;left ganglia capsular infract</t>
  </si>
  <si>
    <t>Stroke imaging is suggestive of acute NHI involving bilateral lentiform nuclei, centrum semiovale, corona radiata, right-posterior temporal loe and left occipital lobe, chronic small vessel ischemic changes with age related cerebral atrophy</t>
  </si>
  <si>
    <t>Dnyanoba Pawale</t>
  </si>
  <si>
    <t>Acute NHI in left corona radiata</t>
  </si>
  <si>
    <t>Dattatray Gaikwad</t>
  </si>
  <si>
    <t>Fronto-parietal acute cerebral infract , calcified atherosclerotic plaques are seen in arch of aorta and at right carotid biforcation, significant stenosis with seen involving the right carvenous and supraclinical ICA, Left supraclinoid shows focal significant stenosis</t>
  </si>
  <si>
    <t>Prakash Sharma</t>
  </si>
  <si>
    <t>Cataract surgery, H10 MI in 2014</t>
  </si>
  <si>
    <t>Known left MCA teritory infract ventriculomegaly</t>
  </si>
  <si>
    <t>Subhas G. Devrukhkar</t>
  </si>
  <si>
    <t xml:space="preserve">Acute NHI in Lt thalamus and posterior limb of Lt internal capsule </t>
  </si>
  <si>
    <t>Hypodense area with lobe grey white matter in thamlalmus capsule region soft plaque noted in Lt ICA approx 60-70% narrowing calcified athero sclerotic plaque noted in Lt ICA cavernous segment of rt ICA narrowing is noted at the origin of Lt subehavior artery with approximately to 80% luminal narrowing</t>
  </si>
  <si>
    <t>Smit Sarode</t>
  </si>
  <si>
    <t>Right corona radiata and Rt lentiform nucleus</t>
  </si>
  <si>
    <t>Uttam Pawar</t>
  </si>
  <si>
    <t>Usha Dhende</t>
  </si>
  <si>
    <t>Right corona Radiata infract</t>
  </si>
  <si>
    <t>Eknath Bhavekar</t>
  </si>
  <si>
    <t>A/c infract let posterior limb of internal capsule</t>
  </si>
  <si>
    <t>Wide small saccular anevrysm is the cavernous segement of Rt ICA. No obvious extravasation of contrast is seen. Hypoplastic right verlebral artery colinving as the anterior inferior cerebeller artery</t>
  </si>
  <si>
    <t>Tanaji Hanehute</t>
  </si>
  <si>
    <t>Keshav Bhanage</t>
  </si>
  <si>
    <t>05-07-0222</t>
  </si>
  <si>
    <t>Covid 19 +ve 05/07/2022</t>
  </si>
  <si>
    <t xml:space="preserve">Rt MCA infract Rt ICA calcified atherosclerotic changes 60% narrowing. Rt ventral artery 40% narrowing </t>
  </si>
  <si>
    <t>Bhausaheb Gavali</t>
  </si>
  <si>
    <t>M2 cut off</t>
  </si>
  <si>
    <t xml:space="preserve">Kamal Bhosale </t>
  </si>
  <si>
    <t>Pulmonary kochst</t>
  </si>
  <si>
    <t>Rt FTP , lentiform nucleus Rt insular infract</t>
  </si>
  <si>
    <t>M1 Rt MCA eccentric fully defect distal M1 m2 narrow</t>
  </si>
  <si>
    <t xml:space="preserve">Yogesh Dhage </t>
  </si>
  <si>
    <t>Left corona radiata infract</t>
  </si>
  <si>
    <t>Chr. infract B12 CN, LN, Rt CR and left thallamus</t>
  </si>
  <si>
    <t xml:space="preserve"> Shrikant Banutkar</t>
  </si>
  <si>
    <t xml:space="preserve">Rt FP Corona radiata and PLIC infract </t>
  </si>
  <si>
    <t xml:space="preserve">Rt MCA M1 mild narrowing Rt ICA origin </t>
  </si>
  <si>
    <t>Dilip More</t>
  </si>
  <si>
    <t>Bhimrao Lokhande</t>
  </si>
  <si>
    <t>DSD- Normal</t>
  </si>
  <si>
    <t>M3 cut off</t>
  </si>
  <si>
    <t>Shobha Sawant</t>
  </si>
  <si>
    <t>ESR- 9, CRP- 5.1, S T3-1.05,S.T4- 8.04, S. TSH- 2.82</t>
  </si>
  <si>
    <t>Acute Rt parietal lobe infract</t>
  </si>
  <si>
    <t>Paucity of cortical braches Rt MCA poor collabration</t>
  </si>
  <si>
    <t>Fenu Dhangekar</t>
  </si>
  <si>
    <t>Dimorphic anemia</t>
  </si>
  <si>
    <t>Dengu Ns/+ve</t>
  </si>
  <si>
    <t xml:space="preserve">Acute infract Rt CR and GC region </t>
  </si>
  <si>
    <t>Abhishek Bhadale</t>
  </si>
  <si>
    <t>M1 segment, Proximal A1 Rt ACA, Terminal Rt ICA thrombus</t>
  </si>
  <si>
    <t>Eknath Kudale</t>
  </si>
  <si>
    <t>Raghunath Gaikwad</t>
  </si>
  <si>
    <t>Rt FTP occipital multiple infracts Rt periventrucular andRt with C, infrat in Rt MCA and PCA territorries, Stenosis seen in rt ICA, Left ICA shows non-stenosis plaques, Diffuse stenosis of Rt PCA . focal narrowing of P2 segment</t>
  </si>
  <si>
    <t>Rt large vessel occlusion, Rt ICA 90% stenosis</t>
  </si>
  <si>
    <t>Sunil Kalbhor</t>
  </si>
  <si>
    <t>M2 segment thrombosis</t>
  </si>
  <si>
    <t>Narul Sharma</t>
  </si>
  <si>
    <t xml:space="preserve">Ankush Patil </t>
  </si>
  <si>
    <t>Acute infract Rt fronto-parietal occipital lobes</t>
  </si>
  <si>
    <t>Rt ICA thrombosis distal to origin Rt MCA paucity cortical branch</t>
  </si>
  <si>
    <t>Sandip Bhopale</t>
  </si>
  <si>
    <t>Rajiya Shaikh</t>
  </si>
  <si>
    <t xml:space="preserve">Rt centrum semiovale acute infract </t>
  </si>
  <si>
    <t>Kamal Kulkarni</t>
  </si>
  <si>
    <t>S/o Lt M1 occlusion of Lt MCA with good referuation of distal of M1 segment and paucity of its cortical braches. Calcified atherosclerotic plaques at Lt carotid bulb causing mild luminal narrowing , Poor opcification of Lt ICP</t>
  </si>
  <si>
    <t xml:space="preserve">Sulochana Nevase </t>
  </si>
  <si>
    <t xml:space="preserve">Ajit Deshpande </t>
  </si>
  <si>
    <t xml:space="preserve">MSCT Brain with MR diffusion- 1) Fresh acute infract with patchy areas of blooming in left-frontal lobe. left-centrum semiovale. left insular and left tempero-parietal cortical region. 2) Acute non-haemorrhagic infract involving right pre and post cetral gyrus, right F-P-T lobe and right centrum semiovale </t>
  </si>
  <si>
    <t>Complete occlussion of Rt central ICA and significant narrowing of left CCA over pre existing Rt acute NHI</t>
  </si>
  <si>
    <t>Vimal Thorave</t>
  </si>
  <si>
    <t>Hypothyrodism</t>
  </si>
  <si>
    <t>Right M1 occlusion</t>
  </si>
  <si>
    <t>Vinayak Parge</t>
  </si>
  <si>
    <t xml:space="preserve">Left PCA watershed infract and left internal watershed infract </t>
  </si>
  <si>
    <t>left vertebral artery origin stenosis</t>
  </si>
  <si>
    <t>Vasant Ranje</t>
  </si>
  <si>
    <t>Shankar Sondhar</t>
  </si>
  <si>
    <t>A/c non hemorghic infract Rt parieto-temporal region. Gliosis in Rt high frontal region</t>
  </si>
  <si>
    <t>Eccentric hypodense plaque Rt carotid bulb without luminal compromise</t>
  </si>
  <si>
    <t>Chandrakant Shinde</t>
  </si>
  <si>
    <t>Prashant Khilare</t>
  </si>
  <si>
    <t>NHI caudate nucleus and lentiform nucleus left side</t>
  </si>
  <si>
    <t>Suresh Adhyapak</t>
  </si>
  <si>
    <t>A/C infract Rt lentiform nucleus</t>
  </si>
  <si>
    <t>B/L ventral arteries show atherosclerotic changes. Atherosclerotic changes in cavernous and supra clinic segments  of both ICAs and MCAs</t>
  </si>
  <si>
    <t>Pradeep Chawa</t>
  </si>
  <si>
    <t>scar epilepsy: 2014</t>
  </si>
  <si>
    <t xml:space="preserve">A/c infract right tempoparrital region and left cerebellar hemisphere </t>
  </si>
  <si>
    <t>Atherosclerotic calcified plaques in carvenous and supraclinical segment of both ICAs. paucity of cortical branches of both MCAs. mild narrowing of M2 segment of CAMCA. left VA is hypoplastic, non opacification of V3 and proximal V1 segment of left CA. cacified plaque mid left V4 segment with reformation of distal left V4</t>
  </si>
  <si>
    <t>Geeta Ajgoakar</t>
  </si>
  <si>
    <t>Left periventricular region infarct</t>
  </si>
  <si>
    <t xml:space="preserve"> B/L carotid bulb atheroscerotic plaque</t>
  </si>
  <si>
    <t>Kamlabai Kumbhar</t>
  </si>
  <si>
    <t>Prakash PAwar</t>
  </si>
  <si>
    <t xml:space="preserve">Acute stroke in Rt MCA /PCA watershed area </t>
  </si>
  <si>
    <t>Thrombosis Rt internal carotid artery</t>
  </si>
  <si>
    <t>Prakash Mugali</t>
  </si>
  <si>
    <t>Tiny infract left precentral gyris and left parieto occipital cortex</t>
  </si>
  <si>
    <t>left ica 60-70 luminal compromise Suspicion of dissection</t>
  </si>
  <si>
    <t>Dharmendra Kale</t>
  </si>
  <si>
    <t xml:space="preserve">ASL hypoperfusion segmet left fronto parietal region </t>
  </si>
  <si>
    <t>Short segment narrowing supraclinoid segment of left ICA</t>
  </si>
  <si>
    <t>Ganesh Satpute</t>
  </si>
  <si>
    <t>ANA neg LUPUS anticogulation neg</t>
  </si>
  <si>
    <t xml:space="preserve">Acute stroke right pre central gyris. Area of gliosis in Rt fronto parietal region and head of caudate nucleus  </t>
  </si>
  <si>
    <t xml:space="preserve">Paucity insular branches of Rt MCA. Soft plaque in Rt carotid body and origin of ICA. </t>
  </si>
  <si>
    <t>Rakesh Ghorpade</t>
  </si>
  <si>
    <t>Acute infract right centrum semiovale</t>
  </si>
  <si>
    <t>Sattyawan Taro</t>
  </si>
  <si>
    <t>Left centrum semiovale, left coronaradiata, left lentiform nucleus; left parrietal lobe infract with tiny areas of hemorrghic transformation</t>
  </si>
  <si>
    <t>Maruti S Bhise</t>
  </si>
  <si>
    <t>A/c infract Lt MCA terriory M1 occlusion</t>
  </si>
  <si>
    <t>Above Pt cut off M1 segment left MCA S/o thrombosis, Reformation of distal M2 segment with fomint opacification of superior division of left MCA</t>
  </si>
  <si>
    <t>Sunanda renuse</t>
  </si>
  <si>
    <t>Hyperhomocysteinemia</t>
  </si>
  <si>
    <t>Acute infract right MCA teritory</t>
  </si>
  <si>
    <t>Soft atherosclerotic plaque of bifruation of Rt CCA about cut off superior division of M2 segment of Rt MCA</t>
  </si>
  <si>
    <t>Manik Namdar</t>
  </si>
  <si>
    <t>A/C infract Rt fronto parieto-temporo</t>
  </si>
  <si>
    <t xml:space="preserve">Occipital lobes calcified atherosclerotic changes in supraclinoid segments of B/L ICA and mild focal narrowing on night. There is good distal non off. Mild focal narrowing on right. There is good distal non off. Mild focal narrowing at distal portion of M1 segment of Rt MCA. Paucity of cortical branches of MCA on the right </t>
  </si>
  <si>
    <t>Yashodha Devkar</t>
  </si>
  <si>
    <t>Acute infract body of right caudate nucleus and right putamen</t>
  </si>
  <si>
    <t>Mild atherosclerotic changes in both common carotid arteries hypodense eccentric plaque with surface irregulatey at origin of Rt ICA</t>
  </si>
  <si>
    <t xml:space="preserve">Govind  Saliyan </t>
  </si>
  <si>
    <t>H/o o/c/o Rt tibia opened rod in situ 4 months back</t>
  </si>
  <si>
    <t xml:space="preserve">AIS in rt GC region, rt cerebral peduncle and Lt frontal region </t>
  </si>
  <si>
    <t>Reports not found</t>
  </si>
  <si>
    <t>Dnyanoba Dhindale</t>
  </si>
  <si>
    <t>Rt MCA PCA watershed infract</t>
  </si>
  <si>
    <t xml:space="preserve">90% stenosis of Rt vertebral ostium and stenosis inferior division of right MCA </t>
  </si>
  <si>
    <t>Sidhheshwar Fatate</t>
  </si>
  <si>
    <t>PAst H/o Hansen's disease</t>
  </si>
  <si>
    <t>Right corona radiata infract</t>
  </si>
  <si>
    <t>Prakash Kadam</t>
  </si>
  <si>
    <t>Left MCA PCA watershed infract</t>
  </si>
  <si>
    <t xml:space="preserve">Ravindra Maral </t>
  </si>
  <si>
    <t xml:space="preserve">Left PCA-MCA watershed infract </t>
  </si>
  <si>
    <t>Left internal carotid artery clinoid Partial stenosis (70-75% luminal narrowing)</t>
  </si>
  <si>
    <t>Vikrant Salunkhe</t>
  </si>
  <si>
    <t xml:space="preserve">Right pre central gyris infract and right posterior frontal subcortical white matter </t>
  </si>
  <si>
    <t>Balasaheb Washilkar</t>
  </si>
  <si>
    <t xml:space="preserve">Aspiration pneumonia </t>
  </si>
  <si>
    <t>Completer non-opacification of Lt ICA from its origin and Lt MCA suggestive of thrombosis</t>
  </si>
  <si>
    <t>Bhikoba Khotape</t>
  </si>
  <si>
    <t>S. Iron-14, UIBC- 345, TIBC- 359, transferrin saturation-3.89%</t>
  </si>
  <si>
    <t>S/O multiple infracts in Lt fronto temporal parieatal region likely embolic</t>
  </si>
  <si>
    <t>Deepak Tiwari</t>
  </si>
  <si>
    <t>Left Corona radiata infract</t>
  </si>
  <si>
    <t>Anusaya Kharat</t>
  </si>
  <si>
    <t>Generalised weakness since 25 days</t>
  </si>
  <si>
    <t xml:space="preserve">Large left MCA infract with mass effect and midline shift 2.2mm to right. </t>
  </si>
  <si>
    <t>Vijaykumar Biradar</t>
  </si>
  <si>
    <t>Right MCA patchy infracts and Rt periventricular white matter</t>
  </si>
  <si>
    <t>Right M2 block. Right ICA origin plaque &lt; 50% occlusion. B/L vetebral ostium origin stenosis</t>
  </si>
  <si>
    <t>Udhavrao Salunkhe</t>
  </si>
  <si>
    <t>Left corona radiata infract right anterior temporal small infract old left pontine hemorrhage</t>
  </si>
  <si>
    <t>Small wide necked saccular aneunysm arising feom the inferior part of A3 segment if rt ACA. Calcified atherosclerotic plaques involving the petrous, cavernous, clinoid and ophthalmic segments of B/L ICA's causing mild luminal narrowing (Lt&gt;Rt). Atherosclerotic plaque involving V4 segment of Lt vetebral artery causing partial luminal narrowing.</t>
  </si>
  <si>
    <t>Sanjay Kamble</t>
  </si>
  <si>
    <t>Left Insular region and inferior frontal gyris acute infract</t>
  </si>
  <si>
    <t>Left MCA M2 superior division thrombosis</t>
  </si>
  <si>
    <t>Bhivaji Dombale</t>
  </si>
  <si>
    <t>ANI</t>
  </si>
  <si>
    <t>Left corona radiata + putamen infract</t>
  </si>
  <si>
    <t>Vikram Nalkare</t>
  </si>
  <si>
    <t>Acute infract posterior aspect of left lentiform nucleus, posterior limb of internal capsule and corona radiata</t>
  </si>
  <si>
    <t>Left ICA origin plaque causing N 50% stenosis</t>
  </si>
  <si>
    <t>Hanumant Gaikwad</t>
  </si>
  <si>
    <t>Rt internal watershed, ACA-MCA, MCA-PCA watershed infracts</t>
  </si>
  <si>
    <t>Rt ICA 99% stenosis and right M1 stenosis random occlusion</t>
  </si>
  <si>
    <t>Shakuntala Shelar</t>
  </si>
  <si>
    <t>Shivaji Jadhav</t>
  </si>
  <si>
    <t xml:space="preserve">Shivkumar Berole </t>
  </si>
  <si>
    <t>ANA neg CRP 1.5 ESR 12</t>
  </si>
  <si>
    <t>A/C Rt MCA infract</t>
  </si>
  <si>
    <t>Complete occlision of distal M1 segment of Rt MCA and inferior division of M2 segment of Rt MCA</t>
  </si>
  <si>
    <t>Kishor Deshmukh</t>
  </si>
  <si>
    <t>Left Internal watershed infract</t>
  </si>
  <si>
    <t>Left ICA &gt;90% stenosis and left supraclinoid ICA minimal stenosis</t>
  </si>
  <si>
    <t>Lalbahadur singh</t>
  </si>
  <si>
    <t>Right PCA- MCA watershed and Rt MCA teritory watershed infract</t>
  </si>
  <si>
    <t xml:space="preserve">Right MCA M2 thrombosis; </t>
  </si>
  <si>
    <t>Sandeep Sharma</t>
  </si>
  <si>
    <t>ANA Neg  ESR 11 CRP 4.1</t>
  </si>
  <si>
    <t>Left ACA infract</t>
  </si>
  <si>
    <t xml:space="preserve">Abrupt cut off A2 segment of Left ACA likely suggestive of complete occlusion </t>
  </si>
  <si>
    <t>Tabssum Kjan</t>
  </si>
  <si>
    <t xml:space="preserve">ESR- 6 CRP 4.8 </t>
  </si>
  <si>
    <t>Left corona radiata and left puatamen acute infract</t>
  </si>
  <si>
    <t>Left CCA occlused left ICA reformed by circle of willis Left M1 thrombus</t>
  </si>
  <si>
    <t>Prakash Shirgaonkar</t>
  </si>
  <si>
    <t>Left corona radiata acute infract multiple bilateral chronic infracts</t>
  </si>
  <si>
    <t xml:space="preserve">Right vertebral V4 segment plaque rest normal </t>
  </si>
  <si>
    <t>Dhondiba Rawade</t>
  </si>
  <si>
    <t>Right pre fronal acute infract</t>
  </si>
  <si>
    <t>Madhav Belvakar</t>
  </si>
  <si>
    <t xml:space="preserve">Rt corona a/c infract with hemorrhagic transformation </t>
  </si>
  <si>
    <t>A/c thrombus in Rt pulmonary artery brain angio N critical stenosis at origin of left ICA. left sigmoid sinus thrombosis</t>
  </si>
  <si>
    <t>Padunrang Jadhav</t>
  </si>
  <si>
    <t>Left posterior limb of internal capsule infract</t>
  </si>
  <si>
    <t>Left ICA 80% stenosis at origin</t>
  </si>
  <si>
    <t xml:space="preserve">Chandrakant Khandale </t>
  </si>
  <si>
    <t xml:space="preserve">Right internal watershed infract and rt FP and occipital region </t>
  </si>
  <si>
    <t>Right ICA 99% stenosis at origin Left ICA 90% stenosis at origin Rt ICA at CCA left vetebral artery hypoplastic bifurcation</t>
  </si>
  <si>
    <t>Kantilal Kudale</t>
  </si>
  <si>
    <t>Left internal watershed infract acute Right MCA-PCA; MCA ACA old watershed infracts</t>
  </si>
  <si>
    <t>Rt ICA 95% stenosis CT ICA 99% stenosis Rt vetebral artery 60-70% stenosis mild basilar 90% stenosis subcloning steal phenomenon</t>
  </si>
  <si>
    <t>Prabhavati Bhargvde</t>
  </si>
  <si>
    <t>Surekha Kale</t>
  </si>
  <si>
    <t>left reument artery of heubner infarct and left internal watershed infract</t>
  </si>
  <si>
    <t xml:space="preserve">Acute NHI involving rt high frontal cortex, head of rt caudate nucleus and anterior part and putamen Atheroscleotic plaque causing complete luminal narrowing at the origin of the rt ICA non- visualised of the rt ICA rt MCA </t>
  </si>
  <si>
    <t>Tukaram Potdar</t>
  </si>
  <si>
    <t>Rt PCA infract and PCIC  infract, Rt temporal and occipital lobe infract</t>
  </si>
  <si>
    <t xml:space="preserve">Complete Rt CCA occlusion </t>
  </si>
  <si>
    <t>Mahadev Gaikwad</t>
  </si>
  <si>
    <t xml:space="preserve">Right pre central gyris infract </t>
  </si>
  <si>
    <t>Latif Munir</t>
  </si>
  <si>
    <t>Right centrum semiovale infract</t>
  </si>
  <si>
    <t>Sumit Pawar</t>
  </si>
  <si>
    <t>accerated atheroscerotic cryptogenic stroke left eye CRAO</t>
  </si>
  <si>
    <t xml:space="preserve">Left fronto parietal infract periodontics left post central gyris left nucleus left lentiform nucleus left post limb of internal capsule left insular cortex and left anterior temporal region </t>
  </si>
  <si>
    <t>Left ICA 99% stenosis left M2 occlusion</t>
  </si>
  <si>
    <t>Prem singh Janala</t>
  </si>
  <si>
    <t>Left corona radiata and posteroir limb of internal capsule infract</t>
  </si>
  <si>
    <t>Rt ICA plaque &lt;50% stenosis</t>
  </si>
  <si>
    <t>Subhadra Mali</t>
  </si>
  <si>
    <t xml:space="preserve">Right MCA(inferior division)  old left PICA infract </t>
  </si>
  <si>
    <t>Right MCA inferior division occlusion</t>
  </si>
  <si>
    <t>Rajani Dahrashivkar</t>
  </si>
  <si>
    <t>Kl c/o rheumatic arthitis</t>
  </si>
  <si>
    <t>Right M1 infract</t>
  </si>
  <si>
    <t xml:space="preserve">Right M1 segment of MCA narrowing </t>
  </si>
  <si>
    <t>Dattatray Kulkarni</t>
  </si>
  <si>
    <t xml:space="preserve">Anemia with non healing ulcer </t>
  </si>
  <si>
    <t>Ferritin 111, S iron- 63, UIBC- 118, TIBC- 181,  transferin saturation-34</t>
  </si>
  <si>
    <t xml:space="preserve">Acute NHI in the rt fronto parietal temporal lobe paucity of cortical sement of right MCA with dealyed emphying </t>
  </si>
  <si>
    <t xml:space="preserve">Paucity noted in cortical branches of rt MCA with dealyed emphying </t>
  </si>
  <si>
    <t>Ratnmala A Gaikwad</t>
  </si>
  <si>
    <t xml:space="preserve">Hypothyroid </t>
  </si>
  <si>
    <t xml:space="preserve">Right MCA PCA watershed infract </t>
  </si>
  <si>
    <t>Non opacification of V4 segement of left vetebral artery</t>
  </si>
  <si>
    <t xml:space="preserve">Parvati Salunkhe </t>
  </si>
  <si>
    <t>Left long insular artery infract left external capsule  infract</t>
  </si>
  <si>
    <t>Normal. Rt vetebral artery hypoplastic/ thromnosed</t>
  </si>
  <si>
    <t>Sambhaji Shinde</t>
  </si>
  <si>
    <t>Acute NHI in Lt centrum semiovale and corona radiata age related cerebral atrophy wiht chronic small vessel ischemic changes</t>
  </si>
  <si>
    <t>partially occluding thrombus formation in left subclavian artery and CCA. A calcifies atherosclerotic plaque in the Lt ICA non- distal to bifurcation from Lt common carotid artery not causing significant luminal compromise</t>
  </si>
  <si>
    <t xml:space="preserve">Dnyaneshwar Kumbhar </t>
  </si>
  <si>
    <t xml:space="preserve">Right corona radiata infract and internal capsule </t>
  </si>
  <si>
    <t>Right M1 MCA infract left CCA plaque causing 40-50% stenosis</t>
  </si>
  <si>
    <t>Vaishali Deshpande</t>
  </si>
  <si>
    <t>Omkar Navgive</t>
  </si>
  <si>
    <t xml:space="preserve">Left corona radiata; left middle frontal gyris and left prefrontal cortex infract </t>
  </si>
  <si>
    <t>Left ICA origin floating thrombus + plaque causing &lt; 50% stenosis</t>
  </si>
  <si>
    <t>Ashok Gite</t>
  </si>
  <si>
    <t xml:space="preserve">Right corona radiata; medical temporal lobe patchy infract in Rt periatrial region and left caudate region </t>
  </si>
  <si>
    <t>Right M1 stenosis, left V4 stenosis</t>
  </si>
  <si>
    <t>Dharmraj Patil</t>
  </si>
  <si>
    <t>Right MCA M3 block Rt insula; Rt frontal operculum infract</t>
  </si>
  <si>
    <t>Post lysis angiography left ICA 50% stenosis (Left M1 stenosis)</t>
  </si>
  <si>
    <t>Kisan Ranjane</t>
  </si>
  <si>
    <t>Satish Bhalerao</t>
  </si>
  <si>
    <t>Right MCA inferior division infract</t>
  </si>
  <si>
    <t>Utkarsh Kshirsagar</t>
  </si>
  <si>
    <t>Left MCA ; inferior division infract</t>
  </si>
  <si>
    <t xml:space="preserve">Left MCA M3 occlusion due to thrombus. Floating thrombus has disppeard left ICA small plaque  causing &lt; 30% occlusion </t>
  </si>
  <si>
    <t>Shakuntala Dhumal</t>
  </si>
  <si>
    <t>Patchy infracts in B/L ACA- MCA and left MCA-PCA and left internal watershed infracts old right internal watershed infracts</t>
  </si>
  <si>
    <t>Rt ICA narrowing 50% at origin and cavernous segment of Rt ICA occludeal/tight stenosis</t>
  </si>
  <si>
    <t>Devendra Sigh</t>
  </si>
  <si>
    <t>Left external capsule and putamen infract, left corona radiata, left lentiform nucleus</t>
  </si>
  <si>
    <t>Vilas Gaikwad</t>
  </si>
  <si>
    <t>CRP- 180, ESR-16, ferritin-383, S IRon-82, UIBC-200,TIBC- 282, transferrin saturation-29.7</t>
  </si>
  <si>
    <t>Acute NHI in Lt MCA teritory</t>
  </si>
  <si>
    <t>Normal with filling detect in the left carotid bifurcation</t>
  </si>
  <si>
    <t>CCA plaque ulcerated causing 30-40% stenosis with free floating thrombus . and left ICA thrombus occlusion</t>
  </si>
  <si>
    <t xml:space="preserve">Bista Bidhya </t>
  </si>
  <si>
    <t>Kiran Pardeshi</t>
  </si>
  <si>
    <t>ESR-13, CRP-42</t>
  </si>
  <si>
    <t>Left insular region tiny infract</t>
  </si>
  <si>
    <t>Left M1 stenosis basilar artery right stenosis</t>
  </si>
  <si>
    <t>Dagadubai Walung</t>
  </si>
  <si>
    <t xml:space="preserve">Left MCA infract massive </t>
  </si>
  <si>
    <t>Left M1 occlusion B/L ICA non-occlusive plaques Rt vetebral artery hypoplastic</t>
  </si>
  <si>
    <t>Shivaji Chavan</t>
  </si>
  <si>
    <t>Left corona radiata infract and posterior limb of internal capsule</t>
  </si>
  <si>
    <t>Left M2 distal stenosis</t>
  </si>
  <si>
    <t>Madhukar Khangute</t>
  </si>
  <si>
    <t>Hyperacute to acute NHI in the Lt MCA and PCA teritory</t>
  </si>
  <si>
    <t>Complete non-opacification of Lt ICA origin atherosclerotic plaque at origin of Lt ICA and carvenous segment of B/L ICAs M1 segment Lt MCA and ACA show opacification</t>
  </si>
  <si>
    <t>Ritesh Bhate</t>
  </si>
  <si>
    <t>Parvati Saste</t>
  </si>
  <si>
    <t xml:space="preserve">Left MCA infract with hemorhagic transformation and mild line shift </t>
  </si>
  <si>
    <t>Left distal M1 block</t>
  </si>
  <si>
    <t>Chandrabhagabai Gite</t>
  </si>
  <si>
    <t>Right ACA MCA; MCA PCA and internal watershed infract</t>
  </si>
  <si>
    <t>Right ICA origin 90% stenosis and right M1 stenosis. freedom stenosis</t>
  </si>
  <si>
    <t>Nilesh Dhande</t>
  </si>
  <si>
    <t xml:space="preserve">hypodensity seen in Lt temporo-parietal lobe S/O acute infract </t>
  </si>
  <si>
    <t>Left ICA carvenous, clinoid, supraclinoid 85-90% luminal narrowing. Thrombus in left superior division M2 complete occlusion of inferior division of left MCA</t>
  </si>
  <si>
    <t>Bajarang Jadhav</t>
  </si>
  <si>
    <t>Arun Rale</t>
  </si>
  <si>
    <t>Vijay Bhilare</t>
  </si>
  <si>
    <t xml:space="preserve">Left PCA MCA watershed infract </t>
  </si>
  <si>
    <t>Left ICA carvenous, supraclinoid and terminal segments severe luminal narrowing (&gt; 90%)</t>
  </si>
  <si>
    <t>Suresh Acharehar</t>
  </si>
  <si>
    <t>Right M3 thombus, occlusion distal to M1 segment of the rt MCA</t>
  </si>
  <si>
    <t>Mandakini Shinde</t>
  </si>
  <si>
    <t>Left ICA smooth tapering of distal/end possible dissection</t>
  </si>
  <si>
    <t xml:space="preserve">Prakash Deshmukh </t>
  </si>
  <si>
    <t>Left ICA and MCA M1 occlusion paucity of cortical branches of Lt MCA. Mild peripheral opacification of M2 segment and superior division of MCA</t>
  </si>
  <si>
    <t>AMA, APLA, ESR-2, CRP-16</t>
  </si>
  <si>
    <t xml:space="preserve">Acute NHI in left P-T region and left insular cortex occlusion of superior division of left MCA with reconalization of inferior division </t>
  </si>
  <si>
    <t>Left M1 occlusion (superior division)</t>
  </si>
  <si>
    <t>Sambhaji Wawale</t>
  </si>
  <si>
    <t>A/c infract Rt corona radiata and posterior limb of internal capsule</t>
  </si>
  <si>
    <t>Achitrao Gaikwad</t>
  </si>
  <si>
    <t>Left parieto occipital and selenium  of corpus callosum infract</t>
  </si>
  <si>
    <t>Rashid Shaikh</t>
  </si>
  <si>
    <t xml:space="preserve">Left corona radiata acute infract and left GC region </t>
  </si>
  <si>
    <t>suspected left ICA origin plaque</t>
  </si>
  <si>
    <t>Sachin Pandagale</t>
  </si>
  <si>
    <t>Left PCA-MCA watershed infract</t>
  </si>
  <si>
    <t>Left ICA floating thrombus</t>
  </si>
  <si>
    <t>Dattatray Jadhav</t>
  </si>
  <si>
    <t>Suman Shinde</t>
  </si>
  <si>
    <t>Random Glucose- 75</t>
  </si>
  <si>
    <t xml:space="preserve">Acute infract Rt centrum semiovale </t>
  </si>
  <si>
    <t>Mild left M1 stenosis Rt normal</t>
  </si>
  <si>
    <t xml:space="preserve">Genu shinde </t>
  </si>
  <si>
    <t xml:space="preserve">Right centrum semiovale infract </t>
  </si>
  <si>
    <t>Keshavbai shinde</t>
  </si>
  <si>
    <t xml:space="preserve">Left insular infract </t>
  </si>
  <si>
    <t>Left ICA occluted from origin (100%) and left M3 infract</t>
  </si>
  <si>
    <t>Aparna Talathi</t>
  </si>
  <si>
    <t xml:space="preserve">Rajendra Naik </t>
  </si>
  <si>
    <t>Anjali Dubey</t>
  </si>
  <si>
    <t>Right MCA infract old Rt MCA PCA gliosis</t>
  </si>
  <si>
    <t>Right MCA superior division occlusion</t>
  </si>
  <si>
    <t xml:space="preserve">Ramesh Rao </t>
  </si>
  <si>
    <t>Dementia</t>
  </si>
  <si>
    <t>Left MCA-PCA watershed infract and left internal watershed infract</t>
  </si>
  <si>
    <t>B/L supraclinoid plaque; not causing obstruation</t>
  </si>
  <si>
    <t xml:space="preserve">Kiran shinde </t>
  </si>
  <si>
    <t>Hyperhomocystiemia</t>
  </si>
  <si>
    <t xml:space="preserve">Rt ACA and Rt MCA superior division infract with hemorrhagic conversion </t>
  </si>
  <si>
    <t>Right ICA occlusion and Rt MCA M1 occlusion</t>
  </si>
  <si>
    <t>Sagar Borkar</t>
  </si>
  <si>
    <t>Rt centrum semiovale infract</t>
  </si>
  <si>
    <t>Ambadas PAwar</t>
  </si>
  <si>
    <t>Internal watershed infarct (Outside)</t>
  </si>
  <si>
    <t>Rt ICA occlusion from origin</t>
  </si>
  <si>
    <t>Indubai Sarang</t>
  </si>
  <si>
    <t>Acute infract seen in cortical and subcortical white matter of Lt frontal, parietal and temporal lobe, Lt centrum semiovale, Lt corona radiata and Lt lentiform nucleus</t>
  </si>
  <si>
    <t>Atherosclerotic plaque at Lt carotid bulb narrowing Rt ICA . the plaque extends =10 mm ICA distal narrowing upto 6.4mm causing 50-60%</t>
  </si>
  <si>
    <t>PAnchal Hiroji</t>
  </si>
  <si>
    <t>Left corona radiata infract/ left thrombus</t>
  </si>
  <si>
    <t>Sunil Dhone</t>
  </si>
  <si>
    <t>Left distal MCA infract</t>
  </si>
  <si>
    <t>Left M2 distal thrombosis</t>
  </si>
  <si>
    <t xml:space="preserve">Inayat Shaikh </t>
  </si>
  <si>
    <t>COMPLETE</t>
  </si>
  <si>
    <t>Stroke volume</t>
  </si>
  <si>
    <t>UID</t>
  </si>
  <si>
    <t>AD</t>
  </si>
  <si>
    <t>AG</t>
  </si>
  <si>
    <t>AI</t>
  </si>
  <si>
    <t>AN</t>
  </si>
  <si>
    <t>AO</t>
  </si>
  <si>
    <t>AQ</t>
  </si>
  <si>
    <t>AT</t>
  </si>
  <si>
    <t>AU</t>
  </si>
  <si>
    <t>AY</t>
  </si>
  <si>
    <t>AZ</t>
  </si>
  <si>
    <t>BA</t>
  </si>
  <si>
    <t>BD</t>
  </si>
  <si>
    <t>BI</t>
  </si>
  <si>
    <t>BK</t>
  </si>
  <si>
    <t>BL</t>
  </si>
  <si>
    <t>BM</t>
  </si>
  <si>
    <t>BO</t>
  </si>
  <si>
    <t>BP</t>
  </si>
  <si>
    <t>BX</t>
  </si>
  <si>
    <t>BY</t>
  </si>
  <si>
    <t>CA</t>
  </si>
  <si>
    <t>CD</t>
  </si>
  <si>
    <t>CE</t>
  </si>
  <si>
    <t>CF</t>
  </si>
  <si>
    <t>CG</t>
  </si>
  <si>
    <t>CH</t>
  </si>
  <si>
    <t>CI</t>
  </si>
  <si>
    <t>CJ</t>
  </si>
  <si>
    <t>CK</t>
  </si>
  <si>
    <t>CO</t>
  </si>
  <si>
    <t>CQ</t>
  </si>
  <si>
    <t>CR</t>
  </si>
  <si>
    <t>CT</t>
  </si>
  <si>
    <t>CU</t>
  </si>
  <si>
    <t>CX</t>
  </si>
  <si>
    <t>CY</t>
  </si>
  <si>
    <t>DL</t>
  </si>
  <si>
    <t>DM</t>
  </si>
  <si>
    <t>DN</t>
  </si>
  <si>
    <t>DO</t>
  </si>
  <si>
    <t>DP</t>
  </si>
  <si>
    <t>DQ</t>
  </si>
  <si>
    <t>DR</t>
  </si>
  <si>
    <t>DS</t>
  </si>
  <si>
    <t>DT</t>
  </si>
  <si>
    <t>DU</t>
  </si>
  <si>
    <t>DW</t>
  </si>
  <si>
    <t>DX</t>
  </si>
  <si>
    <t>DY</t>
  </si>
  <si>
    <t>EA</t>
  </si>
  <si>
    <t>EB</t>
  </si>
  <si>
    <t>EC</t>
  </si>
  <si>
    <t>EF</t>
  </si>
  <si>
    <t>EH</t>
  </si>
  <si>
    <t>EI</t>
  </si>
  <si>
    <t>EJ</t>
  </si>
  <si>
    <t>EM</t>
  </si>
  <si>
    <t>EN</t>
  </si>
  <si>
    <t>EO</t>
  </si>
  <si>
    <t>EP</t>
  </si>
  <si>
    <t>ER</t>
  </si>
  <si>
    <t>ES</t>
  </si>
  <si>
    <t>ET</t>
  </si>
  <si>
    <t>EU</t>
  </si>
  <si>
    <t>EW</t>
  </si>
  <si>
    <t>EX</t>
  </si>
  <si>
    <t>EY</t>
  </si>
  <si>
    <t>EZ</t>
  </si>
  <si>
    <t>FA</t>
  </si>
  <si>
    <t>FB</t>
  </si>
  <si>
    <t>FC</t>
  </si>
  <si>
    <t>FD</t>
  </si>
  <si>
    <t>FE</t>
  </si>
  <si>
    <t>FG</t>
  </si>
  <si>
    <t>FH</t>
  </si>
  <si>
    <t>FJ</t>
  </si>
  <si>
    <t>FL</t>
  </si>
  <si>
    <t>FM</t>
  </si>
  <si>
    <t>FN</t>
  </si>
  <si>
    <t>FQ</t>
  </si>
  <si>
    <t>FU</t>
  </si>
  <si>
    <t>FW</t>
  </si>
  <si>
    <t>FX</t>
  </si>
  <si>
    <t>FY</t>
  </si>
  <si>
    <t>GL</t>
  </si>
  <si>
    <t>GS</t>
  </si>
  <si>
    <t>GT</t>
  </si>
  <si>
    <t>GU</t>
  </si>
  <si>
    <t>GV</t>
  </si>
  <si>
    <t>GX</t>
  </si>
  <si>
    <t>GY</t>
  </si>
  <si>
    <t>GZ</t>
  </si>
  <si>
    <t>HA</t>
  </si>
  <si>
    <t>HB</t>
  </si>
  <si>
    <t>HC</t>
  </si>
  <si>
    <t>HD</t>
  </si>
  <si>
    <t>HF</t>
  </si>
  <si>
    <t>HG</t>
  </si>
  <si>
    <t>HH</t>
  </si>
  <si>
    <t>HI</t>
  </si>
  <si>
    <t>HJ</t>
  </si>
  <si>
    <t>HK</t>
  </si>
  <si>
    <t>HL</t>
  </si>
  <si>
    <t>HM</t>
  </si>
  <si>
    <t>HN</t>
  </si>
  <si>
    <t>HO</t>
  </si>
  <si>
    <t>HP</t>
  </si>
  <si>
    <t>HS</t>
  </si>
  <si>
    <t>HU</t>
  </si>
  <si>
    <t>HV</t>
  </si>
  <si>
    <t>HW</t>
  </si>
  <si>
    <t>HY</t>
  </si>
  <si>
    <t>IE</t>
  </si>
  <si>
    <t>IG</t>
  </si>
  <si>
    <t>II</t>
  </si>
  <si>
    <t>IJ</t>
  </si>
  <si>
    <t>IK</t>
  </si>
  <si>
    <t>IL</t>
  </si>
  <si>
    <t>IM</t>
  </si>
  <si>
    <t>IO</t>
  </si>
  <si>
    <t>IQ</t>
  </si>
  <si>
    <t>IS</t>
  </si>
  <si>
    <t>IU</t>
  </si>
  <si>
    <t>IV</t>
  </si>
  <si>
    <t>JD</t>
  </si>
  <si>
    <t>JH</t>
  </si>
  <si>
    <t>JI</t>
  </si>
  <si>
    <t>JK</t>
  </si>
  <si>
    <t>JL</t>
  </si>
  <si>
    <t>KA</t>
  </si>
  <si>
    <t>KF</t>
  </si>
  <si>
    <t>KJ</t>
  </si>
  <si>
    <t>KK</t>
  </si>
  <si>
    <t>KO</t>
  </si>
  <si>
    <t>KS</t>
  </si>
  <si>
    <t>LC</t>
  </si>
  <si>
    <t>LD</t>
  </si>
  <si>
    <t>LI</t>
  </si>
  <si>
    <t>LJ</t>
  </si>
  <si>
    <t>LN</t>
  </si>
  <si>
    <t>LR</t>
  </si>
  <si>
    <t>MB</t>
  </si>
  <si>
    <t>MD</t>
  </si>
  <si>
    <t>MI</t>
  </si>
  <si>
    <t>ML</t>
  </si>
  <si>
    <t>MM</t>
  </si>
  <si>
    <t>MY</t>
  </si>
  <si>
    <t>NB</t>
  </si>
  <si>
    <t>ND</t>
  </si>
  <si>
    <t>NG</t>
  </si>
  <si>
    <t>NO</t>
  </si>
  <si>
    <t>OI</t>
  </si>
  <si>
    <t>Name</t>
  </si>
  <si>
    <t>PRN</t>
  </si>
  <si>
    <t>age</t>
  </si>
  <si>
    <t>gender</t>
  </si>
  <si>
    <t>date of onset</t>
  </si>
  <si>
    <t>time of onset</t>
  </si>
  <si>
    <t>date of admission</t>
  </si>
  <si>
    <t>date of discharge</t>
  </si>
  <si>
    <t>cell1</t>
  </si>
  <si>
    <t>cell2</t>
  </si>
  <si>
    <t>NIHSS</t>
  </si>
  <si>
    <t>SHT</t>
  </si>
  <si>
    <t>Alcohol</t>
  </si>
  <si>
    <t>smoking</t>
  </si>
  <si>
    <t>tobacco</t>
  </si>
  <si>
    <t>dyslipidaemia</t>
  </si>
  <si>
    <t>atrial fibrillation</t>
  </si>
  <si>
    <t>IHD</t>
  </si>
  <si>
    <t>rheumatic heart disease</t>
  </si>
  <si>
    <t>other risk factors</t>
  </si>
  <si>
    <t>haemoglobin</t>
  </si>
  <si>
    <t>PCV</t>
  </si>
  <si>
    <t>MCV</t>
  </si>
  <si>
    <t>Homocystiene</t>
  </si>
  <si>
    <t>HbA1C</t>
  </si>
  <si>
    <t>Cholesterol</t>
  </si>
  <si>
    <t>HDL Cholesterol</t>
  </si>
  <si>
    <t>Triglycerides</t>
  </si>
  <si>
    <t>V LDL</t>
  </si>
  <si>
    <t>b 12</t>
  </si>
  <si>
    <t>other investigations</t>
  </si>
  <si>
    <t>strokevolume</t>
  </si>
  <si>
    <t>MRI Brain</t>
  </si>
  <si>
    <t>side of infarct</t>
  </si>
  <si>
    <t>CT Angiography</t>
  </si>
  <si>
    <t>Rt</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</si>
  <si>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</si>
  <si>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</si>
  <si>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</si>
  <si>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</si>
  <si>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</si>
  <si>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</si>
  <si>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</si>
  <si>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</si>
  <si>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</si>
  <si>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</si>
  <si>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</si>
  <si>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</si>
  <si>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</si>
  <si>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</si>
  <si>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</si>
  <si>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Rt infraclinoid ICA</t>
  </si>
  <si>
    <t>Rt Supraclinoid ICA</t>
  </si>
  <si>
    <t>Rt Proximal M1 MCA</t>
  </si>
  <si>
    <t>Rt Distal M1 MCA</t>
  </si>
  <si>
    <t>Rt M2MCA rear</t>
  </si>
  <si>
    <t>Rt M2 MCA forward</t>
  </si>
  <si>
    <t>Rt A1 ACA</t>
  </si>
  <si>
    <t>Lt infraclinoid ICA</t>
  </si>
  <si>
    <t>Lt Supraclinoid ICA</t>
  </si>
  <si>
    <t>Lt Proximal M1 MCA</t>
  </si>
  <si>
    <t>Lt Distal M1 MCA</t>
  </si>
  <si>
    <t>Lt M2MCA rear</t>
  </si>
  <si>
    <t>Lt M2 MCA forward</t>
  </si>
  <si>
    <t>Lt A1 ACA</t>
  </si>
  <si>
    <t>clot burden score</t>
  </si>
  <si>
    <t>Lt ICA origin</t>
  </si>
  <si>
    <t>Rt ICA origin</t>
  </si>
  <si>
    <t>CCA</t>
  </si>
  <si>
    <t>past history of stroke/TIA</t>
  </si>
  <si>
    <t>Rekha Bhapkar</t>
  </si>
  <si>
    <t>18-08-2024</t>
  </si>
  <si>
    <t>Rt MCA tertiory infract</t>
  </si>
  <si>
    <t xml:space="preserve">Rt CCA from origin occluded Left ICA occluded from origin </t>
  </si>
  <si>
    <t>Satyajeet Adhawade</t>
  </si>
  <si>
    <t>23-08-2024</t>
  </si>
  <si>
    <t>26-08-2024</t>
  </si>
  <si>
    <t>Vishal Pasalkar</t>
  </si>
  <si>
    <t>20-08-2024</t>
  </si>
  <si>
    <t>Left ICA floating thrombus and left M2 distal thrombus</t>
  </si>
  <si>
    <t>Bhimshankar Pawar</t>
  </si>
  <si>
    <t>Small infract in left MCA teritory old gliosis in Lt MCA teritory</t>
  </si>
  <si>
    <t>Lt ICA plaques not causing significant luminal occlusion</t>
  </si>
  <si>
    <t>28-08-2024</t>
  </si>
  <si>
    <t>Bhimaji Jagatap</t>
  </si>
  <si>
    <t>27-08-2024</t>
  </si>
  <si>
    <t xml:space="preserve">Acute rt corona radiata and rt centrum semiovale infract </t>
  </si>
  <si>
    <t xml:space="preserve">B/L carvenous/ clinoid supraclinoid ICA mild- moderate narrowing </t>
  </si>
  <si>
    <t>BN</t>
  </si>
  <si>
    <t>CS</t>
  </si>
  <si>
    <t>JQ</t>
  </si>
  <si>
    <t>Age</t>
  </si>
  <si>
    <t>Gender</t>
  </si>
  <si>
    <t>Onset Date</t>
  </si>
  <si>
    <t>Onset Time</t>
  </si>
  <si>
    <t>DOA</t>
  </si>
  <si>
    <t>DOD</t>
  </si>
  <si>
    <t>Telephone number</t>
  </si>
  <si>
    <t>NHSS</t>
  </si>
  <si>
    <t>Hypertension</t>
  </si>
  <si>
    <t>Diabetes</t>
  </si>
  <si>
    <t>Tobacco</t>
  </si>
  <si>
    <t>Smoker</t>
  </si>
  <si>
    <t>Dyslipidaemia</t>
  </si>
  <si>
    <t>Atrial Fibrillation</t>
  </si>
  <si>
    <t>Ischemic Heart Disease</t>
  </si>
  <si>
    <t>Rheumatic Heart Disease</t>
  </si>
  <si>
    <t>PastH/o Stroke/TIA</t>
  </si>
  <si>
    <t>Other risk factors</t>
  </si>
  <si>
    <t>Hemoglobin</t>
  </si>
  <si>
    <t>Homocysteine</t>
  </si>
  <si>
    <t>LDL Cholesterol</t>
  </si>
  <si>
    <t xml:space="preserve">HDL Cholesterol </t>
  </si>
  <si>
    <t>V-LDL</t>
  </si>
  <si>
    <t>Vit B12</t>
  </si>
  <si>
    <t>Vit D</t>
  </si>
  <si>
    <t>Other Risk Factor</t>
  </si>
  <si>
    <t>CT Report</t>
  </si>
  <si>
    <t>CT Angio</t>
  </si>
  <si>
    <t>CT Aspects</t>
  </si>
  <si>
    <t>Mass</t>
  </si>
  <si>
    <t>MIFFECT</t>
  </si>
  <si>
    <t>MCT Angio</t>
  </si>
  <si>
    <t>Endosprin</t>
  </si>
  <si>
    <t>Clopidrogrel</t>
  </si>
  <si>
    <t>Thrombolysis</t>
  </si>
  <si>
    <t>If Yes</t>
  </si>
  <si>
    <t>Anticogulatin</t>
  </si>
  <si>
    <t>Mechanical Thromoctomecy</t>
  </si>
  <si>
    <t>Decompression Cranioectomy</t>
  </si>
  <si>
    <t>Barthel Index</t>
  </si>
  <si>
    <t>Name TRISHA EXCEL</t>
  </si>
  <si>
    <t>BJ</t>
  </si>
  <si>
    <t>GW</t>
  </si>
  <si>
    <t>Shushma Gupta</t>
  </si>
  <si>
    <t xml:space="preserve">Left GC region infract hyper acute to acute NHI in Lt caudate nucleus and Lt corona radiata </t>
  </si>
  <si>
    <t xml:space="preserve">Kunal Shewale </t>
  </si>
  <si>
    <t>Left corona radiata infract, capsular warming sign and left putamen</t>
  </si>
  <si>
    <t>Bhalchandra govande</t>
  </si>
  <si>
    <t>Parkinsons disease, CVA 2023</t>
  </si>
  <si>
    <t>Rt malignat MCA teritory infract</t>
  </si>
  <si>
    <t>Rt M1 Occlusion</t>
  </si>
  <si>
    <t>Kumar  Mahasawade</t>
  </si>
  <si>
    <t xml:space="preserve">Shikrisha Joshi </t>
  </si>
  <si>
    <t>Stroke in 2020</t>
  </si>
  <si>
    <t xml:space="preserve">Acute infract in Rt pons Lt fronto parietal, Lt centrum semiovale, left corona radiata </t>
  </si>
  <si>
    <t xml:space="preserve">Large calcified plaque in Left ICA distal to origin causing 60 % narrowing , multiple plaque in B/L clinoid ICA </t>
  </si>
  <si>
    <t xml:space="preserve">Ganapatrao Baset </t>
  </si>
  <si>
    <t>Rt corona radiata infract and high parieatal region infract</t>
  </si>
  <si>
    <t>Mild calcified plaque in both intracranial ICA without narrowing</t>
  </si>
  <si>
    <t xml:space="preserve">Nitikesh Gaikwad </t>
  </si>
  <si>
    <t>ANA nuclear , coarse speckled positive ESR 7,CRP 81.4</t>
  </si>
  <si>
    <t>Left M1 MCA infract</t>
  </si>
  <si>
    <t>Left CCA plaque 60-70% stenosis, Left M1 thrombosis</t>
  </si>
  <si>
    <t>Lahot Krushna</t>
  </si>
  <si>
    <t>Rt MCA infarct superior division</t>
  </si>
  <si>
    <t>Rt MCA supeiror devision thrombus, atherosclerotic plaque with calcifications in left carotid bulb and origin of left ICA</t>
  </si>
  <si>
    <t>Wake up stroke LKW 09/09/2024 22:00</t>
  </si>
  <si>
    <t>Acute infract Lt ACA MCA PCA watershed infract</t>
  </si>
  <si>
    <t>Left carotid bulb 40% stenosis and origin of Left CCA 90% stenosis Rt ICA 70% stenosis</t>
  </si>
  <si>
    <t xml:space="preserve">Ovahal  Deepak </t>
  </si>
  <si>
    <t xml:space="preserve">Rt MCA PCA watershed infract </t>
  </si>
  <si>
    <t xml:space="preserve">Right ICA thrombus 60% occlusion </t>
  </si>
  <si>
    <t>Shelar Krushuna</t>
  </si>
  <si>
    <t xml:space="preserve">Wake up stroke LKW 12 midnight 19/09/2024, old CVA cardioembolic stroke </t>
  </si>
  <si>
    <t xml:space="preserve">Right MCA PCA and MCA ACA watershed infract </t>
  </si>
  <si>
    <t xml:space="preserve">Rt CCA thrombus </t>
  </si>
  <si>
    <t>Mangire Sharad</t>
  </si>
  <si>
    <t>Acute kidney injuri</t>
  </si>
  <si>
    <t>Left MCA M2 distal block</t>
  </si>
  <si>
    <t>Akbar Bhagawan</t>
  </si>
  <si>
    <t>PTCA to LCX done on 29/08/2024,heart failuar EF 40%, poliomyelitis</t>
  </si>
  <si>
    <t>Left MCA patchy infract</t>
  </si>
  <si>
    <t>Left ICA occlusion from origin, reformation of cavernous ICA from MMA</t>
  </si>
  <si>
    <t>Mahamuni Dattatray</t>
  </si>
  <si>
    <t>AIS 1 year ago , ADPKD, wake up stroke</t>
  </si>
  <si>
    <t xml:space="preserve">Left periventricular infract, acute infract left corona radiata </t>
  </si>
  <si>
    <t>Ganpat Dabhade</t>
  </si>
  <si>
    <t xml:space="preserve">Left pontine infract march 2024, onset time unknown </t>
  </si>
  <si>
    <t xml:space="preserve">Rt supraclinoid ICA stenosis and thrombosis of A1 segment of Rt ACA </t>
  </si>
  <si>
    <t xml:space="preserve">Jannat Shaikh </t>
  </si>
  <si>
    <t xml:space="preserve">Rt MCA PCA watershed infract and Rt internal watershed infract </t>
  </si>
  <si>
    <t xml:space="preserve">Eccentric plaque in rt carotid bulb extenting to carotid bifurcation and origin of rt ICA. </t>
  </si>
  <si>
    <t xml:space="preserve">Ankush Bhame </t>
  </si>
  <si>
    <t xml:space="preserve">Left corona radiata and left lentiform infract, left putamen, posterior aspect of left thalamus </t>
  </si>
  <si>
    <t xml:space="preserve">Anand Gaikwad </t>
  </si>
  <si>
    <t xml:space="preserve">Lilabai Bhosale </t>
  </si>
  <si>
    <t>wake up stroke, DAMA</t>
  </si>
  <si>
    <t xml:space="preserve">Right MCA massive infract right PCA infract with hemorrhagic transformation and 5.7mm midline shift </t>
  </si>
  <si>
    <t>Rt MCA M1 stenosis</t>
  </si>
  <si>
    <t xml:space="preserve">Pankaj Soni </t>
  </si>
  <si>
    <t>Sherbahadur Dholi</t>
  </si>
  <si>
    <t xml:space="preserve">Right periventricular infract </t>
  </si>
  <si>
    <t xml:space="preserve">Shrimantrao Deshmukh </t>
  </si>
  <si>
    <t xml:space="preserve">Rt MCA teritory infract </t>
  </si>
  <si>
    <t xml:space="preserve">Left MCA distal M1 thrombosis </t>
  </si>
  <si>
    <t>FV</t>
  </si>
  <si>
    <t>BH</t>
  </si>
  <si>
    <t>BT</t>
  </si>
  <si>
    <t>BR</t>
  </si>
  <si>
    <t>IP</t>
  </si>
  <si>
    <t>JR</t>
  </si>
  <si>
    <t>BS</t>
  </si>
  <si>
    <t>DG</t>
  </si>
  <si>
    <t>GJ</t>
  </si>
  <si>
    <t>AH</t>
  </si>
  <si>
    <t>GM</t>
  </si>
  <si>
    <t>DH</t>
  </si>
  <si>
    <t>FR</t>
  </si>
  <si>
    <t>OV</t>
  </si>
  <si>
    <t>BE</t>
  </si>
  <si>
    <t>LY</t>
  </si>
  <si>
    <t>IZ</t>
  </si>
  <si>
    <t>IC</t>
  </si>
  <si>
    <t>KN</t>
  </si>
  <si>
    <t>MH</t>
  </si>
  <si>
    <t>EL</t>
  </si>
  <si>
    <t>Anita Yedge</t>
  </si>
  <si>
    <t xml:space="preserve">Hrushikesh Shah </t>
  </si>
  <si>
    <t xml:space="preserve">Shriganesh Dhere </t>
  </si>
  <si>
    <t xml:space="preserve">B/L internal watershed infracts </t>
  </si>
  <si>
    <t>Rt clinoid ICA right stenosis (80-90%)</t>
  </si>
  <si>
    <t xml:space="preserve">Nitin Nanekar </t>
  </si>
  <si>
    <t>kalburgi siddharam</t>
  </si>
  <si>
    <t>Left corona radiata and putamen infarct</t>
  </si>
  <si>
    <t>sangita musande</t>
  </si>
  <si>
    <t>Left PCA MCA watershed infarct 1.5 years ago</t>
  </si>
  <si>
    <t>Right inferior division of MCA infarct</t>
  </si>
  <si>
    <t>Rt M3 division of MCA occluded, Left M1 stenosis and left cavernous segment of ICA stenosis</t>
  </si>
  <si>
    <t>Pawar reshma</t>
  </si>
  <si>
    <t>Right lenticulostriate infarct</t>
  </si>
  <si>
    <t>left M1 minimal stenosis</t>
  </si>
  <si>
    <t>Asha devgirikar</t>
  </si>
  <si>
    <t>Rght ;enticulo striate infarct</t>
  </si>
  <si>
    <t>Right V1 origin stenosis</t>
  </si>
  <si>
    <t>Wilson terez</t>
  </si>
  <si>
    <t>Lect MCA territory infarct</t>
  </si>
  <si>
    <t>Left MCA distal to M1 occlusion with reformation of cortical branches likely due to collateral circulation</t>
  </si>
  <si>
    <t>CZ</t>
  </si>
  <si>
    <t>BW</t>
  </si>
  <si>
    <t>DA</t>
  </si>
  <si>
    <t>GF</t>
  </si>
  <si>
    <t>GC</t>
  </si>
  <si>
    <t>DC</t>
  </si>
  <si>
    <t>AF</t>
  </si>
  <si>
    <t>MC</t>
  </si>
  <si>
    <t>Santosh nande</t>
  </si>
  <si>
    <t>Rt CCA thrombus</t>
  </si>
  <si>
    <t>Malsure Suresh, 230000037875</t>
  </si>
  <si>
    <t>Ramdas Darwatkar</t>
  </si>
  <si>
    <t>Left CCA thrombus</t>
  </si>
  <si>
    <t>Krushnadev Patil</t>
  </si>
  <si>
    <t>left CCA bifurcation plaques</t>
  </si>
  <si>
    <t>pandurang salunkhe</t>
  </si>
  <si>
    <t>Ashok choudhari</t>
  </si>
  <si>
    <t>unable to download</t>
  </si>
  <si>
    <t>bilateral CCA plaques</t>
  </si>
  <si>
    <t>Ruben Gaikwad</t>
  </si>
  <si>
    <t xml:space="preserve">Jaydeep Panchal </t>
  </si>
  <si>
    <t>Shinde Shivram</t>
  </si>
  <si>
    <t>Smita dhepe</t>
  </si>
  <si>
    <t>Mahadev Pandit</t>
  </si>
  <si>
    <t>Balu Chorghe, 230000052046</t>
  </si>
  <si>
    <t>Pravin Ingale</t>
  </si>
  <si>
    <t>Vitthal More</t>
  </si>
  <si>
    <t>Nivruttid Darekar</t>
  </si>
  <si>
    <t>Vandana Bahirat</t>
  </si>
  <si>
    <t>Arun shinde</t>
  </si>
  <si>
    <t>Parshuram Shinde</t>
  </si>
  <si>
    <t>Mrunal Sawant</t>
  </si>
  <si>
    <t>Smita Ajgaonkar</t>
  </si>
  <si>
    <t>Prakash Kamble</t>
  </si>
  <si>
    <t xml:space="preserve">Balu Rathod </t>
  </si>
  <si>
    <t>Left CCA free floating thrombus</t>
  </si>
  <si>
    <t>jadhav balaso</t>
  </si>
  <si>
    <t>Madhukar Kumavat</t>
  </si>
  <si>
    <t>Madhuri Kulkarni</t>
  </si>
  <si>
    <t>Madhavi Kiradat</t>
  </si>
  <si>
    <t>Kishor Lunawal</t>
  </si>
  <si>
    <t>Shankar Kurale</t>
  </si>
  <si>
    <t>Lt CCA plaque</t>
  </si>
  <si>
    <t>Hanumant Lohar</t>
  </si>
  <si>
    <t>Ramesh Raut</t>
  </si>
  <si>
    <t xml:space="preserve">sainath vakode </t>
  </si>
  <si>
    <t>Madhav Landge</t>
  </si>
  <si>
    <t>Yewale sitabai</t>
  </si>
  <si>
    <t>Kamal Satbhai</t>
  </si>
  <si>
    <t>Lt CCA thrombus</t>
  </si>
  <si>
    <t xml:space="preserve">Subhadra Shilimkar </t>
  </si>
  <si>
    <t>Nursing shinde</t>
  </si>
  <si>
    <t>Indurkar Santosh</t>
  </si>
  <si>
    <t>Lt CCA terminal plaque</t>
  </si>
  <si>
    <t>rangubai yele</t>
  </si>
  <si>
    <t xml:space="preserve">Hira salve </t>
  </si>
  <si>
    <t>Medha Kulkarni</t>
  </si>
  <si>
    <t>Fulabai Gaikwad</t>
  </si>
  <si>
    <t>vitthal limkar</t>
  </si>
  <si>
    <t>Moni Chakkrawarti</t>
  </si>
  <si>
    <t>dattatray gaikwad</t>
  </si>
  <si>
    <t xml:space="preserve">Mandhar Zurekar </t>
  </si>
  <si>
    <t>Subhash devrukhkar</t>
  </si>
  <si>
    <t xml:space="preserve">Smita sarode </t>
  </si>
  <si>
    <t>Bilateral CCA plaques</t>
  </si>
  <si>
    <t xml:space="preserve">Usha dhende </t>
  </si>
  <si>
    <t>Tanaji Hanchate</t>
  </si>
  <si>
    <t xml:space="preserve">Putage Siddhavva Maruti </t>
  </si>
  <si>
    <t>Bhanage Keshav Pandurang</t>
  </si>
  <si>
    <t>Bhausaheb Gawali</t>
  </si>
  <si>
    <t>Kamal Bhosale Maruti</t>
  </si>
  <si>
    <t>Dhage Yogesh Subhash</t>
  </si>
  <si>
    <t>Pravin Dhumal Babanrao</t>
  </si>
  <si>
    <t>Basutkar Shrikant Laxman</t>
  </si>
  <si>
    <t xml:space="preserve">Bhivraj Lokhande </t>
  </si>
  <si>
    <t>Sawant Shobha</t>
  </si>
  <si>
    <t>Dhangekar Fenu</t>
  </si>
  <si>
    <t>Bhadale Abhishek Rajendra</t>
  </si>
  <si>
    <t>Left CCA plaque</t>
  </si>
  <si>
    <t>Sunil Kalbhor B</t>
  </si>
  <si>
    <t>Nakul Sharma Mohit</t>
  </si>
  <si>
    <t>Ankush Patil Khaswaba</t>
  </si>
  <si>
    <t>Shaikh Rajiya</t>
  </si>
  <si>
    <t>Ajit Deshpande</t>
  </si>
  <si>
    <t>Rt CCA origin thrombus</t>
  </si>
  <si>
    <t>Vimal Thorve</t>
  </si>
  <si>
    <t>Sushma deshpande</t>
  </si>
  <si>
    <t>Shankar Sondkar</t>
  </si>
  <si>
    <t>Pradeep chaula</t>
  </si>
  <si>
    <t>Bilateral CCA plaque</t>
  </si>
  <si>
    <t>Geeta Ajgaonkar</t>
  </si>
  <si>
    <t xml:space="preserve">Prakash Pawar </t>
  </si>
  <si>
    <t xml:space="preserve">Prakash C Mugali </t>
  </si>
  <si>
    <t xml:space="preserve">Kale Dharmendra </t>
  </si>
  <si>
    <t>Ganesh satpute</t>
  </si>
  <si>
    <t>Ghorpade Rakesh</t>
  </si>
  <si>
    <t>Taru Sattyawan</t>
  </si>
  <si>
    <t>Maruti Bhise</t>
  </si>
  <si>
    <t>Devkar Yashoda</t>
  </si>
  <si>
    <t>Govind Saliyan</t>
  </si>
  <si>
    <t xml:space="preserve">Fatate Sidheshwar </t>
  </si>
  <si>
    <t>Maral ravindra</t>
  </si>
  <si>
    <t>Kaushalya Mane</t>
  </si>
  <si>
    <t>Vikrant salunkhe</t>
  </si>
  <si>
    <t>Namdev Washilkar</t>
  </si>
  <si>
    <t>Bhikoba Khatape</t>
  </si>
  <si>
    <t>Tiwari Deepak</t>
  </si>
  <si>
    <t>Biradar Vijaykumar</t>
  </si>
  <si>
    <t>Salunkhe Uddhav</t>
  </si>
  <si>
    <t>Kambale Sanjay</t>
  </si>
  <si>
    <t>Dombale bhivaji</t>
  </si>
  <si>
    <t>Nalkare Vikram</t>
  </si>
  <si>
    <t>Gaikwad Hanumant</t>
  </si>
  <si>
    <t>Shivkumar Belrole</t>
  </si>
  <si>
    <t>Lalbahadur Singh</t>
  </si>
  <si>
    <t>Sharma Sandeep</t>
  </si>
  <si>
    <t>Khan Tabssum</t>
  </si>
  <si>
    <t>Lt CCA origin thrombus</t>
  </si>
  <si>
    <t>Shirgaonkar Prakash</t>
  </si>
  <si>
    <t>Belvalkar Madhav</t>
  </si>
  <si>
    <t>Jadhav Pandurang</t>
  </si>
  <si>
    <t>Khandale Chandrakant</t>
  </si>
  <si>
    <t>Right CCA plaque</t>
  </si>
  <si>
    <t>Kudale Kantilal</t>
  </si>
  <si>
    <t>left CCA plaque</t>
  </si>
  <si>
    <t>Potdar Tukaram</t>
  </si>
  <si>
    <t>LATIF MUNIR</t>
  </si>
  <si>
    <t>Prem singh janala</t>
  </si>
  <si>
    <t>Mali Subhadra</t>
  </si>
  <si>
    <t xml:space="preserve">58.7182	</t>
  </si>
  <si>
    <t>ratnamala gaikwad</t>
  </si>
  <si>
    <t>PARVATI SALUNKHE</t>
  </si>
  <si>
    <t>SAMBHAJI SHINDE</t>
  </si>
  <si>
    <t>KUMBHAR DNYANESHWAR</t>
  </si>
  <si>
    <t>Navgire Omkar</t>
  </si>
  <si>
    <t>ASHOK GITE</t>
  </si>
  <si>
    <t>PATIL DHANRAJ</t>
  </si>
  <si>
    <t>SATISH BHALERAO</t>
  </si>
  <si>
    <t>Kshirsagar utkarsh 2</t>
  </si>
  <si>
    <t>Dhumal Shakuntala</t>
  </si>
  <si>
    <t>DEVENDRA SINGH</t>
  </si>
  <si>
    <t>VILAS GAIKWAD</t>
  </si>
  <si>
    <t>Kshirsagar utkarsh 1</t>
  </si>
  <si>
    <t>no MRI</t>
  </si>
  <si>
    <t>Chavan Shivaji</t>
  </si>
  <si>
    <t>Khangate Madhukar</t>
  </si>
  <si>
    <t>parvati saste</t>
  </si>
  <si>
    <t>Lt CCA Plaque</t>
  </si>
  <si>
    <t>Rt CCA plaque</t>
  </si>
  <si>
    <t>Jadhav Bajrang</t>
  </si>
  <si>
    <t>Vijay Bhilane</t>
  </si>
  <si>
    <t>Suresh Acharekar</t>
  </si>
  <si>
    <t>Shinde Mandakini</t>
  </si>
  <si>
    <t>Prakash Deshmukh</t>
  </si>
  <si>
    <t>Sambhaji Wavare</t>
  </si>
  <si>
    <t>sheikh rashid</t>
  </si>
  <si>
    <t>pandagale sachin</t>
  </si>
  <si>
    <t>Shinde Suman</t>
  </si>
  <si>
    <t>shinde genu bappu</t>
  </si>
  <si>
    <t>Keshavbai Shinde</t>
  </si>
  <si>
    <t>Dubey Anjali</t>
  </si>
  <si>
    <t>rao ramesh</t>
  </si>
  <si>
    <t>shinde kiran</t>
  </si>
  <si>
    <t>borkar sagar</t>
  </si>
  <si>
    <t>pawar ambadas</t>
  </si>
  <si>
    <t>sarang indubai</t>
  </si>
  <si>
    <t>panchal hironji</t>
  </si>
  <si>
    <t>Sunil Dhane</t>
  </si>
  <si>
    <t>Bhapkar rekha</t>
  </si>
  <si>
    <t>palaskar vishal</t>
  </si>
  <si>
    <t>Pawar Bhimashankar</t>
  </si>
  <si>
    <t>Gupta sushma</t>
  </si>
  <si>
    <t>govande balachandra</t>
  </si>
  <si>
    <t>joshi shrikrushna</t>
  </si>
  <si>
    <t>basetkar ganpat</t>
  </si>
  <si>
    <t>ovhal deepak</t>
  </si>
  <si>
    <t>akbar bhagwan</t>
  </si>
  <si>
    <t>dabhade ganpat</t>
  </si>
  <si>
    <t>shaikh jannath</t>
  </si>
  <si>
    <t>bhame ankush</t>
  </si>
  <si>
    <t>bhosale lilabai</t>
  </si>
  <si>
    <t>dholi sherbagadur</t>
  </si>
  <si>
    <t>deshmukh shrimanthrav</t>
  </si>
  <si>
    <t>Lt ICA occluded</t>
  </si>
  <si>
    <t>dhere shriganesh</t>
  </si>
  <si>
    <t>musande sangita</t>
  </si>
  <si>
    <t>pawar reshama</t>
  </si>
  <si>
    <t>devgirikar asha</t>
  </si>
  <si>
    <t>terez wilson</t>
  </si>
  <si>
    <t>Varsha Patil/ Pawar</t>
  </si>
  <si>
    <t>FK</t>
  </si>
  <si>
    <t>JA</t>
  </si>
  <si>
    <t>Shelar Krushna</t>
  </si>
  <si>
    <t>Ramchandra Dhumal</t>
  </si>
  <si>
    <t>AV</t>
  </si>
  <si>
    <t>BZ</t>
  </si>
  <si>
    <t>IR</t>
  </si>
  <si>
    <t>IT</t>
  </si>
  <si>
    <t>sharad mangire 2</t>
  </si>
  <si>
    <t>Left internal watershed infarct</t>
  </si>
  <si>
    <t>L</t>
  </si>
  <si>
    <t>IY</t>
  </si>
  <si>
    <t>kunal shewale</t>
  </si>
  <si>
    <t>JN</t>
  </si>
  <si>
    <t>Kumbhar Kamalbai</t>
  </si>
  <si>
    <t>Varsha Patil/ pawar</t>
  </si>
  <si>
    <t>#N/A</t>
  </si>
  <si>
    <t>(Multiple Items)</t>
  </si>
  <si>
    <t>Mean</t>
  </si>
  <si>
    <t>SD</t>
  </si>
  <si>
    <t>Median</t>
  </si>
  <si>
    <t>Cerebral collaterals</t>
  </si>
  <si>
    <t>Good</t>
  </si>
  <si>
    <t>Poor</t>
  </si>
  <si>
    <t>COLLATERAL</t>
  </si>
  <si>
    <t>PEARSON COEFFICIENT</t>
  </si>
  <si>
    <t>SAMPLE SIZE</t>
  </si>
  <si>
    <t>t SCORE</t>
  </si>
  <si>
    <t>p VALUE</t>
  </si>
  <si>
    <t>CBS vs MRS</t>
  </si>
  <si>
    <t>CBS vs NIHSS</t>
  </si>
  <si>
    <t>NIHSS vs MRS</t>
  </si>
  <si>
    <t>MRS Grading</t>
  </si>
  <si>
    <t>Collaterals</t>
  </si>
  <si>
    <t>Row Labels</t>
  </si>
  <si>
    <t>Grand Total</t>
  </si>
  <si>
    <t>Column Labels</t>
  </si>
  <si>
    <t>Count of Collaterals</t>
  </si>
  <si>
    <t>Good Collateral</t>
  </si>
  <si>
    <t>Poor Collateral</t>
  </si>
  <si>
    <t>Good MRS</t>
  </si>
  <si>
    <t>Poor MRS</t>
  </si>
  <si>
    <t>Total</t>
  </si>
  <si>
    <t>OBSERVED</t>
  </si>
  <si>
    <t>EXPECTED</t>
  </si>
  <si>
    <t>Chi-sq</t>
  </si>
  <si>
    <t>DF</t>
  </si>
  <si>
    <t>p-value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</si>
</sst>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21" fontId="0" fillId="0" borderId="0" xfId="0" applyNumberFormat="1"/>
    <xf numFmtId="1" fontId="0" fillId="0" borderId="0" xfId="0" applyNumberFormat="1"/>
    <xf numFmtId="0" fontId="0" fillId="0" borderId="0" xfId="0" applyAlignment="1">
      <alignment wrapText="1"/>
    </xf>
    <xf numFmtId="0" fontId="14" fillId="0" borderId="0" xfId="0" applyFont="1" applyAlignment="1">
      <alignment wrapText="1"/>
    </xf>
    <xf numFmtId="1" fontId="0" fillId="0" borderId="0" xfId="0" applyNumberFormat="1" applyAlignment="1">
      <alignment wrapText="1"/>
    </xf>
    <xf numFmtId="14" fontId="0" fillId="0" borderId="0" xfId="0" applyNumberFormat="1" applyAlignment="1">
      <alignment wrapText="1"/>
    </xf>
    <xf numFmtId="0" fontId="0" fillId="33" borderId="0" xfId="0" applyFill="1"/>
    <xf numFmtId="1" fontId="0" fillId="33" borderId="0" xfId="0" applyNumberFormat="1" applyFill="1"/>
    <xf numFmtId="14" fontId="0" fillId="33" borderId="0" xfId="0" applyNumberFormat="1" applyFill="1"/>
    <xf numFmtId="21" fontId="0" fillId="33" borderId="0" xfId="0" applyNumberFormat="1" applyFill="1"/>
    <xf numFmtId="0" fontId="0" fillId="33" borderId="0" xfId="0" applyFill="1" applyAlignment="1">
      <alignment wrapText="1"/>
    </xf>
    <xf numFmtId="0" fontId="18" fillId="0" borderId="0" xfId="0" applyFont="1"/>
    <xf numFmtId="0" fontId="0" fillId="0" borderId="0" xfId="0" pivotButton="1"/>
    <xf numFmtId="1" fontId="0" fillId="0" borderId="0" xfId="0" pivotButton="1" applyNumberFormat="1"/>
    <xf numFmtId="10" fontId="0" fillId="0" borderId="0" xfId="0" applyNumberFormat="1"/>
    <xf numFmtId="0" fontId="0" fillId="0" borderId="10" xfId="0" applyBorder="1"/>
    <xf numFmtId="0" fontId="19" fillId="0" borderId="11" xfId="0" applyFont="1" applyBorder="1" applyAlignment="1">
      <alignment horizontal="center"/>
    </xf>
    <xf numFmtId="0" fontId="19" fillId="0" borderId="0" xfId="0" applyFont="1" applyAlignment="1">
      <alignment horizontal="center"/>
    </xf>
    <xf numFmtId="0" fontId="0" fillId="0" borderId="0" xfId="0" applyAlignment="1">
      <alignment horizontal="left"/>
    </xf>
    <xf numFmtId="0" fontId="0" fillId="34" borderId="0" xfId="0" applyFill="1"/>
    <xf numFmtId="0" fontId="0" fillId="34" borderId="0" xfId="0" applyFill="1" applyAlignment="1">
      <alignment wrapText="1"/>
    </xf>
    <xf numFmtId="0" fontId="14" fillId="34" borderId="0" xfId="0" applyFont="1" applyFill="1" applyAlignment="1">
      <alignment wrapText="1"/>
    </xf>
    <xf numFmtId="0" fontId="18" fillId="34" borderId="0" xfId="0" applyFont="1" applyFill="1"/>
    <xf numFmtId="10"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735.281260069445" createdVersion="6" refreshedVersion="6" minRefreshableVersion="3" recordCount="358" xr:uid="{BBDA7A3F-B1A0-4552-AFF3-8753C58C92DA}">
  <cacheSource type="worksheet">
    <worksheetSource ref="A2:BF241" sheet="Dr Dulari Data Entry_21_feb_202"/>
  </cacheSource>
  <cacheFields count="77">
    <cacheField name="UID" numFmtId="0">
      <sharedItems containsBlank="1"/>
    </cacheField>
    <cacheField name="V1" numFmtId="0">
      <sharedItems/>
    </cacheField>
    <cacheField name="Name TRISHA EXCEL" numFmtId="0">
      <sharedItems containsBlank="1" count="305">
        <s v="Potdar Tukaram"/>
        <s v="ratnamala gaikwad"/>
        <s v="Belvalkar Madhav"/>
        <s v="PATIL DHANRAJ"/>
        <s v="DEVENDRA SINGH"/>
        <s v="maruti khutwad"/>
        <s v="varade ashabai"/>
        <s v="PRABHAWATI BHARGUDE"/>
        <s v="Mahadev Gaikwad"/>
        <s v="RANJANE KISAN"/>
        <s v="pandurang salunkhe"/>
        <e v="#N/A"/>
        <s v="Dhondiram Mule"/>
        <s v="Parshuram Shinde"/>
        <s v="Nandkumar Ranawade"/>
        <s v="LATIF MUNIR"/>
        <s v="basetkar ganpat"/>
        <s v="Kale Dharmendra "/>
        <s v="Pawar Bhimashankar"/>
        <s v="Shirgaonkar Prakash"/>
        <s v="Tiwari Deepak"/>
        <s v="Prakash C Mugali "/>
        <s v="Salunkhe Uddhav"/>
        <s v="patel kekey"/>
        <s v="Pawar Uttam"/>
        <s v="Naik Rajendra"/>
        <m/>
        <s v="VILAS GAIKWAD"/>
        <s v="Arun Chichalkar"/>
        <s v="shinde genu bappu"/>
        <s v="Smita sarode "/>
        <s v="Vikrant salunkhe"/>
        <s v="Jadhav Pandurang"/>
        <s v="Pawar Uttam April"/>
        <s v="Gopal Jadyal "/>
        <s v="Ganesh satpute"/>
        <s v="Ranbhise Usha"/>
        <s v="panchal hironji"/>
        <s v="Ghorpade Rakesh"/>
        <s v="Dombale bhivaji"/>
        <s v="Mahadev Pandit"/>
        <s v="Fatate Sidheshwar "/>
        <s v="Shankar Kurale"/>
        <s v="Subhash devrukhkar"/>
        <s v="rao ramesh"/>
        <s v="Dhage Yogesh Subhash"/>
        <s v="Smita dhepe"/>
        <s v="Geeta Ajgaonkar"/>
        <s v="kalburgi siddharam"/>
        <s v="Aruna Jadhav"/>
        <s v="Eknath Bhavekar"/>
        <s v="Suman Gaikwad"/>
        <s v="Gund Pratibha"/>
        <s v="Navgire Omkar"/>
        <s v="SAMBHAJI SHINDE"/>
        <s v="Bhikoba Khatape"/>
        <s v="Yewale sitabai"/>
        <s v="PARVATI SALUNKHE"/>
        <s v="Nalkare Vikram"/>
        <s v="Usha dhende "/>
        <s v="Chavan Shivaji"/>
        <s v="Govind Kapse"/>
        <s v="Gupta sushma"/>
        <s v="Sambhaji Wavare"/>
        <s v="Mohan kadam"/>
        <s v="Shalini Salvi"/>
        <s v="Kumawat Rameshwar"/>
        <s v="sheikh rashid"/>
        <s v="Jadhav Bajrang"/>
        <s v="Sushila Dhamal"/>
        <s v="Prashant Khilare"/>
        <s v="dholi sherbagadur"/>
        <s v="Subhadra Shilimkar "/>
        <s v="Dhangekar Fenu"/>
        <s v="borkar sagar"/>
        <s v="pandagale sachin"/>
        <s v="pawar reshama"/>
        <s v="bhame ankush"/>
        <s v="Prem singh janala"/>
        <s v="Vandana Bahirat"/>
        <s v="Tanaji Hanchate"/>
        <s v="Balu Chorghe, 230000052046"/>
        <s v="Kamal Pawar"/>
        <s v="Prakash Marne "/>
        <s v="Chavan Lilawati"/>
        <s v="kamble gorakh"/>
        <s v="vitthal limkar"/>
        <s v="vinayak kakade"/>
        <s v="Bhandari Laxmibai"/>
        <s v="joshi shrikrushna"/>
        <s v="Katke Nilesh"/>
        <s v="Ramchandra matne"/>
        <s v="Dnyanoba Pawale"/>
        <s v="Shaikh Rajiya"/>
        <s v="Kishor Lunawal"/>
        <s v="rangubai yele"/>
        <s v="Santosh nande"/>
        <s v="Shinde Suman"/>
        <s v="Devkar Yashoda"/>
        <s v="Bharati Shah"/>
        <s v="Hosen Amzeed "/>
        <s v="Khandale Chandrakant"/>
        <s v="Navghane Mahadev"/>
        <s v="Suresh Shirolkar"/>
        <s v="Basutkar Shrikant Laxman"/>
        <s v="Keshavbai Shinde"/>
        <s v="jadhav balaso"/>
        <s v="Madhavi Kiradat"/>
        <s v="Jadhav Dattatray"/>
        <s v="pawar ambadas"/>
        <s v="Rajani Dahrashivkar"/>
        <s v="Ashwini Tamhankar"/>
        <s v="Surekha Kale"/>
        <s v="devgirikar asha"/>
        <s v="Pooja Patre"/>
        <s v="Shrirang Jadhav 231200200"/>
        <s v="Madhav Landge"/>
        <s v="Vimal B Khopade"/>
        <s v="Gaikwad Hanumant"/>
        <s v="Moni Chakkrawarti"/>
        <s v="Madhukar Kumavat"/>
        <s v="bhosale ramdas"/>
        <s v="Kudale Kantilal"/>
        <s v="Vinod Shinde"/>
        <s v="maragaje malan"/>
        <s v="Balasaheb Jadhav"/>
        <s v="Bhanage Keshav Pandurang"/>
        <s v="Rajendra nabge"/>
        <s v="Mrunal Sawant"/>
        <s v="akbar bhagwan"/>
        <s v="Khan Tabssum"/>
        <s v="Sindhub Sonawane"/>
        <s v="Kishor Deshmukh"/>
        <s v="Baradkar Subhadra"/>
        <s v="sonawane hirabai"/>
        <s v="Indurkar Santosh"/>
        <s v="Shanta Vishal Sose"/>
        <s v="Pradeep chaula"/>
        <s v="Nursing shinde"/>
        <s v="rathod bhagwati"/>
        <s v="ramamurthy Y S"/>
        <s v="Taru Sattyawan"/>
        <s v="Prakash Pawar "/>
        <s v="Ajit Shah "/>
        <s v="Ashok VAiral"/>
        <s v="dhere shriganesh"/>
        <s v="Jaydeep Panchal "/>
        <s v="Bhagwat Subhash"/>
        <s v="Ajit Deshpande"/>
        <s v="sainath vakode "/>
        <s v="Achitrao Gaikwad"/>
        <s v="Dhumal Shakuntala"/>
        <s v="Prakash Kamble"/>
        <s v="ASHOK GITE"/>
        <s v="Maral ravindra"/>
        <s v="Biradar Vijaykumar"/>
        <s v="Ramesh Raut"/>
        <s v="Sawant Shobha"/>
        <s v="Vitthal More"/>
        <s v="dattatray gaikwad"/>
        <s v="ovhal deepak"/>
        <s v="Savitra Tambat"/>
        <s v="Pravin Ingale"/>
        <s v="dabhade ganpat"/>
        <s v="Kambale Sanjay"/>
        <s v="Bhapkar rekha"/>
        <s v="Chandrabhagabai Gite"/>
        <s v="shaikh jannath"/>
        <s v="Mandhar Zurekar "/>
        <s v="Vinayak Parge"/>
        <s v="Sumit Pawar"/>
        <s v="Raghunath Gaikwad"/>
        <s v="Vijay Bhilane"/>
        <s v="Prakash Deshmukh"/>
        <s v="Govind Saliyan"/>
        <s v="Smita Ajgaonkar"/>
        <s v="Krushnadev Patil"/>
        <s v="Ramesh Kulkarni"/>
        <s v="kadgi balaram"/>
        <s v="Dattatray Kulkarni"/>
        <s v="Prakash Sharma"/>
        <s v="sarang indubai"/>
        <s v="palaskar vishal"/>
        <s v="Vandana Dhakad"/>
        <s v="Revansidd Birajdar"/>
        <s v="Shankar Sondkar"/>
        <s v="mane nihal"/>
        <s v="bobade suresh"/>
        <s v="Malsure Suresh, 230000037875"/>
        <s v="Suman Yadav"/>
        <s v="Dubey Anjali"/>
        <s v="Suresh Acharekar"/>
        <s v="Ramdas Darwatkar"/>
        <s v="Lalbahadur Singh"/>
        <s v="Audumbar Jadhav"/>
        <s v="Sunil Sawant"/>
        <s v="Shinde Dyandev"/>
        <s v="Manik Namdar"/>
        <s v="Dnyanoba Dhindale"/>
        <s v="Wankhede Pralhad "/>
        <s v="Maruti Bhise"/>
        <s v="Surendra Deshmukh "/>
        <s v="Vimal Thorve"/>
        <s v="Nanawane Vinod"/>
        <s v="Archana Patil"/>
        <s v="Rajesh Shah"/>
        <s v="Kshirsagar utkarsh 2"/>
        <s v="Kshirsagar utkarsh 1"/>
        <s v="deshmukh shrimanthrav"/>
        <s v="Kamal Satbhai"/>
        <s v="Radha Kisan Tolaji Bhojane"/>
        <s v="Kadam Prakash"/>
        <s v="Khandekar pravin"/>
        <s v="Arun shinde"/>
        <s v="Nivruttid Darekar"/>
        <s v="hadpad basavraj"/>
        <s v="Bhivraj Lokhande "/>
        <s v="Namdev Washilkar"/>
        <s v="Bhapkar Sagar"/>
        <s v="Maruti Waghe"/>
        <s v="Sunanda renuse"/>
        <s v="Kamal Bhosale Maruti"/>
        <s v="Hanumant Lohar"/>
        <s v="TARABAI KALASKAR"/>
        <s v="Balu Rathod "/>
        <s v="gite chandrabhagabai 2"/>
        <s v="talathi Aparna"/>
        <s v="Madhuri Kulkarni"/>
        <s v="Nilesh Dhande"/>
        <s v="Mahavar Bappa"/>
        <s v="Hira salve "/>
        <s v="Medha Kulkarni"/>
        <s v="Anusaya Kharat"/>
        <s v="Anita Lokhande"/>
        <s v="Shinde Mandakini"/>
        <s v="Ankush Patil Khaswaba"/>
        <s v="Bhausaheb Gawali"/>
        <s v="Fulabai Gaikwad"/>
        <s v="Sunil Nawale"/>
        <s v="Sunil Dhane"/>
        <s v="jadhav suraj"/>
        <s v="Sunil Kalbhor B"/>
        <s v="terez wilson"/>
        <s v="Nakul Sharma Mohit"/>
        <s v="Satish Deshmukh"/>
        <s v="SATISH BHALERAO"/>
        <s v="kamble mahadev"/>
        <s v="Bhadale Abhishek Rajendra"/>
        <s v="Ratnamala Shinde"/>
        <s v="musande sangita"/>
        <s v="Sharma Sandeep"/>
        <s v="Chandrakant Khopade"/>
        <s v="Khangate Madhukar"/>
        <s v="shinde kiran"/>
        <s v="Jamadar Shantai"/>
        <s v="Seema Dalvi "/>
        <s v="Dagadubai Walung"/>
        <s v="Ajay Shirode"/>
        <s v="govande balachandra"/>
        <s v="Shivkumar Belrole"/>
        <s v="parvati saste"/>
        <s v="Pravin Dhumal Babanrao"/>
        <s v="chakke vishwas"/>
        <s v="bhosale lilabai"/>
        <s v="KUMBHAR DNYANESHWAR"/>
        <s v="Dal Santosh"/>
        <s v="gaikwad anand"/>
        <s v="soni pankaj"/>
        <s v="sopan jambhule"/>
        <s v="Mali Subhadra"/>
        <s v="Sandip Bhopale"/>
        <s v="Vasant Zanje"/>
        <s v="Shivaji Jadhav"/>
        <s v="Chandrakant Shinde"/>
        <s v="VAISHALI DESHPANDE"/>
        <s v="Yadav Vitthal"/>
        <s v="yedge anita"/>
        <s v="Ramchandrakant S Pangarkar"/>
        <s v="Balasaheb Dhotre"/>
        <s v="patil rahul"/>
        <s v="Lahu Lokhande"/>
        <s v="Laxmi B Vennu"/>
        <s v="Deepak Mandalik"/>
        <s v="Surekha Jadhav"/>
        <s v="More Dilip Pandurang"/>
        <s v="Kudale Eknath Abaji"/>
        <s v="bidhya bista"/>
        <s v="Pradeep Shah"/>
        <s v="Nitin Khollam"/>
        <s v="Patil Pushpa "/>
        <s v="Sunita Sanas"/>
        <s v="Tambe subhash Baburao"/>
        <s v="Kadam Swaroop"/>
        <s v="Bhalerao Prabhakar Vitthal"/>
        <s v="Vasanti Mestry "/>
        <s v="Aditya Pawar"/>
        <s v="rohit pawar"/>
        <s v="suresh vedpathak"/>
        <s v="Ramchandra Dhumal"/>
        <s v="Shinde Shivram"/>
        <s v="Ashok choudhari"/>
        <s v="Ruben Gaikwad"/>
        <s v="Putage Siddhavva Maruti "/>
        <s v="Sushma deshpande"/>
        <s v="Kaushalya Mane"/>
      </sharedItems>
    </cacheField>
    <cacheField name="COMPLETE" numFmtId="0">
      <sharedItems containsBlank="1" containsMixedTypes="1" containsNumber="1" containsInteger="1" minValue="0" maxValue="1"/>
    </cacheField>
    <cacheField name="Stroke volume" numFmtId="0">
      <sharedItems containsBlank="1" containsMixedTypes="1" containsNumber="1" minValue="0" maxValue="369.07400000000001" count="284">
        <n v="0"/>
        <n v="5.3274599999999998E-2"/>
        <n v="0.114729"/>
        <n v="0.25184299999999998"/>
        <n v="0.26637300000000003"/>
        <n v="0.27605200000000002"/>
        <n v="0.305118"/>
        <n v="0.31514999999999999"/>
        <n v="0.363236"/>
        <n v="0.40682400000000002"/>
        <n v="0.46009800000000001"/>
        <n v="0.46494200000000002"/>
        <n v="0.47059200000000001"/>
        <n v="0.49941200000000002"/>
        <n v="0.50193600000000005"/>
        <n v="0.52790199999999998"/>
        <n v="0.58117700000000005"/>
        <n v="0.64413900000000002"/>
        <n v="0.68288300000000002"/>
        <n v="0.69256899999999999"/>
        <n v="0.71194100000000005"/>
        <n v="0.71678500000000001"/>
        <n v="0.72162800000000005"/>
        <n v="0.77490199999999998"/>
        <n v="0.79427499999999995"/>
        <n v="0.80396100000000004"/>
        <n v="0.82817700000000005"/>
        <n v="0.84427799999999997"/>
        <n v="0.86207999999999996"/>
        <n v="0.91022599999999998"/>
        <n v="0.92019600000000001"/>
        <n v="0.93472299999999997"/>
        <n v="0.93472599999999995"/>
        <n v="0.95894199999999996"/>
        <n v="0.98799999999999999"/>
        <n v="1.0461199999999999"/>
        <n v="1.06549"/>
        <n v="1.08002"/>
        <n v="1.0848599999999999"/>
        <n v="1.1381399999999999"/>
        <n v="1.1429800000000001"/>
        <n v="1.1534199999999999"/>
        <n v="1.17204"/>
        <n v="1.2015800000000001"/>
        <n v="1.3124899999999999"/>
        <n v="1.38998"/>
        <n v="1.44326"/>
        <n v="1.4449700000000001"/>
        <n v="1.53043"/>
        <n v="1.6671800000000001"/>
        <n v="1.70963"/>
        <n v="1.74353"/>
        <n v="1.74837"/>
        <n v="1.7725900000000001"/>
        <n v="1.7822800000000001"/>
        <n v="1.8064899999999999"/>
        <n v="1.8210200000000001"/>
        <n v="1.93726"/>
        <n v="1.9566300000000001"/>
        <n v="1.9808399999999999"/>
        <n v="1.9953700000000001"/>
        <n v="2.0050300000000001"/>
        <n v="2.0206599999999999"/>
        <n v="2.0583399999999998"/>
        <n v="2.0625599999999999"/>
        <n v="2.0922399999999999"/>
        <n v="2.1164499999999999"/>
        <n v="2.1890999999999998"/>
        <n v="2.1939899999999999"/>
        <n v="2.1998899999999999"/>
        <n v="2.2907999999999999"/>
        <n v="2.3247100000000001"/>
        <n v="2.3634499999999998"/>
        <n v="2.4022000000000001"/>
        <n v="2.4990600000000001"/>
        <n v="2.6346699999999998"/>
        <n v="2.6734100000000001"/>
        <n v="2.7170000000000001"/>
        <n v="2.7179199999999999"/>
        <n v="2.7266900000000001"/>
        <n v="2.86714"/>
        <n v="2.9058799999999998"/>
        <n v="2.9219599999999999"/>
        <n v="2.9979"/>
        <n v="3.0608599999999999"/>
        <n v="3.0657100000000002"/>
        <n v="3.0802399999999999"/>
        <n v="3.2642699999999998"/>
        <n v="3.3272400000000002"/>
        <n v="3.48706"/>
        <n v="3.5161199999999999"/>
        <n v="3.6420400000000002"/>
        <n v="3.7534299999999998"/>
        <n v="3.9471599999999998"/>
        <n v="4.0972999999999997"/>
        <n v="4.1505700000000001"/>
        <n v="4.3267800000000003"/>
        <n v="4.37819"/>
        <n v="4.5234899999999998"/>
        <n v="4.5816100000000004"/>
        <n v="4.8026400000000002"/>
        <n v="4.9496900000000004"/>
        <n v="4.9787499999999998"/>
        <n v="5.0174899999999996"/>
        <n v="5.4001000000000001"/>
        <n v="5.6083600000000002"/>
        <n v="6.1043700000000003"/>
        <n v="6.1217300000000003"/>
        <n v="6.1992200000000004"/>
        <n v="6.2392000000000003"/>
        <n v="6.4316899999999997"/>
        <n v="6.5624500000000001"/>
        <n v="6.5866699999999998"/>
        <n v="6.6254099999999996"/>
        <n v="6.8336800000000002"/>
        <n v="7.00319"/>
        <n v="7.0903499999999999"/>
        <n v="7.2139499999999996"/>
        <n v="7.3615700000000004"/>
        <n v="7.3809500000000003"/>
        <n v="7.9747599999999998"/>
        <n v="8.0977300000000003"/>
        <n v="8.2649799999999995"/>
        <n v="8.5820399999999992"/>
        <n v="8.7128099999999993"/>
        <n v="8.7370199999999993"/>
        <n v="8.88232"/>
        <n v="8.9549599999999998"/>
        <n v="9.0276200000000006"/>
        <n v="9.2697599999999998"/>
        <n v="9.3617799999999995"/>
        <n v="9.3806600000000007"/>
        <n v="9.8848500000000001"/>
        <n v="10.412800000000001"/>
        <n v="10.5968"/>
        <n v="10.7614"/>
        <n v="11.178000000000001"/>
        <n v="11.492800000000001"/>
        <n v="11.5848"/>
        <n v="11.768800000000001"/>
        <n v="11.7882"/>
        <n v="11.856"/>
        <n v="12.001300000000001"/>
        <n v="12.1175"/>
        <n v="12.2241"/>
        <n v="12.2628"/>
        <n v="12.4711"/>
        <n v="12.7326"/>
        <n v="12.790699999999999"/>
        <n v="12.955399999999999"/>
        <n v="13.173299999999999"/>
        <n v="13.2799"/>
        <n v="13.367100000000001"/>
        <n v="13.502700000000001"/>
        <n v="14.218"/>
        <n v="14.3163"/>
        <n v="14.3551"/>
        <n v="14.4374"/>
        <n v="15.7644"/>
        <n v="16.117999999999999"/>
        <n v="16.360099999999999"/>
        <n v="16.621700000000001"/>
        <n v="17.155100000000001"/>
        <n v="18.433"/>
        <n v="18.993500000000001"/>
        <n v="19.571100000000001"/>
        <n v="20.2378"/>
        <n v="20.346"/>
        <n v="20.573699999999999"/>
        <n v="21.1355"/>
        <n v="21.484200000000001"/>
        <n v="22.167100000000001"/>
        <n v="22.627199999999998"/>
        <n v="22.801500000000001"/>
        <n v="22.980699999999999"/>
        <n v="23.140499999999999"/>
        <n v="23.339099999999998"/>
        <n v="24.080100000000002"/>
        <n v="24.2254"/>
        <n v="24.323799999999999"/>
        <n v="25.111699999999999"/>
        <n v="25.1892"/>
        <n v="25.4023"/>
        <n v="25.4313"/>
        <n v="25.9253"/>
        <n v="26.322500000000002"/>
        <n v="27.165199999999999"/>
        <n v="27.6204"/>
        <n v="28.630800000000001"/>
        <n v="28.919799999999999"/>
        <n v="29.058800000000002"/>
        <n v="29.489899999999999"/>
        <n v="29.717500000000001"/>
        <n v="30.046800000000001"/>
        <n v="31.741900000000001"/>
        <n v="31.8582"/>
        <n v="32.695999999999998"/>
        <n v="32.797699999999999"/>
        <n v="32.914000000000001"/>
        <n v="33.3934"/>
        <n v="34.250700000000002"/>
        <n v="34.502499999999998"/>
        <n v="35.122500000000002"/>
        <n v="35.316200000000002"/>
        <n v="35.994199999999999"/>
        <n v="36.410600000000002"/>
        <n v="36.904699999999998"/>
        <n v="37.7087"/>
        <n v="39.500599999999999"/>
        <n v="40.483899999999998"/>
        <n v="41.854399999999998"/>
        <n v="42.944099999999999"/>
        <n v="42.998199999999997"/>
        <n v="43.568899999999999"/>
        <n v="43.631900000000002"/>
        <n v="44.072499999999998"/>
        <n v="45.5486"/>
        <n v="46.1357"/>
        <n v="48.421700000000001"/>
        <n v="49.923099999999998"/>
        <n v="50.776800000000001"/>
        <n v="53.894500000000001"/>
        <n v="56.8294"/>
        <n v="59.570599999999999"/>
        <n v="60.287399999999998"/>
        <n v="60.874600000000001"/>
        <n v="65.188599999999994"/>
        <n v="65.653499999999994"/>
        <n v="66.090999999999994"/>
        <n v="66.229200000000006"/>
        <n v="68.922700000000006"/>
        <n v="71.232900000000001"/>
        <n v="73.494699999999995"/>
        <n v="74.487499999999997"/>
        <n v="75.722200000000001"/>
        <n v="75.993700000000004"/>
        <n v="76.560299999999998"/>
        <n v="80.183000000000007"/>
        <n v="80.473500000000001"/>
        <n v="80.924099999999996"/>
        <n v="81.093500000000006"/>
        <n v="84.561199999999999"/>
        <n v="86.009299999999996"/>
        <n v="86.750299999999996"/>
        <n v="88.934600000000003"/>
        <n v="101.45399999999999"/>
        <n v="102.834"/>
        <n v="107.10299999999999"/>
        <n v="107.77"/>
        <n v="108.176"/>
        <n v="111.378"/>
        <n v="113.246"/>
        <n v="114.85899999999999"/>
        <n v="117.92100000000001"/>
        <n v="121.777"/>
        <n v="124.813"/>
        <n v="129.428"/>
        <n v="131.59800000000001"/>
        <n v="157.51300000000001"/>
        <n v="163.78"/>
        <n v="181.03200000000001"/>
        <n v="186.369"/>
        <n v="188.76599999999999"/>
        <n v="194.16800000000001"/>
        <n v="197.363"/>
        <n v="200.62200000000001"/>
        <n v="218.59"/>
        <n v="229.565"/>
        <n v="299.92599999999999"/>
        <n v="369.07400000000001"/>
        <s v="_x0009_1.80165"/>
        <s v="_x0009_3.70554"/>
        <s v="? No MRI"/>
        <s v="58.7182_x0009_"/>
        <s v="downloaded"/>
        <s v="Movement aftifact, unable to annotate"/>
        <s v="no infarct"/>
        <s v="NO INFARCT  TO CHECK"/>
        <s v="NO INFARCT TO CONFIRM"/>
        <s v="no mri"/>
        <s v="outside scans"/>
        <s v="unable to download"/>
        <e v="#N/A"/>
        <m/>
      </sharedItems>
    </cacheField>
    <cacheField name="V4" numFmtId="1">
      <sharedItems containsString="0" containsBlank="1" containsNumber="1" containsInteger="1" minValue="53" maxValue="11111111111111" count="337">
        <n v="240014695"/>
        <n v="240015649"/>
        <n v="240000032930"/>
        <n v="24000046727"/>
        <n v="24000043531"/>
        <n v="240037323"/>
        <n v="240032934"/>
        <n v="240000037733"/>
        <n v="240000035109"/>
        <n v="24000043524"/>
        <n v="120205789"/>
        <n v="240000041820"/>
        <n v="230900449"/>
        <n v="230305267"/>
        <n v="230202597"/>
        <n v="240000038305"/>
        <n v="240000084235"/>
        <n v="120502937"/>
        <n v="240033305"/>
        <n v="240000022574"/>
        <n v="24000003430"/>
        <n v="131202821"/>
        <n v="240005281"/>
        <n v="240000099067"/>
        <n v="230000072703"/>
        <n v="24000057501"/>
        <m/>
        <n v="240020598"/>
        <n v="240000041009"/>
        <n v="240000061390"/>
        <n v="230010831"/>
        <n v="24000002182"/>
        <n v="240000031562"/>
        <n v="240000072703"/>
        <n v="230002297"/>
        <n v="230201446"/>
        <n v="230000060554"/>
        <n v="240000062726"/>
        <n v="220402573"/>
        <n v="240000011853"/>
        <n v="230000048837"/>
        <n v="24000002722"/>
        <n v="130403752"/>
        <n v="230000077005"/>
        <n v="23000032467"/>
        <n v="180100273"/>
        <n v="230000052006"/>
        <n v="230402422"/>
        <n v="240000097023"/>
        <n v="24000005888"/>
        <n v="230010594"/>
        <n v="230000066554"/>
        <n v="12080553"/>
        <n v="24000039524"/>
        <n v="240021466"/>
        <n v="240000000321"/>
        <n v="210603906"/>
        <n v="2400047870"/>
        <n v="24000012783"/>
        <n v="240000038306"/>
        <n v="2400000373"/>
        <n v="230000069464"/>
        <n v="240000056670"/>
        <n v="171000107"/>
        <n v="23000020106"/>
        <n v="58594"/>
        <n v="230007350"/>
        <n v="160904213"/>
        <n v="240000048377"/>
        <n v="24000062845"/>
        <n v="240000053220"/>
        <n v="230100340"/>
        <n v="230502703"/>
        <n v="24003948"/>
        <n v="130904484"/>
        <n v="221004402"/>
        <n v="240000065310"/>
        <n v="2400062576"/>
        <n v="240000097939"/>
        <n v="240000086168"/>
        <n v="240000035534"/>
        <n v="141002331"/>
        <n v="170800526"/>
        <n v="240000073782"/>
        <n v="230000052046"/>
        <n v="190701897"/>
        <n v="231003061"/>
        <n v="230904054"/>
        <n v="240000012347"/>
        <n v="240000094372"/>
        <n v="120502506"/>
        <n v="240000038815"/>
        <n v="240002417"/>
        <n v="240000084164"/>
        <n v="240000015601"/>
        <n v="230401650"/>
        <n v="230000076571"/>
        <n v="221101249"/>
        <n v="53"/>
        <n v="22403046"/>
        <n v="200900562"/>
        <n v="240000059229"/>
        <n v="230205086"/>
        <n v="231001662"/>
        <n v="230003814"/>
        <n v="240000031873"/>
        <n v="200356230"/>
        <n v="210806661"/>
        <n v="220700250"/>
        <n v="24000059976"/>
        <n v="230704454"/>
        <n v="240000024127"/>
        <n v="151007079"/>
        <n v="24000059579"/>
        <n v="240031924"/>
        <n v="240000034634"/>
        <n v="240000032182"/>
        <n v="240000033245"/>
        <n v="240000098061"/>
        <n v="230804300"/>
        <n v="231200200"/>
        <n v="210404526"/>
        <n v="160602949"/>
        <n v="240000023648"/>
        <n v="230000073481"/>
        <n v="230700099"/>
        <n v="240000097352"/>
        <n v="240000023896"/>
        <n v="240000004751"/>
        <n v="240000056787"/>
        <n v="24000078481"/>
        <n v="220602866"/>
        <n v="230501316"/>
        <n v="240000051424"/>
        <n v="230305332"/>
        <n v="240000076798"/>
        <n v="24000025576"/>
        <n v="24000009968"/>
        <n v="240000030005"/>
        <n v="240000021967"/>
        <n v="240000079217"/>
        <n v="230000035124"/>
        <n v="180201236"/>
        <n v="200103233"/>
        <n v="230802341"/>
        <n v="24000034809"/>
        <n v="240000087667"/>
        <n v="20100124342"/>
        <n v="230402759"/>
        <n v="73"/>
        <n v="180700881"/>
        <n v="240000098101"/>
        <n v="231002549"/>
        <n v="231002507"/>
        <n v="230009334"/>
        <n v="230803603"/>
        <n v="46877"/>
        <n v="240000043565"/>
        <n v="230102526"/>
        <n v="240000048201"/>
        <n v="24000005480"/>
        <n v="24000009353"/>
        <n v="230704763"/>
        <n v="220905863"/>
        <n v="230607917"/>
        <n v="230000075592"/>
        <n v="240000076946"/>
        <n v="240000033024"/>
        <n v="131205306"/>
        <n v="240000086837"/>
        <n v="240008605"/>
        <n v="24000021837"/>
        <n v="240000057100"/>
        <n v="240000087532"/>
        <n v="230010455"/>
        <n v="230000063435"/>
        <n v="24000037353"/>
        <n v="221206273"/>
        <n v="240000057703"/>
        <n v="240000052028"/>
        <n v="240002442"/>
        <n v="230104311"/>
        <n v="201001811"/>
        <n v="230000045604"/>
        <n v="230200264"/>
        <n v="240000095012"/>
        <n v="240014382"/>
        <n v="230000075100"/>
        <n v="240000064726"/>
        <n v="240000072341"/>
        <n v="230000070654"/>
        <n v="230800399"/>
        <n v="230500806"/>
        <n v="240000084454"/>
        <n v="240000057392"/>
        <n v="230904245"/>
        <n v="230902987"/>
        <n v="24000057513"/>
        <n v="240000051745"/>
        <n v="230903211"/>
        <n v="240000030601"/>
        <n v="231000030"/>
        <n v="230104302"/>
        <n v="240000010664"/>
        <n v="230205341"/>
        <n v="24000004454"/>
        <n v="180900552"/>
        <n v="230204724"/>
        <n v="240000053520"/>
        <n v="230102485"/>
        <n v="230008777"/>
        <n v="240000024094"/>
        <n v="230804009"/>
        <n v="24000045139"/>
        <n v="240000040622"/>
        <n v="240000087739"/>
        <n v="230802551"/>
        <n v="230000068910"/>
        <n v="240000003474"/>
        <n v="24000067884"/>
        <n v="200400466"/>
        <n v="110103214"/>
        <n v="240000038700"/>
        <n v="220902571"/>
        <n v="24000001332"/>
        <n v="240000017691"/>
        <n v="230801267"/>
        <n v="230200233"/>
        <n v="220904362"/>
        <n v="2307031109"/>
        <n v="240000046385"/>
        <n v="200401395"/>
        <n v="24000047930"/>
        <n v="160904101"/>
        <n v="240000049153"/>
        <n v="230902350"/>
        <n v="240000078257"/>
        <n v="230802743"/>
        <n v="150506252"/>
        <n v="240000013172"/>
        <n v="180803606"/>
        <n v="24000049989"/>
        <n v="110402124"/>
        <n v="130700886"/>
        <n v="230801803"/>
        <n v="230704864"/>
        <n v="240000059246"/>
        <n v="240000076044"/>
        <n v="221201778"/>
        <n v="240000099453"/>
        <n v="221105385"/>
        <n v="230404665"/>
        <n v="24000004286"/>
        <n v="240000099129"/>
        <n v="220402919"/>
        <n v="230005487"/>
        <n v="240000097863"/>
        <n v="240000021361"/>
        <n v="190402865"/>
        <n v="240000050700"/>
        <n v="240000065472"/>
        <n v="240000026031"/>
        <n v="230000056198"/>
        <n v="2400035365"/>
        <n v="140702177"/>
        <n v="240000079901"/>
        <n v="240000028724"/>
        <n v="231100398"/>
        <n v="240000055967"/>
        <n v="220701846"/>
        <n v="240000094161"/>
        <n v="240000086173"/>
        <n v="24000044952"/>
        <n v="230000052684"/>
        <n v="240000086242"/>
        <n v="230000044138"/>
        <n v="240000083785"/>
        <n v="230000022720"/>
        <n v="221203423"/>
        <n v="240000096684"/>
        <n v="190105332"/>
        <n v="240000028811"/>
        <n v="230502894"/>
        <n v="24000046440"/>
        <n v="240000044669"/>
        <n v="230803163"/>
        <n v="240000096429"/>
        <n v="230102622"/>
        <n v="23068012"/>
        <n v="240000072937"/>
        <n v="230000052023"/>
        <n v="211200884"/>
        <n v="230105996"/>
        <n v="230105008"/>
        <n v="22902582"/>
        <n v="120303645"/>
        <n v="240000043170"/>
        <n v="230004016"/>
        <n v="230802873"/>
        <n v="230011969"/>
        <n v="230000071286"/>
        <n v="221102647"/>
        <n v="220901750"/>
        <n v="220902971"/>
        <n v="230304183"/>
        <n v="230201880"/>
        <n v="230000066471"/>
        <n v="230304585"/>
        <n v="240009516"/>
        <n v="24000056684"/>
        <n v="240022916"/>
        <n v="240000028012"/>
        <n v="240000013696"/>
        <n v="24000057117"/>
        <n v="2400057159"/>
        <n v="240000075031"/>
        <n v="230103376"/>
        <n v="230003999"/>
        <n v="211003182"/>
        <n v="230000052678"/>
        <n v="11111111111111"/>
        <n v="230502566"/>
        <n v="240001711"/>
        <n v="240000031207"/>
        <n v="240000032777"/>
        <n v="230000058666"/>
        <n v="240000050289"/>
        <n v="240000089957"/>
        <n v="230003213"/>
        <n v="201200469"/>
        <n v="230403075"/>
        <n v="240000077670"/>
        <n v="240000082672"/>
        <n v="240000049397"/>
        <n v="240000079491"/>
        <n v="240000078953"/>
        <n v="240000070130"/>
      </sharedItems>
    </cacheField>
    <cacheField name="V2" numFmtId="0">
      <sharedItems containsString="0" containsBlank="1" containsNumber="1" containsInteger="1" minValue="18" maxValue="91"/>
    </cacheField>
    <cacheField name="V3" numFmtId="0">
      <sharedItems containsString="0" containsBlank="1" containsNumber="1" containsInteger="1" minValue="1" maxValue="2"/>
    </cacheField>
    <cacheField name="V5" numFmtId="0">
      <sharedItems containsDate="1" containsBlank="1" containsMixedTypes="1" minDate="2022-07-15T00:00:00" maxDate="2024-11-26T00:00:00"/>
    </cacheField>
    <cacheField name="V6" numFmtId="0">
      <sharedItems containsNonDate="0" containsDate="1" containsString="0" containsBlank="1" minDate="1899-12-30T00:00:00" maxDate="1899-12-30T23:30:00"/>
    </cacheField>
    <cacheField name="V7" numFmtId="0">
      <sharedItems containsDate="1" containsBlank="1" containsMixedTypes="1" minDate="2022-06-20T00:00:00" maxDate="2024-11-27T00:00:00"/>
    </cacheField>
    <cacheField name="V8" numFmtId="0">
      <sharedItems containsDate="1" containsBlank="1" containsMixedTypes="1" minDate="2022-01-02T00:00:00" maxDate="2024-12-10T00:00:00"/>
    </cacheField>
    <cacheField name="V9" numFmtId="0">
      <sharedItems containsString="0" containsBlank="1" containsNumber="1" containsInteger="1" minValue="73851686" maxValue="9975649580"/>
    </cacheField>
    <cacheField name="V10" numFmtId="0">
      <sharedItems containsString="0" containsBlank="1" containsNumber="1" containsInteger="1" minValue="7020886028" maxValue="9970150799"/>
    </cacheField>
    <cacheField name="V11" numFmtId="0">
      <sharedItems containsString="0" containsBlank="1" containsNumber="1" containsInteger="1" minValue="0" maxValue="27"/>
    </cacheField>
    <cacheField name="V12" numFmtId="0">
      <sharedItems containsString="0" containsBlank="1" containsNumber="1" containsInteger="1" minValue="1" maxValue="2"/>
    </cacheField>
    <cacheField name="V13" numFmtId="0">
      <sharedItems containsString="0" containsBlank="1" containsNumber="1" containsInteger="1" minValue="1" maxValue="2"/>
    </cacheField>
    <cacheField name="V16" numFmtId="0">
      <sharedItems containsString="0" containsBlank="1" containsNumber="1" containsInteger="1" minValue="1" maxValue="2"/>
    </cacheField>
    <cacheField name="V17" numFmtId="0">
      <sharedItems containsString="0" containsBlank="1" containsNumber="1" containsInteger="1" minValue="1" maxValue="2"/>
    </cacheField>
    <cacheField name="V18" numFmtId="0">
      <sharedItems containsString="0" containsBlank="1" containsNumber="1" containsInteger="1" minValue="1" maxValue="2"/>
    </cacheField>
    <cacheField name="V15" numFmtId="0">
      <sharedItems containsString="0" containsBlank="1" containsNumber="1" containsInteger="1" minValue="1" maxValue="2"/>
    </cacheField>
    <cacheField name="V19" numFmtId="0">
      <sharedItems containsString="0" containsBlank="1" containsNumber="1" containsInteger="1" minValue="1" maxValue="2"/>
    </cacheField>
    <cacheField name="V14" numFmtId="0">
      <sharedItems containsString="0" containsBlank="1" containsNumber="1" containsInteger="1" minValue="1" maxValue="2"/>
    </cacheField>
    <cacheField name="V20" numFmtId="0">
      <sharedItems containsString="0" containsBlank="1" containsNumber="1" containsInteger="1" minValue="1" maxValue="2"/>
    </cacheField>
    <cacheField name="V21" numFmtId="0">
      <sharedItems containsString="0" containsBlank="1" containsNumber="1" containsInteger="1" minValue="1" maxValue="2"/>
    </cacheField>
    <cacheField name="V22" numFmtId="0">
      <sharedItems containsBlank="1"/>
    </cacheField>
    <cacheField name="V23" numFmtId="0">
      <sharedItems containsString="0" containsBlank="1" containsNumber="1" minValue="3.5" maxValue="18"/>
    </cacheField>
    <cacheField name="V24" numFmtId="0">
      <sharedItems containsString="0" containsBlank="1" containsNumber="1" minValue="5.5" maxValue="92"/>
    </cacheField>
    <cacheField name="V25" numFmtId="0">
      <sharedItems containsString="0" containsBlank="1" containsNumber="1" minValue="10.050000000000001" maxValue="99.8"/>
    </cacheField>
    <cacheField name="V26" numFmtId="0">
      <sharedItems containsString="0" containsBlank="1" containsNumber="1" minValue="3.26" maxValue="97.74"/>
    </cacheField>
    <cacheField name="V27" numFmtId="0">
      <sharedItems containsString="0" containsBlank="1" containsNumber="1" minValue="4.5" maxValue="139"/>
    </cacheField>
    <cacheField name="V28" numFmtId="0">
      <sharedItems containsString="0" containsBlank="1" containsNumber="1" minValue="5.8" maxValue="299"/>
    </cacheField>
    <cacheField name="V29" numFmtId="0">
      <sharedItems containsString="0" containsBlank="1" containsNumber="1" minValue="10.35" maxValue="223.2"/>
    </cacheField>
    <cacheField name="V30" numFmtId="0">
      <sharedItems containsString="0" containsBlank="1" containsNumber="1" containsInteger="1" minValue="5" maxValue="144"/>
    </cacheField>
    <cacheField name="V31" numFmtId="0">
      <sharedItems containsString="0" containsBlank="1" containsNumber="1" minValue="6.1" maxValue="627"/>
    </cacheField>
    <cacheField name="V32" numFmtId="0">
      <sharedItems containsString="0" containsBlank="1" containsNumber="1" minValue="4.8" maxValue="173"/>
    </cacheField>
    <cacheField name="V33" numFmtId="0">
      <sharedItems containsString="0" containsBlank="1" containsNumber="1" containsInteger="1" minValue="35" maxValue="7200"/>
    </cacheField>
    <cacheField name="V35" numFmtId="0">
      <sharedItems containsString="0" containsBlank="1" containsNumber="1" containsInteger="1" minValue="11" maxValue="290"/>
    </cacheField>
    <cacheField name="V34" numFmtId="0">
      <sharedItems containsBlank="1"/>
    </cacheField>
    <cacheField name="strokevolume" numFmtId="0">
      <sharedItems containsNonDate="0" containsString="0" containsBlank="1"/>
    </cacheField>
    <cacheField name="V36" numFmtId="0">
      <sharedItems containsBlank="1" longText="1"/>
    </cacheField>
    <cacheField name="side of infarct" numFmtId="0">
      <sharedItems containsBlank="1"/>
    </cacheField>
    <cacheField name="V37" numFmtId="0">
      <sharedItems containsBlank="1" longText="1"/>
    </cacheField>
    <cacheField name="Rt" numFmtId="0">
      <sharedItems containsNonDate="0" containsString="0" containsBlank="1"/>
    </cacheField>
    <cacheField name="V38" numFmtId="0">
      <sharedItems containsString="0" containsBlank="1" containsNumber="1" containsInteger="1" minValue="0" maxValue="10"/>
    </cacheField>
    <cacheField name="V39" numFmtId="0">
      <sharedItems containsString="0" containsBlank="1" containsNumber="1" containsInteger="1" minValue="1" maxValue="5"/>
    </cacheField>
    <cacheField name="V41" numFmtId="0">
      <sharedItems containsString="0" containsBlank="1" containsNumber="1" containsInteger="1" minValue="1" maxValue="2"/>
    </cacheField>
    <cacheField name="V40" numFmtId="0">
      <sharedItems containsString="0" containsBlank="1" containsNumber="1" containsInteger="1" minValue="1" maxValue="5"/>
    </cacheField>
    <cacheField name="V42" numFmtId="0">
      <sharedItems containsString="0" containsBlank="1" containsNumber="1" containsInteger="1" minValue="1" maxValue="5"/>
    </cacheField>
    <cacheField name="V54" numFmtId="0">
      <sharedItems containsNonDate="0" containsString="0" containsBlank="1"/>
    </cacheField>
    <cacheField name="V43" numFmtId="0">
      <sharedItems containsString="0" containsBlank="1" containsNumber="1" containsInteger="1" minValue="1" maxValue="2"/>
    </cacheField>
    <cacheField name="V44" numFmtId="0">
      <sharedItems containsString="0" containsBlank="1" containsNumber="1" containsInteger="1" minValue="1" maxValue="2"/>
    </cacheField>
    <cacheField name="V45" numFmtId="0">
      <sharedItems containsString="0" containsBlank="1" containsNumber="1" containsInteger="1" minValue="1" maxValue="2"/>
    </cacheField>
    <cacheField name="V46" numFmtId="0">
      <sharedItems containsString="0" containsBlank="1" containsNumber="1" containsInteger="1" minValue="1" maxValue="3"/>
    </cacheField>
    <cacheField name="V47" numFmtId="0">
      <sharedItems containsString="0" containsBlank="1" containsNumber="1" containsInteger="1" minValue="1" maxValue="4"/>
    </cacheField>
    <cacheField name="V48" numFmtId="0">
      <sharedItems containsString="0" containsBlank="1" containsNumber="1" containsInteger="1" minValue="1" maxValue="2"/>
    </cacheField>
    <cacheField name="V49" numFmtId="0">
      <sharedItems containsString="0" containsBlank="1" containsNumber="1" containsInteger="1" minValue="1" maxValue="2"/>
    </cacheField>
    <cacheField name="V50" numFmtId="0">
      <sharedItems containsString="0" containsBlank="1" containsNumber="1" containsInteger="1" minValue="0" maxValue="6"/>
    </cacheField>
    <cacheField name="V51" numFmtId="0">
      <sharedItems containsString="0" containsBlank="1" containsNumber="1" containsInteger="1" minValue="0" maxValue="100"/>
    </cacheField>
    <cacheField name="Rt infraclinoid ICA" numFmtId="0">
      <sharedItems containsBlank="1" containsMixedTypes="1" containsNumber="1" containsInteger="1" minValue="0" maxValue="1"/>
    </cacheField>
    <cacheField name="Rt Supraclinoid ICA" numFmtId="0">
      <sharedItems containsBlank="1" containsMixedTypes="1" containsNumber="1" containsInteger="1" minValue="0" maxValue="2"/>
    </cacheField>
    <cacheField name="Rt Proximal M1 MCA" numFmtId="0">
      <sharedItems containsBlank="1" containsMixedTypes="1" containsNumber="1" containsInteger="1" minValue="0" maxValue="2"/>
    </cacheField>
    <cacheField name="Rt Distal M1 MCA" numFmtId="0">
      <sharedItems containsBlank="1" containsMixedTypes="1" containsNumber="1" containsInteger="1" minValue="0" maxValue="2"/>
    </cacheField>
    <cacheField name="Rt M2MCA rear" numFmtId="0">
      <sharedItems containsBlank="1" containsMixedTypes="1" containsNumber="1" containsInteger="1" minValue="0" maxValue="1"/>
    </cacheField>
    <cacheField name="Rt M2 MCA forward" numFmtId="0">
      <sharedItems containsBlank="1" containsMixedTypes="1" containsNumber="1" containsInteger="1" minValue="0" maxValue="1"/>
    </cacheField>
    <cacheField name="Rt A1 ACA" numFmtId="0">
      <sharedItems containsBlank="1" containsMixedTypes="1" containsNumber="1" containsInteger="1" minValue="0" maxValue="1"/>
    </cacheField>
    <cacheField name="Lt infraclinoid ICA" numFmtId="0">
      <sharedItems containsBlank="1" containsMixedTypes="1" containsNumber="1" containsInteger="1" minValue="0" maxValue="1"/>
    </cacheField>
    <cacheField name="Lt Supraclinoid ICA" numFmtId="0">
      <sharedItems containsBlank="1" containsMixedTypes="1" containsNumber="1" containsInteger="1" minValue="0" maxValue="2"/>
    </cacheField>
    <cacheField name="Lt Proximal M1 MCA" numFmtId="0">
      <sharedItems containsBlank="1" containsMixedTypes="1" containsNumber="1" containsInteger="1" minValue="0" maxValue="2"/>
    </cacheField>
    <cacheField name="Lt Distal M1 MCA" numFmtId="0">
      <sharedItems containsBlank="1" containsMixedTypes="1" containsNumber="1" containsInteger="1" minValue="0" maxValue="2"/>
    </cacheField>
    <cacheField name="Lt M2MCA rear" numFmtId="0">
      <sharedItems containsBlank="1" containsMixedTypes="1" containsNumber="1" containsInteger="1" minValue="0" maxValue="2"/>
    </cacheField>
    <cacheField name="Lt M2 MCA forward" numFmtId="0">
      <sharedItems containsBlank="1" containsMixedTypes="1" containsNumber="1" containsInteger="1" minValue="0" maxValue="1"/>
    </cacheField>
    <cacheField name="Lt A1 ACA" numFmtId="0">
      <sharedItems containsBlank="1" containsMixedTypes="1" containsNumber="1" containsInteger="1" minValue="0" maxValue="1"/>
    </cacheField>
    <cacheField name="clot burden score" numFmtId="0">
      <sharedItems containsBlank="1" containsMixedTypes="1" containsNumber="1" containsInteger="1" minValue="0" maxValue="10" count="17">
        <n v="7"/>
        <n v="8"/>
        <n v="9"/>
        <n v="10"/>
        <s v="No CTA"/>
        <n v="0"/>
        <m/>
        <s v="to do"/>
        <n v="6"/>
        <n v="5"/>
        <n v="4"/>
        <s v="unableto download"/>
        <s v="unable to download"/>
        <n v="3"/>
        <n v="1"/>
        <e v="#N/A"/>
        <n v="2"/>
      </sharedItems>
    </cacheField>
    <cacheField name="Lt ICA origin" numFmtId="0">
      <sharedItems containsBlank="1" containsMixedTypes="1" containsNumber="1" containsInteger="1" minValue="0" maxValue="1"/>
    </cacheField>
    <cacheField name="Rt ICA origin" numFmtId="0">
      <sharedItems containsBlank="1" containsMixedTypes="1" containsNumber="1" containsInteger="1" minValue="0" maxValue="1"/>
    </cacheField>
    <cacheField name="CCA" numFmtId="0">
      <sharedItems containsBlank="1" containsMixedTypes="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769.502534953703" createdVersion="6" refreshedVersion="6" minRefreshableVersion="3" recordCount="184" xr:uid="{E1B3104F-77FE-4E96-B8C1-F37D31079689}">
  <cacheSource type="worksheet">
    <worksheetSource ref="A2:B186" sheet="Chi Sq raw"/>
  </cacheSource>
  <cacheFields count="2">
    <cacheField name="Collaterals" numFmtId="0">
      <sharedItems count="2">
        <s v="Poor"/>
        <s v="Good"/>
      </sharedItems>
    </cacheField>
    <cacheField name="MRS Grading" numFmtId="0">
      <sharedItems count="2">
        <s v="Good"/>
        <s v="Po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8">
  <r>
    <s v="BL"/>
    <s v="Tukaram Potdar"/>
    <x v="0"/>
    <n v="0"/>
    <x v="0"/>
    <x v="0"/>
    <n v="76"/>
    <n v="1"/>
    <d v="2024-04-07T00:00:00"/>
    <m/>
    <d v="2024-04-07T00:00:00"/>
    <d v="2024-04-07T00:00:00"/>
    <n v="9226948505"/>
    <n v="7249813749"/>
    <n v="13"/>
    <n v="1"/>
    <n v="2"/>
    <n v="2"/>
    <n v="1"/>
    <n v="2"/>
    <n v="2"/>
    <n v="2"/>
    <n v="2"/>
    <n v="2"/>
    <n v="2"/>
    <m/>
    <n v="13.1"/>
    <m/>
    <m/>
    <m/>
    <n v="5.7"/>
    <n v="175"/>
    <n v="112.4"/>
    <n v="36"/>
    <n v="133"/>
    <n v="26.6"/>
    <n v="332"/>
    <n v="61"/>
    <m/>
    <m/>
    <s v="Rt PCA infract and PCIC  infract, Rt temporal and occipital lobe infract"/>
    <m/>
    <s v="Complete Rt CCA occlusion "/>
    <m/>
    <n v="9"/>
    <n v="3"/>
    <n v="1"/>
    <n v="3"/>
    <n v="5"/>
    <m/>
    <n v="1"/>
    <n v="2"/>
    <n v="1"/>
    <n v="1"/>
    <m/>
    <n v="2"/>
    <n v="2"/>
    <n v="6"/>
    <m/>
    <n v="0"/>
    <n v="1"/>
    <n v="1"/>
    <n v="2"/>
    <n v="1"/>
    <n v="1"/>
    <n v="1"/>
    <n v="0"/>
    <n v="0"/>
    <n v="0"/>
    <n v="0"/>
    <n v="0"/>
    <n v="0"/>
    <n v="0"/>
    <x v="0"/>
    <n v="1"/>
    <n v="0"/>
    <s v="Right CCA plaque"/>
  </r>
  <r>
    <s v="OI"/>
    <s v="Ratnmala A Gaikwad"/>
    <x v="1"/>
    <n v="0"/>
    <x v="0"/>
    <x v="1"/>
    <n v="68"/>
    <n v="2"/>
    <d v="2024-04-13T00:00:00"/>
    <d v="1899-12-30T10:00:00"/>
    <d v="2024-04-14T00:00:00"/>
    <d v="2024-04-16T00:00:00"/>
    <n v="9021100108"/>
    <m/>
    <n v="0"/>
    <n v="1"/>
    <n v="2"/>
    <n v="2"/>
    <n v="2"/>
    <n v="2"/>
    <n v="2"/>
    <n v="2"/>
    <n v="2"/>
    <n v="2"/>
    <n v="2"/>
    <s v="Hypothyroid "/>
    <n v="10.8"/>
    <n v="33.9"/>
    <n v="13.6"/>
    <n v="6.18"/>
    <n v="6.9"/>
    <n v="239"/>
    <n v="156.4"/>
    <n v="48"/>
    <n v="173"/>
    <n v="34.6"/>
    <n v="1560"/>
    <m/>
    <m/>
    <m/>
    <s v="Right MCA PCA watershed infract "/>
    <m/>
    <s v="Non opacification of V4 segement of left vetebral artery"/>
    <m/>
    <n v="10"/>
    <n v="3"/>
    <n v="1"/>
    <n v="3"/>
    <n v="5"/>
    <m/>
    <n v="1"/>
    <n v="1"/>
    <n v="2"/>
    <m/>
    <m/>
    <n v="2"/>
    <n v="2"/>
    <n v="2"/>
    <n v="70"/>
    <n v="1"/>
    <n v="2"/>
    <n v="2"/>
    <n v="0"/>
    <n v="1"/>
    <n v="1"/>
    <n v="1"/>
    <n v="0"/>
    <n v="0"/>
    <n v="0"/>
    <n v="0"/>
    <n v="0"/>
    <n v="0"/>
    <n v="0"/>
    <x v="1"/>
    <n v="1"/>
    <n v="1"/>
    <n v="0"/>
  </r>
  <r>
    <s v="EA"/>
    <s v="Madhav Belvakar"/>
    <x v="2"/>
    <n v="0"/>
    <x v="0"/>
    <x v="2"/>
    <n v="75"/>
    <n v="1"/>
    <d v="2024-04-06T00:00:00"/>
    <d v="1899-12-30T02:00:00"/>
    <d v="2024-04-10T00:00:00"/>
    <d v="2024-04-11T00:00:00"/>
    <n v="9765965928"/>
    <m/>
    <n v="2"/>
    <n v="1"/>
    <n v="1"/>
    <n v="2"/>
    <n v="2"/>
    <n v="2"/>
    <n v="2"/>
    <n v="2"/>
    <n v="2"/>
    <n v="2"/>
    <n v="2"/>
    <m/>
    <n v="11.2"/>
    <n v="36.9"/>
    <n v="67.7"/>
    <n v="28"/>
    <n v="10.7"/>
    <n v="152"/>
    <n v="98.8"/>
    <n v="31"/>
    <n v="111"/>
    <n v="21.2"/>
    <n v="345"/>
    <m/>
    <m/>
    <m/>
    <s v="Rt corona a/c infract with hemorrhagic transformation "/>
    <m/>
    <s v="A/c thrombus in Rt pulmonary artery brain angio N critical stenosis at origin of left ICA. left sigmoid sinus thrombosis"/>
    <m/>
    <n v="9"/>
    <n v="5"/>
    <n v="1"/>
    <n v="3"/>
    <n v="5"/>
    <m/>
    <n v="1"/>
    <m/>
    <n v="2"/>
    <m/>
    <n v="3"/>
    <n v="2"/>
    <n v="2"/>
    <n v="0"/>
    <n v="95"/>
    <n v="1"/>
    <n v="1"/>
    <n v="2"/>
    <n v="2"/>
    <n v="1"/>
    <n v="1"/>
    <n v="1"/>
    <n v="0"/>
    <n v="0"/>
    <n v="0"/>
    <n v="0"/>
    <n v="0"/>
    <n v="0"/>
    <n v="0"/>
    <x v="2"/>
    <n v="1"/>
    <n v="1"/>
    <s v="Left CCA plaque"/>
  </r>
  <r>
    <s v="EB"/>
    <s v="Dharmraj Patil"/>
    <x v="3"/>
    <n v="0"/>
    <x v="0"/>
    <x v="3"/>
    <n v="78"/>
    <n v="1"/>
    <d v="2024-05-25T00:00:00"/>
    <d v="1899-12-30T23:30:00"/>
    <d v="2024-05-25T00:00:00"/>
    <d v="2024-05-31T00:00:00"/>
    <n v="9423002874"/>
    <m/>
    <n v="16"/>
    <n v="1"/>
    <n v="1"/>
    <n v="2"/>
    <n v="1"/>
    <n v="2"/>
    <n v="2"/>
    <n v="2"/>
    <n v="2"/>
    <n v="2"/>
    <n v="2"/>
    <m/>
    <n v="13.1"/>
    <n v="39.9"/>
    <n v="84.2"/>
    <n v="8.3000000000000007"/>
    <n v="6.4"/>
    <n v="157"/>
    <n v="90.4"/>
    <n v="43"/>
    <n v="118"/>
    <n v="23.6"/>
    <m/>
    <m/>
    <m/>
    <m/>
    <s v="Right MCA M3 block Rt insula; Rt frontal operculum infract"/>
    <m/>
    <s v="Post lysis angiography left ICA 50% stenosis (Left M1 stenosis)"/>
    <m/>
    <n v="8"/>
    <n v="2"/>
    <n v="1"/>
    <n v="2"/>
    <n v="5"/>
    <m/>
    <n v="1"/>
    <n v="2"/>
    <n v="1"/>
    <n v="1"/>
    <m/>
    <n v="2"/>
    <n v="2"/>
    <n v="2"/>
    <n v="65"/>
    <n v="0"/>
    <n v="2"/>
    <n v="2"/>
    <n v="2"/>
    <n v="1"/>
    <n v="1"/>
    <n v="1"/>
    <n v="0"/>
    <n v="0"/>
    <n v="0"/>
    <n v="0"/>
    <n v="0"/>
    <n v="0"/>
    <n v="0"/>
    <x v="2"/>
    <n v="0"/>
    <n v="0"/>
    <n v="0"/>
  </r>
  <r>
    <s v="EC"/>
    <s v="Devendra Sigh"/>
    <x v="4"/>
    <n v="0"/>
    <x v="0"/>
    <x v="4"/>
    <n v="54"/>
    <n v="1"/>
    <d v="2024-05-14T00:00:00"/>
    <d v="1899-12-30T07:00:00"/>
    <d v="2024-05-15T00:00:00"/>
    <d v="2024-05-18T00:00:00"/>
    <n v="9405605463"/>
    <n v="9766993768"/>
    <n v="3"/>
    <n v="1"/>
    <n v="2"/>
    <n v="1"/>
    <n v="1"/>
    <n v="1"/>
    <n v="2"/>
    <n v="2"/>
    <n v="2"/>
    <n v="2"/>
    <n v="2"/>
    <m/>
    <n v="16"/>
    <n v="47.2"/>
    <n v="96.7"/>
    <n v="16.260000000000002"/>
    <n v="5.4"/>
    <m/>
    <m/>
    <m/>
    <m/>
    <m/>
    <n v="178"/>
    <m/>
    <m/>
    <m/>
    <s v="Left external capsule and putamen infract, left corona radiata, left lentiform nucleus"/>
    <m/>
    <m/>
    <m/>
    <n v="8"/>
    <n v="3"/>
    <n v="1"/>
    <n v="3"/>
    <n v="5"/>
    <m/>
    <n v="1"/>
    <n v="1"/>
    <n v="2"/>
    <m/>
    <m/>
    <n v="2"/>
    <n v="2"/>
    <n v="0"/>
    <n v="100"/>
    <n v="0"/>
    <n v="0"/>
    <n v="0"/>
    <n v="0"/>
    <n v="0"/>
    <n v="0"/>
    <n v="0"/>
    <n v="0"/>
    <n v="2"/>
    <n v="2"/>
    <n v="2"/>
    <n v="1"/>
    <n v="1"/>
    <n v="1"/>
    <x v="2"/>
    <n v="1"/>
    <n v="1"/>
    <n v="0"/>
  </r>
  <r>
    <s v="FI"/>
    <s v="Maruti Khutwad"/>
    <x v="5"/>
    <n v="0"/>
    <x v="0"/>
    <x v="5"/>
    <n v="81"/>
    <n v="1"/>
    <d v="2024-08-28T00:00:00"/>
    <m/>
    <d v="2024-08-30T00:00:00"/>
    <d v="2024-09-01T00:00:00"/>
    <n v="7775885648"/>
    <m/>
    <n v="6"/>
    <n v="2"/>
    <n v="2"/>
    <n v="2"/>
    <n v="1"/>
    <n v="2"/>
    <n v="2"/>
    <n v="2"/>
    <n v="2"/>
    <n v="2"/>
    <n v="2"/>
    <m/>
    <n v="13.1"/>
    <m/>
    <m/>
    <n v="11.56"/>
    <m/>
    <n v="143"/>
    <n v="72.2"/>
    <n v="38"/>
    <n v="164"/>
    <n v="164"/>
    <n v="1402"/>
    <m/>
    <m/>
    <m/>
    <s v="Rt MCA PCA watershed and internal watershed infract"/>
    <m/>
    <s v="Rt ICA 80% stenosis at origin"/>
    <m/>
    <n v="10"/>
    <n v="5"/>
    <n v="1"/>
    <n v="3"/>
    <n v="4"/>
    <m/>
    <n v="1"/>
    <m/>
    <n v="2"/>
    <m/>
    <m/>
    <n v="2"/>
    <n v="2"/>
    <m/>
    <m/>
    <n v="1"/>
    <n v="1"/>
    <n v="2"/>
    <n v="2"/>
    <n v="1"/>
    <n v="1"/>
    <n v="1"/>
    <n v="0"/>
    <n v="0"/>
    <n v="0"/>
    <n v="0"/>
    <n v="0"/>
    <n v="0"/>
    <n v="0"/>
    <x v="2"/>
    <n v="1"/>
    <n v="0"/>
    <n v="0"/>
  </r>
  <r>
    <s v="EE"/>
    <s v="Ashabai Varade"/>
    <x v="6"/>
    <n v="0"/>
    <x v="0"/>
    <x v="6"/>
    <n v="72"/>
    <n v="2"/>
    <d v="2024-08-02T00:00:00"/>
    <d v="1899-12-30T22:00:00"/>
    <d v="2024-08-04T00:00:00"/>
    <d v="2024-08-06T00:00:00"/>
    <n v="9822143654"/>
    <m/>
    <n v="9"/>
    <n v="1"/>
    <n v="1"/>
    <n v="2"/>
    <n v="2"/>
    <n v="2"/>
    <n v="2"/>
    <n v="2"/>
    <n v="2"/>
    <n v="2"/>
    <n v="2"/>
    <m/>
    <n v="11.7"/>
    <n v="37.4"/>
    <n v="83.5"/>
    <n v="10.88"/>
    <n v="6.6"/>
    <n v="125"/>
    <n v="74.8"/>
    <n v="28"/>
    <n v="111"/>
    <n v="22.2"/>
    <n v="2000"/>
    <n v="197"/>
    <m/>
    <m/>
    <s v="Left ACA infract"/>
    <m/>
    <s v="Left A1 occlusion "/>
    <m/>
    <n v="10"/>
    <n v="3"/>
    <n v="1"/>
    <n v="3"/>
    <n v="5"/>
    <m/>
    <n v="1"/>
    <n v="1"/>
    <n v="2"/>
    <m/>
    <m/>
    <n v="2"/>
    <n v="2"/>
    <m/>
    <m/>
    <n v="0"/>
    <n v="2"/>
    <n v="2"/>
    <n v="2"/>
    <n v="1"/>
    <n v="1"/>
    <n v="1"/>
    <n v="0"/>
    <n v="0"/>
    <n v="0"/>
    <n v="0"/>
    <n v="0"/>
    <n v="0"/>
    <n v="0"/>
    <x v="2"/>
    <n v="1"/>
    <n v="1"/>
    <n v="0"/>
  </r>
  <r>
    <s v="ID"/>
    <s v="Prabhavati Bhargvde"/>
    <x v="7"/>
    <n v="0"/>
    <x v="0"/>
    <x v="7"/>
    <n v="75"/>
    <n v="2"/>
    <d v="2024-04-23T00:00:00"/>
    <d v="1899-12-30T08:00:00"/>
    <d v="2024-04-24T00:00:00"/>
    <d v="2024-04-20T00:00:00"/>
    <n v="8007999211"/>
    <m/>
    <n v="2"/>
    <n v="1"/>
    <n v="1"/>
    <n v="2"/>
    <n v="1"/>
    <n v="2"/>
    <n v="2"/>
    <n v="2"/>
    <n v="2"/>
    <n v="2"/>
    <n v="2"/>
    <s v="epilepsia partialis continua"/>
    <n v="9.2200000000000006"/>
    <n v="33.5"/>
    <n v="82.2"/>
    <n v="17"/>
    <n v="6.1"/>
    <n v="132"/>
    <n v="78"/>
    <n v="42"/>
    <n v="58"/>
    <n v="11.6"/>
    <n v="576"/>
    <m/>
    <s v="S Iron 41, UIBC-197, TIBC-238,transferrin saturation-17.22"/>
    <m/>
    <s v="Right pre fronal cortex infract (outside MRI)"/>
    <m/>
    <s v="Normal Rt CCA  plaque 20-30% stenosis at origin Left CCA (40- 50%) stenosis plaque "/>
    <m/>
    <n v="10"/>
    <n v="3"/>
    <n v="1"/>
    <n v="3"/>
    <n v="5"/>
    <m/>
    <n v="1"/>
    <n v="1"/>
    <n v="2"/>
    <m/>
    <n v="4"/>
    <n v="2"/>
    <n v="2"/>
    <n v="0"/>
    <n v="100"/>
    <n v="1"/>
    <n v="2"/>
    <n v="2"/>
    <n v="2"/>
    <n v="1"/>
    <n v="1"/>
    <n v="1"/>
    <n v="0"/>
    <n v="0"/>
    <n v="0"/>
    <n v="0"/>
    <n v="0"/>
    <n v="0"/>
    <n v="0"/>
    <x v="3"/>
    <n v="1"/>
    <n v="0"/>
    <s v="Bilateral CCA plaque"/>
  </r>
  <r>
    <s v="IC"/>
    <s v="Mahadev Gaikwad"/>
    <x v="8"/>
    <n v="0"/>
    <x v="0"/>
    <x v="8"/>
    <n v="70"/>
    <n v="1"/>
    <d v="2024-04-15T00:00:00"/>
    <d v="1899-12-30T19:45:00"/>
    <d v="2024-04-15T00:00:00"/>
    <d v="2024-04-18T00:00:00"/>
    <n v="9657874271"/>
    <m/>
    <n v="5"/>
    <n v="1"/>
    <n v="2"/>
    <n v="2"/>
    <n v="2"/>
    <n v="2"/>
    <n v="2"/>
    <n v="2"/>
    <n v="2"/>
    <n v="2"/>
    <n v="2"/>
    <m/>
    <n v="14.1"/>
    <n v="43.8"/>
    <n v="86.8"/>
    <n v="12.35"/>
    <n v="6.1"/>
    <n v="185"/>
    <n v="122.2"/>
    <n v="30"/>
    <n v="119"/>
    <n v="23.8"/>
    <n v="448"/>
    <m/>
    <m/>
    <m/>
    <s v="Right pre central gyris infract "/>
    <m/>
    <m/>
    <m/>
    <n v="9"/>
    <n v="4"/>
    <n v="1"/>
    <n v="3"/>
    <n v="5"/>
    <m/>
    <n v="1"/>
    <n v="2"/>
    <n v="2"/>
    <m/>
    <n v="3"/>
    <n v="2"/>
    <n v="2"/>
    <n v="1"/>
    <n v="100"/>
    <n v="1"/>
    <n v="2"/>
    <n v="2"/>
    <n v="2"/>
    <n v="1"/>
    <n v="1"/>
    <n v="1"/>
    <n v="0"/>
    <n v="0"/>
    <n v="0"/>
    <n v="0"/>
    <n v="0"/>
    <n v="0"/>
    <n v="0"/>
    <x v="3"/>
    <n v="1"/>
    <n v="1"/>
    <n v="0"/>
  </r>
  <r>
    <s v="IH"/>
    <s v="Kisan Ranjane"/>
    <x v="9"/>
    <n v="0"/>
    <x v="0"/>
    <x v="9"/>
    <n v="75"/>
    <n v="1"/>
    <d v="2024-05-13T00:00:00"/>
    <d v="1899-12-30T14:00:00"/>
    <d v="2024-05-15T00:00:00"/>
    <d v="2024-05-16T00:00:00"/>
    <n v="9821116548"/>
    <m/>
    <n v="24"/>
    <n v="1"/>
    <n v="1"/>
    <n v="2"/>
    <n v="2"/>
    <n v="2"/>
    <n v="2"/>
    <n v="2"/>
    <n v="2"/>
    <n v="2"/>
    <n v="2"/>
    <m/>
    <n v="13"/>
    <n v="39.5"/>
    <n v="78.5"/>
    <m/>
    <m/>
    <m/>
    <m/>
    <m/>
    <m/>
    <m/>
    <m/>
    <m/>
    <m/>
    <m/>
    <s v="Left MCA- PCA watershed infract"/>
    <m/>
    <s v="Left ICA 55% occluded "/>
    <m/>
    <n v="9"/>
    <n v="3"/>
    <n v="1"/>
    <n v="2"/>
    <n v="5"/>
    <m/>
    <n v="1"/>
    <n v="2"/>
    <n v="2"/>
    <m/>
    <m/>
    <n v="2"/>
    <n v="2"/>
    <n v="0"/>
    <m/>
    <n v="0"/>
    <n v="0"/>
    <n v="0"/>
    <n v="0"/>
    <n v="0"/>
    <n v="0"/>
    <n v="0"/>
    <n v="1"/>
    <n v="2"/>
    <n v="2"/>
    <n v="2"/>
    <n v="1"/>
    <n v="1"/>
    <n v="1"/>
    <x v="3"/>
    <n v="1"/>
    <n v="1"/>
    <n v="0"/>
  </r>
  <r>
    <s v="DL"/>
    <s v="Salunkhe Pandurang"/>
    <x v="10"/>
    <n v="1"/>
    <x v="1"/>
    <x v="10"/>
    <n v="78"/>
    <n v="1"/>
    <d v="2023-09-01T00:00:00"/>
    <d v="1899-12-30T11:50:00"/>
    <d v="2023-09-01T00:00:00"/>
    <d v="2023-09-04T00:00:00"/>
    <n v="9850007762"/>
    <m/>
    <m/>
    <n v="1"/>
    <n v="1"/>
    <n v="2"/>
    <n v="2"/>
    <n v="2"/>
    <n v="2"/>
    <n v="2"/>
    <n v="2"/>
    <n v="2"/>
    <n v="1"/>
    <s v="Scar epilepsy vascular PD"/>
    <n v="13.2"/>
    <m/>
    <m/>
    <n v="28.51"/>
    <n v="8.1"/>
    <n v="111"/>
    <n v="54"/>
    <n v="33"/>
    <n v="117"/>
    <n v="23.4"/>
    <n v="328"/>
    <m/>
    <m/>
    <m/>
    <s v="Tiny Acute infarct in Lt centrum semiovale"/>
    <m/>
    <m/>
    <m/>
    <m/>
    <m/>
    <m/>
    <m/>
    <m/>
    <m/>
    <n v="1"/>
    <n v="1"/>
    <n v="2"/>
    <m/>
    <n v="4"/>
    <m/>
    <m/>
    <n v="1"/>
    <n v="100"/>
    <n v="0"/>
    <n v="0"/>
    <n v="0"/>
    <n v="0"/>
    <n v="0"/>
    <n v="0"/>
    <n v="0"/>
    <n v="1"/>
    <n v="1"/>
    <n v="2"/>
    <n v="2"/>
    <n v="1"/>
    <n v="1"/>
    <n v="1"/>
    <x v="2"/>
    <n v="0"/>
    <n v="0"/>
    <n v="0"/>
  </r>
  <r>
    <m/>
    <s v="Kiran Pardeshi"/>
    <x v="11"/>
    <e v="#N/A"/>
    <x v="2"/>
    <x v="11"/>
    <n v="71"/>
    <n v="1"/>
    <d v="2024-05-09T00:00:00"/>
    <d v="1899-12-30T14:00:00"/>
    <d v="2024-05-09T00:00:00"/>
    <d v="2024-05-10T00:00:00"/>
    <n v="9011817556"/>
    <m/>
    <n v="3"/>
    <n v="2"/>
    <n v="2"/>
    <n v="1"/>
    <n v="1"/>
    <n v="2"/>
    <n v="2"/>
    <n v="2"/>
    <n v="2"/>
    <n v="2"/>
    <n v="2"/>
    <m/>
    <n v="18"/>
    <n v="53.8"/>
    <n v="10.59"/>
    <n v="29.81"/>
    <m/>
    <m/>
    <m/>
    <m/>
    <m/>
    <m/>
    <n v="148"/>
    <m/>
    <s v="ESR-13, CRP-42"/>
    <m/>
    <s v="Left insular region tiny infract"/>
    <m/>
    <s v="Left M1 stenosis basilar artery right stenosis"/>
    <m/>
    <n v="8"/>
    <n v="2"/>
    <n v="1"/>
    <n v="2"/>
    <n v="4"/>
    <m/>
    <n v="1"/>
    <n v="1"/>
    <n v="2"/>
    <m/>
    <m/>
    <n v="2"/>
    <n v="2"/>
    <n v="0"/>
    <n v="100"/>
    <m/>
    <m/>
    <m/>
    <m/>
    <m/>
    <m/>
    <m/>
    <n v="0"/>
    <n v="1"/>
    <n v="2"/>
    <n v="2"/>
    <n v="1"/>
    <n v="1"/>
    <n v="1"/>
    <x v="1"/>
    <n v="1"/>
    <n v="1"/>
    <s v="Bilateral CCA plaque"/>
  </r>
  <r>
    <s v="JW"/>
    <s v="Dhondiram Mule"/>
    <x v="12"/>
    <n v="0"/>
    <x v="3"/>
    <x v="12"/>
    <n v="76"/>
    <n v="1"/>
    <d v="2023-09-01T00:00:00"/>
    <m/>
    <d v="2023-09-04T00:00:00"/>
    <d v="2023-09-12T00:00:00"/>
    <n v="9822497834"/>
    <m/>
    <m/>
    <n v="1"/>
    <n v="1"/>
    <n v="2"/>
    <n v="2"/>
    <n v="2"/>
    <n v="2"/>
    <n v="2"/>
    <n v="2"/>
    <n v="2"/>
    <n v="1"/>
    <s v="Anemia"/>
    <n v="4"/>
    <n v="12.1"/>
    <n v="33.1"/>
    <n v="31.25"/>
    <m/>
    <n v="100"/>
    <n v="41"/>
    <n v="28"/>
    <n v="155"/>
    <n v="31"/>
    <n v="7200"/>
    <m/>
    <s v="CSF glucose- 81, Protein- 170, Cells- 2(L)"/>
    <m/>
    <s v=" Small right frontal in front Right centrum semiovale and head of cardace nucleus"/>
    <m/>
    <m/>
    <m/>
    <m/>
    <m/>
    <m/>
    <m/>
    <m/>
    <m/>
    <n v="1"/>
    <n v="1"/>
    <n v="2"/>
    <m/>
    <n v="4"/>
    <m/>
    <m/>
    <n v="5"/>
    <n v="25"/>
    <n v="0"/>
    <n v="0"/>
    <n v="0"/>
    <n v="0"/>
    <n v="0"/>
    <n v="0"/>
    <n v="0"/>
    <n v="0"/>
    <n v="0"/>
    <n v="0"/>
    <n v="0"/>
    <n v="0"/>
    <n v="0"/>
    <n v="0"/>
    <x v="4"/>
    <n v="0"/>
    <n v="0"/>
    <n v="0"/>
  </r>
  <r>
    <s v="GS"/>
    <s v="Parshuram A Shinde "/>
    <x v="13"/>
    <n v="1"/>
    <x v="4"/>
    <x v="13"/>
    <n v="80"/>
    <n v="1"/>
    <d v="2023-03-27T00:00:00"/>
    <d v="1899-12-30T06:00:00"/>
    <d v="2023-03-27T00:00:00"/>
    <d v="2023-04-17T00:00:00"/>
    <n v="9850853398"/>
    <m/>
    <m/>
    <n v="2"/>
    <n v="2"/>
    <n v="2"/>
    <n v="2"/>
    <n v="1"/>
    <n v="2"/>
    <n v="2"/>
    <n v="2"/>
    <n v="2"/>
    <n v="2"/>
    <m/>
    <n v="12.6"/>
    <n v="36.299999999999997"/>
    <n v="96.7"/>
    <n v="14.5"/>
    <n v="5.0999999999999996"/>
    <m/>
    <m/>
    <m/>
    <m/>
    <m/>
    <n v="197"/>
    <m/>
    <m/>
    <m/>
    <s v="A/C infract left frontal, Rt centrum semiovale and left pariental lobe subacute to chronic infarct left frontal lobe  "/>
    <m/>
    <m/>
    <m/>
    <n v="9"/>
    <n v="3"/>
    <n v="1"/>
    <n v="3"/>
    <n v="5"/>
    <m/>
    <n v="1"/>
    <n v="1"/>
    <n v="2"/>
    <m/>
    <n v="4"/>
    <m/>
    <m/>
    <n v="4"/>
    <n v="45"/>
    <n v="0"/>
    <n v="0"/>
    <n v="0"/>
    <n v="0"/>
    <n v="0"/>
    <n v="0"/>
    <n v="0"/>
    <n v="1"/>
    <n v="2"/>
    <n v="2"/>
    <n v="2"/>
    <n v="1"/>
    <n v="1"/>
    <n v="1"/>
    <x v="3"/>
    <n v="1"/>
    <n v="1"/>
    <n v="0"/>
  </r>
  <r>
    <s v="JX"/>
    <s v="Nandkumar Ranawade"/>
    <x v="14"/>
    <n v="0"/>
    <x v="5"/>
    <x v="14"/>
    <n v="68"/>
    <n v="1"/>
    <m/>
    <m/>
    <d v="2023-02-13T00:00:00"/>
    <d v="2023-02-15T00:00:00"/>
    <n v="9850924658"/>
    <m/>
    <m/>
    <n v="2"/>
    <n v="2"/>
    <n v="1"/>
    <n v="2"/>
    <n v="2"/>
    <n v="2"/>
    <n v="1"/>
    <n v="2"/>
    <n v="2"/>
    <n v="2"/>
    <s v="CLD AUI"/>
    <n v="12.1"/>
    <n v="35"/>
    <n v="94"/>
    <n v="66"/>
    <n v="4.7"/>
    <n v="88"/>
    <n v="24"/>
    <n v="5"/>
    <n v="295"/>
    <n v="59"/>
    <n v="1898"/>
    <m/>
    <s v="Urea- 142, avea- 02"/>
    <m/>
    <s v="Acute infracts right frontal and left parietal lobes"/>
    <m/>
    <s v="not done"/>
    <m/>
    <n v="10"/>
    <m/>
    <m/>
    <m/>
    <m/>
    <m/>
    <m/>
    <m/>
    <n v="2"/>
    <m/>
    <n v="4"/>
    <n v="2"/>
    <n v="2"/>
    <n v="6"/>
    <n v="0"/>
    <n v="0"/>
    <n v="0"/>
    <n v="0"/>
    <n v="0"/>
    <n v="0"/>
    <n v="0"/>
    <n v="0"/>
    <n v="0"/>
    <n v="0"/>
    <n v="0"/>
    <n v="0"/>
    <n v="0"/>
    <n v="0"/>
    <n v="0"/>
    <x v="4"/>
    <n v="0"/>
    <n v="0"/>
    <n v="0"/>
  </r>
  <r>
    <s v="EF"/>
    <s v="Latif Munir"/>
    <x v="15"/>
    <n v="0"/>
    <x v="6"/>
    <x v="15"/>
    <n v="59"/>
    <n v="1"/>
    <d v="2024-04-26T00:00:00"/>
    <d v="1899-12-30T21:00:00"/>
    <d v="2024-04-26T00:00:00"/>
    <d v="2024-04-27T00:00:00"/>
    <n v="7387563186"/>
    <n v="9665374777"/>
    <n v="0"/>
    <n v="1"/>
    <n v="2"/>
    <n v="2"/>
    <n v="2"/>
    <n v="2"/>
    <n v="2"/>
    <n v="2"/>
    <n v="2"/>
    <n v="2"/>
    <n v="2"/>
    <m/>
    <n v="13.6"/>
    <n v="40.9"/>
    <n v="87.7"/>
    <n v="24.17"/>
    <n v="5.2"/>
    <m/>
    <m/>
    <m/>
    <m/>
    <m/>
    <n v="243"/>
    <m/>
    <m/>
    <m/>
    <s v="Right centrum semiovale infract"/>
    <m/>
    <m/>
    <m/>
    <n v="9"/>
    <n v="3"/>
    <n v="1"/>
    <n v="3"/>
    <n v="5"/>
    <m/>
    <n v="1"/>
    <n v="1"/>
    <n v="2"/>
    <m/>
    <m/>
    <n v="2"/>
    <n v="2"/>
    <n v="0"/>
    <n v="100"/>
    <n v="0"/>
    <n v="2"/>
    <n v="2"/>
    <n v="2"/>
    <n v="1"/>
    <n v="1"/>
    <n v="1"/>
    <n v="0"/>
    <n v="0"/>
    <n v="0"/>
    <n v="0"/>
    <n v="0"/>
    <n v="0"/>
    <n v="0"/>
    <x v="2"/>
    <n v="1"/>
    <n v="1"/>
    <n v="0"/>
  </r>
  <r>
    <s v="BR"/>
    <s v="Ganapatrao Baset "/>
    <x v="16"/>
    <n v="0"/>
    <x v="7"/>
    <x v="16"/>
    <n v="76"/>
    <n v="1"/>
    <d v="2024-09-29T00:00:00"/>
    <d v="1899-12-30T08:00:00"/>
    <d v="2024-09-29T00:00:00"/>
    <d v="2024-09-30T00:00:00"/>
    <n v="9975360762"/>
    <m/>
    <m/>
    <n v="1"/>
    <n v="1"/>
    <n v="2"/>
    <n v="1"/>
    <n v="2"/>
    <n v="2"/>
    <n v="2"/>
    <n v="2"/>
    <n v="2"/>
    <n v="2"/>
    <m/>
    <n v="13"/>
    <n v="38.799999999999997"/>
    <n v="90.8"/>
    <m/>
    <m/>
    <m/>
    <m/>
    <m/>
    <m/>
    <m/>
    <n v="148"/>
    <m/>
    <m/>
    <m/>
    <s v="Rt corona radiata infract and high parieatal region infract"/>
    <m/>
    <s v="Mild calcified plaque in both intracranial ICA without narrowing"/>
    <m/>
    <n v="8"/>
    <n v="3"/>
    <n v="1"/>
    <n v="3"/>
    <n v="5"/>
    <m/>
    <n v="1"/>
    <n v="1"/>
    <n v="2"/>
    <m/>
    <n v="4"/>
    <n v="2"/>
    <n v="2"/>
    <n v="0"/>
    <n v="100"/>
    <n v="0"/>
    <n v="0"/>
    <n v="0"/>
    <n v="0"/>
    <n v="0"/>
    <n v="0"/>
    <n v="0"/>
    <n v="0"/>
    <n v="1"/>
    <n v="2"/>
    <n v="2"/>
    <n v="1"/>
    <n v="1"/>
    <n v="1"/>
    <x v="1"/>
    <n v="1"/>
    <n v="1"/>
    <n v="1"/>
  </r>
  <r>
    <s v="FQ"/>
    <s v="Dharmendra Kale"/>
    <x v="17"/>
    <n v="1"/>
    <x v="8"/>
    <x v="17"/>
    <n v="47"/>
    <n v="1"/>
    <m/>
    <m/>
    <d v="2023-02-13T00:00:00"/>
    <d v="2023-02-15T00:00:00"/>
    <m/>
    <m/>
    <n v="0"/>
    <n v="1"/>
    <n v="2"/>
    <n v="2"/>
    <n v="2"/>
    <n v="2"/>
    <n v="2"/>
    <n v="2"/>
    <n v="2"/>
    <n v="2"/>
    <n v="2"/>
    <m/>
    <n v="12.9"/>
    <n v="39"/>
    <n v="80"/>
    <n v="40"/>
    <n v="5.8"/>
    <m/>
    <m/>
    <m/>
    <m/>
    <m/>
    <n v="177"/>
    <m/>
    <m/>
    <m/>
    <s v="ASL hypoperfusion segmet left fronto parietal region "/>
    <m/>
    <s v="Short segment narrowing supraclinoid segment of left ICA"/>
    <m/>
    <n v="10"/>
    <n v="2"/>
    <n v="1"/>
    <n v="3"/>
    <n v="4"/>
    <m/>
    <n v="1"/>
    <n v="1"/>
    <n v="2"/>
    <m/>
    <m/>
    <n v="2"/>
    <n v="2"/>
    <n v="0"/>
    <n v="100"/>
    <n v="0"/>
    <n v="0"/>
    <n v="0"/>
    <n v="0"/>
    <n v="0"/>
    <n v="0"/>
    <n v="0"/>
    <n v="1"/>
    <n v="1"/>
    <n v="2"/>
    <n v="2"/>
    <n v="1"/>
    <n v="1"/>
    <n v="1"/>
    <x v="2"/>
    <n v="1"/>
    <n v="1"/>
    <s v="Left CCA plaque"/>
  </r>
  <r>
    <s v="JQ"/>
    <s v="Bhimshankar Pawar"/>
    <x v="18"/>
    <n v="0"/>
    <x v="9"/>
    <x v="18"/>
    <n v="81"/>
    <n v="1"/>
    <d v="2024-06-08T00:00:00"/>
    <d v="1899-12-30T12:00:00"/>
    <d v="2024-06-08T00:00:00"/>
    <d v="2024-10-08T00:00:00"/>
    <n v="7020438411"/>
    <m/>
    <n v="11"/>
    <n v="1"/>
    <n v="2"/>
    <n v="2"/>
    <n v="2"/>
    <n v="2"/>
    <n v="2"/>
    <n v="2"/>
    <n v="2"/>
    <n v="2"/>
    <n v="2"/>
    <m/>
    <n v="13.4"/>
    <n v="39.1"/>
    <n v="10.39"/>
    <m/>
    <m/>
    <n v="215"/>
    <n v="139"/>
    <n v="35"/>
    <n v="205"/>
    <n v="41"/>
    <m/>
    <m/>
    <m/>
    <m/>
    <s v="Small infract in left MCA teritory old gliosis in Lt MCA teritory"/>
    <m/>
    <s v="Lt ICA plaques not causing significant luminal occlusion"/>
    <m/>
    <n v="10"/>
    <n v="3"/>
    <n v="1"/>
    <n v="3"/>
    <n v="5"/>
    <m/>
    <n v="1"/>
    <m/>
    <n v="1"/>
    <n v="1"/>
    <m/>
    <n v="2"/>
    <n v="2"/>
    <n v="1"/>
    <n v="80"/>
    <m/>
    <m/>
    <m/>
    <m/>
    <m/>
    <m/>
    <m/>
    <n v="0"/>
    <n v="1"/>
    <n v="2"/>
    <n v="2"/>
    <n v="1"/>
    <n v="1"/>
    <n v="1"/>
    <x v="1"/>
    <n v="1"/>
    <n v="1"/>
    <n v="0"/>
  </r>
  <r>
    <s v="JI"/>
    <s v="Prakash Shirgaonkar"/>
    <x v="19"/>
    <n v="1"/>
    <x v="10"/>
    <x v="19"/>
    <n v="62"/>
    <n v="1"/>
    <d v="2024-03-05T00:00:00"/>
    <d v="1899-12-30T11:00:00"/>
    <d v="2024-03-05T00:00:00"/>
    <d v="2024-03-07T00:00:00"/>
    <n v="9960575854"/>
    <n v="9028444211"/>
    <n v="4"/>
    <n v="1"/>
    <n v="2"/>
    <n v="2"/>
    <n v="1"/>
    <n v="2"/>
    <n v="2"/>
    <n v="2"/>
    <n v="2"/>
    <n v="2"/>
    <n v="2"/>
    <m/>
    <n v="14.4"/>
    <n v="45.1"/>
    <n v="82.5"/>
    <n v="52.77"/>
    <n v="6.4"/>
    <n v="223"/>
    <n v="41"/>
    <n v="41"/>
    <n v="137"/>
    <n v="27.4"/>
    <n v="241"/>
    <m/>
    <m/>
    <m/>
    <s v="Left corona radiata acute infract multiple bilateral chronic infracts"/>
    <m/>
    <s v="Right vertebral V4 segment plaque rest normal "/>
    <m/>
    <n v="9"/>
    <n v="5"/>
    <n v="1"/>
    <n v="3"/>
    <n v="5"/>
    <m/>
    <n v="1"/>
    <n v="1"/>
    <n v="2"/>
    <m/>
    <m/>
    <n v="2"/>
    <n v="2"/>
    <n v="0"/>
    <n v="100"/>
    <n v="0"/>
    <n v="0"/>
    <n v="0"/>
    <n v="0"/>
    <n v="0"/>
    <n v="0"/>
    <n v="0"/>
    <n v="1"/>
    <n v="2"/>
    <n v="2"/>
    <n v="2"/>
    <n v="1"/>
    <n v="1"/>
    <n v="1"/>
    <x v="3"/>
    <n v="1"/>
    <n v="1"/>
    <n v="0"/>
  </r>
  <r>
    <s v="FJ"/>
    <s v="Deepak Tiwari"/>
    <x v="20"/>
    <n v="0"/>
    <x v="11"/>
    <x v="20"/>
    <n v="70"/>
    <n v="1"/>
    <d v="2024-02-29T00:00:00"/>
    <d v="1899-12-30T23:00:00"/>
    <d v="2024-03-01T00:00:00"/>
    <d v="2024-03-02T00:00:00"/>
    <m/>
    <m/>
    <n v="1"/>
    <n v="1"/>
    <n v="1"/>
    <n v="2"/>
    <n v="1"/>
    <n v="2"/>
    <n v="2"/>
    <n v="2"/>
    <n v="2"/>
    <n v="2"/>
    <n v="2"/>
    <m/>
    <n v="13.5"/>
    <n v="39.299999999999997"/>
    <n v="88.5"/>
    <m/>
    <n v="6.6"/>
    <n v="149"/>
    <n v="97.6"/>
    <n v="32"/>
    <n v="97"/>
    <n v="19.399999999999999"/>
    <n v="304"/>
    <m/>
    <m/>
    <m/>
    <s v="Left Corona radiata infract"/>
    <m/>
    <s v="Normal "/>
    <m/>
    <n v="9"/>
    <n v="3"/>
    <n v="1"/>
    <n v="3"/>
    <n v="5"/>
    <m/>
    <n v="1"/>
    <n v="1"/>
    <n v="2"/>
    <m/>
    <m/>
    <n v="2"/>
    <n v="2"/>
    <n v="0"/>
    <n v="100"/>
    <n v="0"/>
    <n v="0"/>
    <n v="0"/>
    <n v="0"/>
    <n v="0"/>
    <n v="0"/>
    <n v="0"/>
    <n v="0"/>
    <n v="2"/>
    <n v="2"/>
    <n v="2"/>
    <n v="1"/>
    <n v="1"/>
    <n v="1"/>
    <x v="2"/>
    <n v="1"/>
    <n v="1"/>
    <n v="0"/>
  </r>
  <r>
    <s v="GT"/>
    <s v="Prakash Mugali"/>
    <x v="21"/>
    <n v="1"/>
    <x v="12"/>
    <x v="21"/>
    <n v="32"/>
    <n v="1"/>
    <m/>
    <m/>
    <d v="2023-02-25T00:00:00"/>
    <d v="2023-03-01T00:00:00"/>
    <n v="9823579765"/>
    <m/>
    <n v="1"/>
    <n v="2"/>
    <n v="2"/>
    <n v="2"/>
    <n v="2"/>
    <n v="2"/>
    <n v="2"/>
    <n v="2"/>
    <n v="2"/>
    <n v="2"/>
    <n v="2"/>
    <m/>
    <n v="14.6"/>
    <m/>
    <m/>
    <n v="27"/>
    <m/>
    <n v="237"/>
    <n v="156"/>
    <n v="54"/>
    <n v="133"/>
    <n v="26"/>
    <n v="156"/>
    <m/>
    <m/>
    <m/>
    <s v="Tiny infract left precentral gyris and left parieto occipital cortex"/>
    <m/>
    <s v="left ica 60-70 luminal compromise Suspicion of dissection"/>
    <m/>
    <n v="10"/>
    <n v="3"/>
    <n v="1"/>
    <n v="3"/>
    <n v="5"/>
    <m/>
    <n v="1"/>
    <n v="1"/>
    <n v="2"/>
    <m/>
    <n v="4"/>
    <n v="2"/>
    <n v="2"/>
    <n v="1"/>
    <n v="95"/>
    <n v="0"/>
    <n v="0"/>
    <n v="0"/>
    <n v="0"/>
    <n v="0"/>
    <n v="0"/>
    <n v="0"/>
    <n v="1"/>
    <n v="2"/>
    <n v="2"/>
    <n v="2"/>
    <n v="1"/>
    <n v="1"/>
    <n v="1"/>
    <x v="3"/>
    <n v="0"/>
    <n v="1"/>
    <n v="0"/>
  </r>
  <r>
    <s v="BY"/>
    <s v="Udhavrao Salunkhe"/>
    <x v="22"/>
    <n v="1"/>
    <x v="13"/>
    <x v="22"/>
    <n v="80"/>
    <n v="1"/>
    <d v="2024-02-01T00:00:00"/>
    <d v="1899-12-30T05:00:00"/>
    <d v="2024-02-05T00:00:00"/>
    <m/>
    <n v="8888837024"/>
    <m/>
    <m/>
    <n v="1"/>
    <n v="1"/>
    <n v="2"/>
    <n v="2"/>
    <n v="2"/>
    <n v="2"/>
    <n v="2"/>
    <n v="2"/>
    <n v="2"/>
    <n v="2"/>
    <m/>
    <n v="13"/>
    <n v="38.799999999999997"/>
    <n v="83"/>
    <n v="27"/>
    <n v="11.1"/>
    <n v="276"/>
    <n v="168.4"/>
    <n v="43"/>
    <n v="323"/>
    <n v="64.599999999999994"/>
    <n v="305"/>
    <n v="138"/>
    <m/>
    <m/>
    <s v="Left corona radiata infract right anterior temporal small infract old left pontine hemorrhage"/>
    <m/>
    <s v="Small wide necked saccular aneunysm arising feom the inferior part of A3 segment if rt ACA. Calcified atherosclerotic plaques involving the petrous, cavernous, clinoid and ophthalmic segments of B/L ICA's causing mild luminal narrowing (Lt&gt;Rt). Atherosclerotic plaque involving V4 segment of Lt vetebral artery causing partial luminal narrowing."/>
    <m/>
    <n v="10"/>
    <n v="5"/>
    <n v="1"/>
    <n v="3"/>
    <n v="5"/>
    <m/>
    <n v="2"/>
    <n v="2"/>
    <n v="2"/>
    <m/>
    <m/>
    <n v="2"/>
    <n v="2"/>
    <n v="2"/>
    <n v="65"/>
    <n v="0"/>
    <n v="0"/>
    <n v="0"/>
    <n v="0"/>
    <n v="0"/>
    <n v="0"/>
    <n v="0"/>
    <n v="0"/>
    <n v="1"/>
    <n v="2"/>
    <n v="2"/>
    <n v="1"/>
    <n v="1"/>
    <n v="1"/>
    <x v="1"/>
    <n v="0"/>
    <n v="0"/>
    <n v="0"/>
  </r>
  <r>
    <s v="DB"/>
    <s v="Patel keky"/>
    <x v="23"/>
    <n v="0"/>
    <x v="14"/>
    <x v="23"/>
    <n v="77"/>
    <n v="1"/>
    <d v="2024-11-24T00:00:00"/>
    <d v="1899-12-30T01:00:00"/>
    <d v="2024-11-24T00:00:00"/>
    <d v="2024-11-27T00:00:00"/>
    <n v="9819851445"/>
    <m/>
    <n v="4"/>
    <n v="1"/>
    <n v="1"/>
    <n v="2"/>
    <n v="2"/>
    <n v="2"/>
    <n v="2"/>
    <n v="2"/>
    <n v="2"/>
    <n v="2"/>
    <n v="1"/>
    <s v="OSA, Polycythemia vera, March 2023 left thalamic infarct, Oct 2023 Right centrum semioval infarct and external capsule"/>
    <n v="13.9"/>
    <n v="41.7"/>
    <n v="78.599999999999994"/>
    <n v="12.3"/>
    <n v="6.1"/>
    <n v="108"/>
    <n v="46"/>
    <n v="40"/>
    <n v="107"/>
    <n v="21.4"/>
    <n v="615"/>
    <m/>
    <m/>
    <m/>
    <s v="Left PLIC, Right PCA MCA watershed infarct"/>
    <m/>
    <s v="Bilateral cavernous ICA plaques"/>
    <m/>
    <n v="8"/>
    <n v="3"/>
    <n v="1"/>
    <n v="3"/>
    <n v="5"/>
    <m/>
    <n v="1"/>
    <n v="2"/>
    <n v="2"/>
    <m/>
    <n v="3"/>
    <n v="2"/>
    <n v="2"/>
    <m/>
    <m/>
    <n v="0"/>
    <n v="2"/>
    <n v="2"/>
    <n v="2"/>
    <n v="1"/>
    <n v="1"/>
    <n v="1"/>
    <n v="0"/>
    <n v="0"/>
    <n v="0"/>
    <n v="0"/>
    <n v="0"/>
    <n v="0"/>
    <n v="0"/>
    <x v="2"/>
    <n v="1"/>
    <n v="1"/>
    <n v="1"/>
  </r>
  <r>
    <s v="EG"/>
    <s v="Uttam Pawar"/>
    <x v="24"/>
    <n v="1"/>
    <x v="15"/>
    <x v="24"/>
    <n v="67"/>
    <n v="1"/>
    <d v="2023-12-19T00:00:00"/>
    <d v="1899-12-30T09:00:00"/>
    <d v="2023-12-19T00:00:00"/>
    <d v="2023-12-21T00:00:00"/>
    <n v="7661974723"/>
    <m/>
    <n v="3"/>
    <n v="1"/>
    <n v="1"/>
    <n v="2"/>
    <n v="1"/>
    <n v="1"/>
    <n v="2"/>
    <n v="2"/>
    <n v="2"/>
    <n v="2"/>
    <n v="2"/>
    <m/>
    <n v="14.2"/>
    <n v="43.3"/>
    <n v="91.4"/>
    <n v="15.31"/>
    <n v="8.1"/>
    <m/>
    <m/>
    <m/>
    <m/>
    <m/>
    <n v="294"/>
    <m/>
    <m/>
    <m/>
    <s v="Acute right corona radiata infract"/>
    <m/>
    <s v="Normal"/>
    <m/>
    <m/>
    <m/>
    <m/>
    <m/>
    <m/>
    <m/>
    <n v="1"/>
    <n v="1"/>
    <n v="2"/>
    <m/>
    <m/>
    <m/>
    <m/>
    <m/>
    <m/>
    <n v="1"/>
    <n v="1"/>
    <n v="2"/>
    <n v="2"/>
    <n v="1"/>
    <n v="1"/>
    <n v="1"/>
    <n v="0"/>
    <n v="0"/>
    <n v="0"/>
    <n v="0"/>
    <n v="0"/>
    <n v="0"/>
    <n v="0"/>
    <x v="2"/>
    <n v="1"/>
    <n v="1"/>
    <s v="Bilateral CCA plaques"/>
  </r>
  <r>
    <s v="JY"/>
    <s v="Rajendra Naik "/>
    <x v="25"/>
    <n v="0"/>
    <x v="16"/>
    <x v="25"/>
    <n v="48"/>
    <n v="1"/>
    <d v="2024-07-01T00:00:00"/>
    <d v="1899-12-30T17:00:00"/>
    <d v="2024-07-02T00:00:00"/>
    <d v="2024-04-04T00:00:00"/>
    <n v="9850081577"/>
    <m/>
    <n v="0"/>
    <n v="1"/>
    <n v="2"/>
    <n v="1"/>
    <n v="2"/>
    <n v="1"/>
    <n v="2"/>
    <n v="2"/>
    <n v="2"/>
    <n v="2"/>
    <n v="2"/>
    <m/>
    <n v="17.399999999999999"/>
    <n v="50.8"/>
    <n v="10.73"/>
    <n v="75"/>
    <n v="5"/>
    <n v="193"/>
    <n v="107.2"/>
    <n v="39"/>
    <n v="234"/>
    <n v="46.8"/>
    <m/>
    <m/>
    <m/>
    <m/>
    <s v="Tiny left frontoparietal infract and left centrum semiovale"/>
    <m/>
    <s v="B/L clenoid ICA plaque"/>
    <m/>
    <n v="9"/>
    <n v="4"/>
    <n v="1"/>
    <n v="3"/>
    <n v="5"/>
    <m/>
    <n v="1"/>
    <n v="1"/>
    <n v="2"/>
    <m/>
    <m/>
    <n v="2"/>
    <n v="2"/>
    <n v="0"/>
    <m/>
    <m/>
    <m/>
    <m/>
    <m/>
    <m/>
    <m/>
    <m/>
    <n v="0"/>
    <n v="0"/>
    <n v="0"/>
    <n v="0"/>
    <n v="0"/>
    <n v="0"/>
    <n v="0"/>
    <x v="5"/>
    <n v="0"/>
    <n v="0"/>
    <n v="0"/>
  </r>
  <r>
    <m/>
    <s v="dond harishchandra"/>
    <x v="26"/>
    <m/>
    <x v="17"/>
    <x v="26"/>
    <m/>
    <m/>
    <m/>
    <m/>
    <m/>
    <m/>
    <m/>
    <m/>
    <m/>
    <m/>
    <m/>
    <m/>
    <m/>
    <m/>
    <m/>
    <m/>
    <m/>
    <m/>
    <m/>
    <m/>
    <m/>
    <m/>
    <m/>
    <m/>
    <m/>
    <m/>
    <m/>
    <m/>
    <m/>
    <m/>
    <m/>
    <m/>
    <m/>
    <m/>
    <s v="Right PLIC infarct"/>
    <s v="R"/>
    <m/>
    <m/>
    <m/>
    <m/>
    <m/>
    <m/>
    <m/>
    <m/>
    <m/>
    <m/>
    <m/>
    <m/>
    <m/>
    <m/>
    <m/>
    <m/>
    <m/>
    <m/>
    <m/>
    <m/>
    <m/>
    <m/>
    <m/>
    <m/>
    <m/>
    <m/>
    <m/>
    <m/>
    <m/>
    <m/>
    <m/>
    <x v="6"/>
    <m/>
    <m/>
    <m/>
  </r>
  <r>
    <s v="FG"/>
    <s v="Vilas Gaikwad"/>
    <x v="27"/>
    <n v="0"/>
    <x v="18"/>
    <x v="27"/>
    <n v="51"/>
    <n v="1"/>
    <d v="2024-05-18T00:00:00"/>
    <d v="1899-12-30T08:54:00"/>
    <d v="2024-05-18T00:00:00"/>
    <d v="2024-06-04T00:00:00"/>
    <n v="8149081492"/>
    <m/>
    <n v="20"/>
    <n v="1"/>
    <n v="1"/>
    <n v="1"/>
    <n v="1"/>
    <n v="1"/>
    <n v="2"/>
    <n v="2"/>
    <n v="2"/>
    <n v="2"/>
    <n v="2"/>
    <m/>
    <n v="8.5"/>
    <n v="29.3"/>
    <n v="59.7"/>
    <n v="4.3600000000000003"/>
    <n v="8.1999999999999993"/>
    <n v="90"/>
    <n v="42.2"/>
    <n v="21"/>
    <n v="134"/>
    <n v="26.3"/>
    <n v="795"/>
    <m/>
    <s v="CRP- 180, ESR-16, ferritin-383, S IRon-82, UIBC-200,TIBC- 282, transferrin saturation-29.7"/>
    <m/>
    <s v="Acute NHI in Lt MCA teritory"/>
    <m/>
    <s v="Normal with filling detect in the left carotid bifurcation"/>
    <m/>
    <n v="3"/>
    <n v="2"/>
    <n v="2"/>
    <n v="2"/>
    <n v="3"/>
    <m/>
    <n v="1"/>
    <m/>
    <n v="2"/>
    <n v="1"/>
    <m/>
    <n v="2"/>
    <n v="2"/>
    <n v="3"/>
    <n v="55"/>
    <n v="0"/>
    <n v="0"/>
    <n v="0"/>
    <n v="0"/>
    <n v="0"/>
    <n v="0"/>
    <n v="0"/>
    <n v="1"/>
    <n v="2"/>
    <n v="2"/>
    <n v="2"/>
    <n v="0"/>
    <n v="1"/>
    <n v="1"/>
    <x v="2"/>
    <n v="0"/>
    <n v="1"/>
    <n v="0"/>
  </r>
  <r>
    <s v="JZ"/>
    <s v="Arun Chinchkar"/>
    <x v="28"/>
    <n v="0"/>
    <x v="19"/>
    <x v="28"/>
    <n v="69"/>
    <n v="1"/>
    <d v="2024-05-06T00:00:00"/>
    <m/>
    <d v="2024-05-07T00:00:00"/>
    <d v="2024-05-08T00:00:00"/>
    <n v="8087797608"/>
    <m/>
    <n v="1"/>
    <n v="2"/>
    <n v="2"/>
    <n v="2"/>
    <n v="1"/>
    <n v="2"/>
    <n v="2"/>
    <n v="2"/>
    <n v="2"/>
    <n v="2"/>
    <n v="2"/>
    <m/>
    <n v="14.5"/>
    <n v="42.8"/>
    <n v="96.2"/>
    <n v="69.89"/>
    <m/>
    <n v="128"/>
    <n v="81.2"/>
    <n v="26"/>
    <n v="104"/>
    <n v="20.8"/>
    <n v="171"/>
    <m/>
    <m/>
    <m/>
    <s v="Tiny acute NHI areas in the Lt thalamus and Lt temporal lobe. "/>
    <m/>
    <s v="Mild narrowing of M1 segment of Rt MCA"/>
    <m/>
    <n v="9"/>
    <n v="4"/>
    <n v="1"/>
    <n v="3"/>
    <n v="5"/>
    <m/>
    <n v="1"/>
    <n v="1"/>
    <n v="2"/>
    <m/>
    <m/>
    <n v="2"/>
    <n v="2"/>
    <n v="0"/>
    <n v="100"/>
    <n v="0"/>
    <n v="0"/>
    <n v="0"/>
    <n v="0"/>
    <n v="0"/>
    <n v="0"/>
    <n v="0"/>
    <n v="0"/>
    <n v="0"/>
    <n v="0"/>
    <n v="0"/>
    <n v="0"/>
    <n v="0"/>
    <n v="0"/>
    <x v="4"/>
    <n v="0"/>
    <n v="0"/>
    <n v="0"/>
  </r>
  <r>
    <s v="GU"/>
    <s v="Genu shinde "/>
    <x v="29"/>
    <n v="1"/>
    <x v="20"/>
    <x v="29"/>
    <n v="58"/>
    <n v="1"/>
    <d v="2024-07-14T00:00:00"/>
    <d v="1899-12-30T10:00:00"/>
    <d v="2024-07-14T00:00:00"/>
    <m/>
    <n v="9832956169"/>
    <m/>
    <n v="2"/>
    <n v="1"/>
    <n v="2"/>
    <n v="2"/>
    <n v="1"/>
    <n v="2"/>
    <n v="2"/>
    <n v="2"/>
    <n v="2"/>
    <n v="2"/>
    <n v="2"/>
    <m/>
    <m/>
    <m/>
    <m/>
    <m/>
    <m/>
    <m/>
    <m/>
    <m/>
    <m/>
    <m/>
    <m/>
    <m/>
    <m/>
    <m/>
    <s v="Right centrum semiovale infract "/>
    <m/>
    <m/>
    <m/>
    <n v="10"/>
    <n v="5"/>
    <n v="1"/>
    <n v="3"/>
    <n v="5"/>
    <m/>
    <n v="1"/>
    <n v="1"/>
    <n v="2"/>
    <m/>
    <m/>
    <n v="2"/>
    <n v="2"/>
    <n v="0"/>
    <n v="100"/>
    <n v="1"/>
    <n v="2"/>
    <n v="2"/>
    <n v="2"/>
    <n v="1"/>
    <n v="1"/>
    <n v="1"/>
    <n v="0"/>
    <n v="0"/>
    <n v="0"/>
    <n v="0"/>
    <n v="0"/>
    <n v="0"/>
    <n v="0"/>
    <x v="3"/>
    <n v="1"/>
    <n v="1"/>
    <n v="0"/>
  </r>
  <r>
    <s v="KA"/>
    <s v="Smit Sarode"/>
    <x v="30"/>
    <n v="0"/>
    <x v="21"/>
    <x v="30"/>
    <n v="32"/>
    <n v="1"/>
    <d v="2023-12-07T00:00:00"/>
    <d v="1899-12-30T09:30:00"/>
    <d v="2023-12-07T00:00:00"/>
    <d v="2023-11-09T00:00:00"/>
    <n v="9923173137"/>
    <n v="9028021092"/>
    <n v="2"/>
    <n v="1"/>
    <n v="2"/>
    <n v="2"/>
    <n v="2"/>
    <n v="2"/>
    <n v="2"/>
    <n v="2"/>
    <n v="2"/>
    <n v="2"/>
    <n v="2"/>
    <s v="Acute Kidney injuri"/>
    <n v="15.1"/>
    <n v="45.3"/>
    <n v="85.9"/>
    <n v="24.49"/>
    <n v="5.2"/>
    <m/>
    <m/>
    <m/>
    <m/>
    <m/>
    <n v="148"/>
    <m/>
    <m/>
    <m/>
    <s v="Right corona radiata and Rt lentiform nucleus"/>
    <m/>
    <s v="Normal "/>
    <m/>
    <n v="10"/>
    <n v="3"/>
    <n v="1"/>
    <n v="3"/>
    <n v="5"/>
    <m/>
    <n v="1"/>
    <n v="1"/>
    <n v="2"/>
    <m/>
    <n v="4"/>
    <n v="2"/>
    <n v="2"/>
    <n v="0"/>
    <n v="100"/>
    <n v="1"/>
    <n v="2"/>
    <n v="2"/>
    <n v="2"/>
    <n v="1"/>
    <n v="1"/>
    <n v="1"/>
    <n v="0"/>
    <n v="0"/>
    <n v="0"/>
    <n v="0"/>
    <n v="0"/>
    <n v="0"/>
    <n v="0"/>
    <x v="3"/>
    <n v="1"/>
    <n v="1"/>
    <n v="0"/>
  </r>
  <r>
    <s v="GV"/>
    <s v="Vikrant Salunkhe"/>
    <x v="31"/>
    <n v="1"/>
    <x v="22"/>
    <x v="31"/>
    <n v="30"/>
    <n v="1"/>
    <d v="2024-01-05T00:00:00"/>
    <d v="1899-12-30T22:00:00"/>
    <d v="2024-01-06T00:00:00"/>
    <d v="2024-01-06T00:00:00"/>
    <n v="9595462767"/>
    <n v="9049331113"/>
    <n v="1"/>
    <n v="2"/>
    <n v="2"/>
    <n v="2"/>
    <n v="2"/>
    <n v="2"/>
    <n v="2"/>
    <n v="2"/>
    <n v="2"/>
    <n v="2"/>
    <n v="2"/>
    <m/>
    <n v="15.4"/>
    <n v="46.4"/>
    <n v="85.9"/>
    <n v="16.399999999999999"/>
    <m/>
    <n v="144"/>
    <n v="96.6"/>
    <n v="32"/>
    <n v="77"/>
    <n v="15.4"/>
    <n v="184"/>
    <m/>
    <m/>
    <m/>
    <s v="Right pre central gyris infract and right posterior frontal subcortical white matter "/>
    <m/>
    <s v="Normal"/>
    <m/>
    <n v="9"/>
    <n v="3"/>
    <n v="1"/>
    <n v="3"/>
    <n v="5"/>
    <m/>
    <n v="1"/>
    <n v="1"/>
    <n v="2"/>
    <m/>
    <m/>
    <n v="2"/>
    <n v="2"/>
    <n v="0"/>
    <n v="100"/>
    <n v="1"/>
    <n v="2"/>
    <n v="2"/>
    <n v="2"/>
    <n v="1"/>
    <n v="1"/>
    <n v="1"/>
    <n v="0"/>
    <n v="0"/>
    <n v="0"/>
    <n v="0"/>
    <n v="0"/>
    <n v="0"/>
    <n v="0"/>
    <x v="3"/>
    <n v="1"/>
    <n v="1"/>
    <n v="0"/>
  </r>
  <r>
    <s v="GW"/>
    <s v="Padunrang Jadhav"/>
    <x v="32"/>
    <n v="1"/>
    <x v="22"/>
    <x v="32"/>
    <n v="50"/>
    <n v="1"/>
    <d v="2024-04-03T00:00:00"/>
    <d v="1899-12-30T02:00:00"/>
    <d v="2024-04-03T00:00:00"/>
    <d v="2024-04-03T00:00:00"/>
    <n v="9689125965"/>
    <m/>
    <n v="3"/>
    <n v="2"/>
    <n v="1"/>
    <n v="1"/>
    <n v="1"/>
    <n v="2"/>
    <n v="2"/>
    <n v="2"/>
    <n v="2"/>
    <n v="2"/>
    <n v="2"/>
    <m/>
    <m/>
    <m/>
    <m/>
    <m/>
    <m/>
    <m/>
    <m/>
    <m/>
    <m/>
    <m/>
    <m/>
    <m/>
    <m/>
    <m/>
    <s v="Left posterior limb of internal capsule infract"/>
    <m/>
    <s v="Left ICA 80% stenosis at origin"/>
    <m/>
    <n v="10"/>
    <n v="3"/>
    <n v="1"/>
    <n v="3"/>
    <n v="5"/>
    <m/>
    <n v="2"/>
    <n v="2"/>
    <n v="2"/>
    <m/>
    <m/>
    <n v="2"/>
    <n v="2"/>
    <n v="0"/>
    <n v="100"/>
    <n v="0"/>
    <n v="0"/>
    <n v="0"/>
    <n v="0"/>
    <n v="0"/>
    <n v="0"/>
    <n v="0"/>
    <n v="1"/>
    <n v="2"/>
    <n v="2"/>
    <n v="2"/>
    <n v="1"/>
    <n v="1"/>
    <n v="1"/>
    <x v="3"/>
    <n v="1"/>
    <n v="1"/>
    <n v="0"/>
  </r>
  <r>
    <s v="KC"/>
    <s v="Uttam Pawar"/>
    <x v="33"/>
    <n v="0"/>
    <x v="23"/>
    <x v="33"/>
    <n v="67"/>
    <n v="1"/>
    <d v="2024-04-09T00:00:00"/>
    <m/>
    <d v="2024-04-11T00:00:00"/>
    <d v="2024-04-12T00:00:00"/>
    <n v="7661944723"/>
    <m/>
    <n v="4"/>
    <n v="1"/>
    <n v="1"/>
    <n v="2"/>
    <n v="2"/>
    <n v="2"/>
    <n v="2"/>
    <n v="2"/>
    <n v="2"/>
    <n v="2"/>
    <n v="2"/>
    <m/>
    <n v="15.5"/>
    <n v="47.1"/>
    <n v="90"/>
    <m/>
    <n v="7.4"/>
    <n v="115"/>
    <n v="52.2"/>
    <n v="31"/>
    <n v="159"/>
    <n v="31.8"/>
    <n v="400"/>
    <m/>
    <m/>
    <m/>
    <s v="Acute left parietal and Rt fundal "/>
    <m/>
    <s v="Lacunar infract calcified atherosclerotic plaques at B/L carotid bifurcation at origin B/L ICAs cavernous and supraclinoid segments of B/L ICAs causing mild luminal compromise"/>
    <m/>
    <m/>
    <m/>
    <m/>
    <m/>
    <m/>
    <m/>
    <n v="1"/>
    <n v="2"/>
    <n v="2"/>
    <m/>
    <m/>
    <n v="2"/>
    <n v="2"/>
    <n v="0"/>
    <n v="0"/>
    <n v="0"/>
    <n v="0"/>
    <n v="0"/>
    <n v="0"/>
    <n v="0"/>
    <n v="0"/>
    <n v="0"/>
    <n v="0"/>
    <n v="0"/>
    <n v="0"/>
    <n v="0"/>
    <n v="0"/>
    <n v="0"/>
    <n v="0"/>
    <x v="7"/>
    <n v="0"/>
    <n v="0"/>
    <n v="0"/>
  </r>
  <r>
    <s v="KD"/>
    <s v="Gopal S Jadyal "/>
    <x v="34"/>
    <n v="0"/>
    <x v="24"/>
    <x v="34"/>
    <n v="59"/>
    <n v="1"/>
    <d v="2023-10-01T00:00:00"/>
    <d v="1899-12-30T11:00:00"/>
    <d v="2023-10-05T00:00:00"/>
    <d v="2023-10-07T00:00:00"/>
    <n v="7578675134"/>
    <n v="8668255674"/>
    <n v="9"/>
    <n v="1"/>
    <n v="1"/>
    <n v="2"/>
    <n v="2"/>
    <n v="2"/>
    <n v="2"/>
    <n v="2"/>
    <n v="2"/>
    <n v="2"/>
    <n v="2"/>
    <m/>
    <n v="13"/>
    <n v="72"/>
    <m/>
    <n v="23.6"/>
    <m/>
    <n v="134"/>
    <n v="89.4"/>
    <n v="28"/>
    <n v="83"/>
    <n v="16.600000000000001"/>
    <n v="148"/>
    <m/>
    <m/>
    <m/>
    <s v="Tiny lacunar infract in R GC region "/>
    <m/>
    <m/>
    <m/>
    <m/>
    <m/>
    <m/>
    <m/>
    <m/>
    <m/>
    <n v="1"/>
    <n v="1"/>
    <n v="2"/>
    <m/>
    <m/>
    <m/>
    <m/>
    <m/>
    <m/>
    <n v="0"/>
    <n v="0"/>
    <n v="0"/>
    <n v="0"/>
    <n v="0"/>
    <n v="0"/>
    <n v="0"/>
    <n v="0"/>
    <n v="0"/>
    <n v="0"/>
    <n v="0"/>
    <n v="0"/>
    <n v="0"/>
    <n v="0"/>
    <x v="4"/>
    <n v="0"/>
    <n v="0"/>
    <n v="0"/>
  </r>
  <r>
    <s v="EH"/>
    <s v="Ganesh Satpute"/>
    <x v="35"/>
    <n v="0"/>
    <x v="25"/>
    <x v="35"/>
    <n v="32"/>
    <n v="1"/>
    <d v="2023-02-07T00:00:00"/>
    <d v="1899-12-30T21:00:00"/>
    <d v="2023-02-08T00:00:00"/>
    <d v="2023-02-10T00:00:00"/>
    <n v="8550995333"/>
    <m/>
    <m/>
    <n v="2"/>
    <n v="2"/>
    <n v="2"/>
    <n v="2"/>
    <n v="2"/>
    <n v="2"/>
    <n v="2"/>
    <n v="2"/>
    <n v="2"/>
    <n v="2"/>
    <m/>
    <n v="15.2"/>
    <n v="44.5"/>
    <n v="87.9"/>
    <n v="49.3"/>
    <n v="5.5"/>
    <n v="174"/>
    <n v="114"/>
    <n v="41"/>
    <n v="92"/>
    <n v="18.399999999999999"/>
    <n v="181"/>
    <m/>
    <s v="ANA neg LUPUS anticogulation neg"/>
    <m/>
    <s v="Acute stroke right pre central gyris. Area of gliosis in Rt fronto parietal region and head of caudate nucleus  "/>
    <m/>
    <s v="Paucity insular branches of Rt MCA. Soft plaque in Rt carotid body and origin of ICA. "/>
    <m/>
    <m/>
    <m/>
    <m/>
    <m/>
    <m/>
    <m/>
    <n v="1"/>
    <n v="1"/>
    <n v="2"/>
    <m/>
    <m/>
    <n v="2"/>
    <n v="2"/>
    <n v="0"/>
    <n v="100"/>
    <n v="1"/>
    <n v="2"/>
    <n v="2"/>
    <n v="1"/>
    <n v="1"/>
    <n v="1"/>
    <n v="1"/>
    <n v="0"/>
    <n v="0"/>
    <n v="0"/>
    <n v="0"/>
    <n v="0"/>
    <n v="0"/>
    <n v="0"/>
    <x v="2"/>
    <n v="1"/>
    <n v="1"/>
    <n v="0"/>
  </r>
  <r>
    <s v="KE"/>
    <s v="Usha Ranbhise"/>
    <x v="36"/>
    <n v="0"/>
    <x v="26"/>
    <x v="36"/>
    <n v="76"/>
    <n v="2"/>
    <d v="2023-11-15T00:00:00"/>
    <d v="1899-12-30T09:00:00"/>
    <d v="2023-11-15T00:00:00"/>
    <d v="2023-11-17T00:00:00"/>
    <n v="7387606981"/>
    <m/>
    <n v="4"/>
    <n v="1"/>
    <n v="2"/>
    <n v="2"/>
    <n v="2"/>
    <n v="2"/>
    <n v="2"/>
    <n v="2"/>
    <n v="2"/>
    <n v="2"/>
    <n v="2"/>
    <m/>
    <n v="11.7"/>
    <n v="37.200000000000003"/>
    <n v="75.900000000000006"/>
    <n v="14.48"/>
    <m/>
    <m/>
    <m/>
    <m/>
    <m/>
    <m/>
    <n v="346"/>
    <m/>
    <m/>
    <m/>
    <s v="Acute stroke Lt frontal and corpus callosum"/>
    <m/>
    <m/>
    <m/>
    <m/>
    <m/>
    <m/>
    <m/>
    <m/>
    <m/>
    <n v="1"/>
    <n v="1"/>
    <n v="1"/>
    <n v="1"/>
    <n v="4"/>
    <n v="2"/>
    <n v="2"/>
    <m/>
    <m/>
    <n v="0"/>
    <n v="0"/>
    <n v="0"/>
    <n v="0"/>
    <n v="0"/>
    <n v="0"/>
    <n v="0"/>
    <n v="0"/>
    <n v="0"/>
    <n v="0"/>
    <n v="0"/>
    <n v="0"/>
    <n v="0"/>
    <n v="0"/>
    <x v="4"/>
    <n v="0"/>
    <n v="0"/>
    <n v="0"/>
  </r>
  <r>
    <s v="GL"/>
    <s v="PAnchal Hiroji"/>
    <x v="37"/>
    <n v="0"/>
    <x v="27"/>
    <x v="37"/>
    <n v="59"/>
    <n v="1"/>
    <d v="2024-07-18T00:00:00"/>
    <d v="1899-12-30T03:00:00"/>
    <d v="2024-07-19T00:00:00"/>
    <d v="2024-07-21T00:00:00"/>
    <n v="7776878768"/>
    <m/>
    <n v="3"/>
    <n v="1"/>
    <n v="1"/>
    <n v="2"/>
    <n v="2"/>
    <n v="2"/>
    <n v="2"/>
    <n v="2"/>
    <n v="2"/>
    <n v="2"/>
    <n v="2"/>
    <m/>
    <n v="15.2"/>
    <n v="46.4"/>
    <n v="76.8"/>
    <n v="13.91"/>
    <m/>
    <n v="162"/>
    <n v="87.6"/>
    <n v="51"/>
    <n v="117"/>
    <n v="23.4"/>
    <n v="2000"/>
    <m/>
    <m/>
    <m/>
    <s v="Left corona radiata infract/ left thrombus"/>
    <m/>
    <m/>
    <m/>
    <m/>
    <m/>
    <m/>
    <m/>
    <m/>
    <m/>
    <n v="1"/>
    <n v="1"/>
    <n v="2"/>
    <m/>
    <m/>
    <n v="2"/>
    <n v="2"/>
    <n v="0"/>
    <n v="100"/>
    <n v="0"/>
    <n v="0"/>
    <n v="0"/>
    <n v="0"/>
    <n v="0"/>
    <n v="0"/>
    <n v="0"/>
    <n v="1"/>
    <n v="2"/>
    <n v="2"/>
    <n v="2"/>
    <n v="1"/>
    <n v="1"/>
    <n v="1"/>
    <x v="3"/>
    <n v="1"/>
    <n v="1"/>
    <n v="1"/>
  </r>
  <r>
    <m/>
    <s v="Kakade shivaji"/>
    <x v="26"/>
    <m/>
    <x v="28"/>
    <x v="26"/>
    <m/>
    <m/>
    <m/>
    <m/>
    <m/>
    <m/>
    <m/>
    <m/>
    <m/>
    <m/>
    <m/>
    <m/>
    <m/>
    <m/>
    <m/>
    <m/>
    <m/>
    <m/>
    <m/>
    <m/>
    <m/>
    <m/>
    <m/>
    <m/>
    <m/>
    <m/>
    <m/>
    <m/>
    <m/>
    <m/>
    <m/>
    <m/>
    <m/>
    <m/>
    <m/>
    <s v="L"/>
    <m/>
    <m/>
    <m/>
    <m/>
    <m/>
    <m/>
    <m/>
    <m/>
    <m/>
    <m/>
    <m/>
    <m/>
    <m/>
    <m/>
    <m/>
    <m/>
    <m/>
    <m/>
    <m/>
    <m/>
    <m/>
    <m/>
    <m/>
    <m/>
    <m/>
    <m/>
    <m/>
    <m/>
    <m/>
    <m/>
    <m/>
    <x v="6"/>
    <m/>
    <m/>
    <m/>
  </r>
  <r>
    <s v="GX"/>
    <s v="Rakesh Ghorpade"/>
    <x v="38"/>
    <n v="1"/>
    <x v="29"/>
    <x v="38"/>
    <n v="50"/>
    <n v="1"/>
    <m/>
    <m/>
    <d v="2023-02-17T00:00:00"/>
    <d v="2023-02-22T00:00:00"/>
    <n v="9373878732"/>
    <m/>
    <n v="3"/>
    <n v="1"/>
    <n v="2"/>
    <n v="2"/>
    <n v="2"/>
    <n v="2"/>
    <n v="2"/>
    <n v="2"/>
    <n v="2"/>
    <n v="2"/>
    <n v="2"/>
    <m/>
    <n v="16.2"/>
    <n v="47"/>
    <n v="96"/>
    <n v="70"/>
    <n v="5.4"/>
    <m/>
    <m/>
    <m/>
    <m/>
    <m/>
    <n v="153"/>
    <m/>
    <m/>
    <m/>
    <s v="Acute infract right centrum semiovale"/>
    <m/>
    <m/>
    <m/>
    <n v="10"/>
    <n v="3"/>
    <n v="1"/>
    <n v="3"/>
    <n v="5"/>
    <m/>
    <n v="1"/>
    <n v="2"/>
    <n v="1"/>
    <n v="1"/>
    <m/>
    <n v="2"/>
    <n v="2"/>
    <n v="1"/>
    <n v="85"/>
    <n v="1"/>
    <n v="2"/>
    <n v="2"/>
    <n v="2"/>
    <n v="1"/>
    <n v="1"/>
    <n v="1"/>
    <n v="0"/>
    <n v="0"/>
    <n v="0"/>
    <n v="0"/>
    <n v="0"/>
    <n v="0"/>
    <n v="0"/>
    <x v="3"/>
    <n v="1"/>
    <n v="1"/>
    <n v="0"/>
  </r>
  <r>
    <s v="GY"/>
    <s v="Bhivaji Dombale"/>
    <x v="39"/>
    <n v="1"/>
    <x v="30"/>
    <x v="39"/>
    <n v="42"/>
    <n v="1"/>
    <d v="2024-02-02T00:00:00"/>
    <d v="1899-12-30T23:00:00"/>
    <d v="2024-02-03T00:00:00"/>
    <d v="2024-02-06T00:00:00"/>
    <n v="9021456694"/>
    <m/>
    <n v="3"/>
    <n v="1"/>
    <n v="2"/>
    <n v="1"/>
    <n v="1"/>
    <n v="2"/>
    <n v="2"/>
    <n v="2"/>
    <n v="1"/>
    <n v="2"/>
    <n v="2"/>
    <s v="ANI"/>
    <n v="16.399999999999999"/>
    <n v="48.3"/>
    <n v="83.4"/>
    <n v="26.05"/>
    <n v="5.3"/>
    <n v="186"/>
    <n v="101.6"/>
    <n v="43"/>
    <n v="207"/>
    <n v="41.4"/>
    <n v="157"/>
    <m/>
    <m/>
    <m/>
    <s v="Left corona radiata + putamen infract"/>
    <m/>
    <s v="Normal"/>
    <m/>
    <n v="8"/>
    <n v="5"/>
    <n v="1"/>
    <n v="3"/>
    <n v="5"/>
    <m/>
    <n v="1"/>
    <n v="1"/>
    <n v="2"/>
    <m/>
    <m/>
    <n v="2"/>
    <n v="2"/>
    <n v="1"/>
    <n v="100"/>
    <n v="0"/>
    <n v="0"/>
    <n v="0"/>
    <n v="0"/>
    <n v="0"/>
    <n v="0"/>
    <n v="0"/>
    <n v="1"/>
    <n v="2"/>
    <n v="2"/>
    <n v="2"/>
    <n v="1"/>
    <n v="1"/>
    <n v="1"/>
    <x v="3"/>
    <n v="1"/>
    <n v="1"/>
    <n v="0"/>
  </r>
  <r>
    <s v="GZ"/>
    <s v="Mahadev N Pandit "/>
    <x v="40"/>
    <n v="1"/>
    <x v="31"/>
    <x v="40"/>
    <n v="47"/>
    <n v="1"/>
    <d v="2023-10-09T00:00:00"/>
    <d v="1899-12-30T08:30:00"/>
    <d v="2023-10-09T00:00:00"/>
    <d v="2023-10-12T00:00:00"/>
    <n v="9322838664"/>
    <n v="7378323273"/>
    <n v="8"/>
    <n v="1"/>
    <n v="2"/>
    <n v="2"/>
    <n v="1"/>
    <n v="2"/>
    <n v="2"/>
    <n v="2"/>
    <n v="2"/>
    <n v="2"/>
    <n v="1"/>
    <m/>
    <n v="13.2"/>
    <m/>
    <m/>
    <n v="7.61"/>
    <n v="5.9"/>
    <n v="182"/>
    <n v="126.6"/>
    <n v="41"/>
    <n v="72"/>
    <n v="14.4"/>
    <n v="735"/>
    <m/>
    <m/>
    <m/>
    <s v="Acute NHI in posterior limb and left internal capsule chronic venous hemorrhagic infract in rt temporal lobe with rt veing of labbe thrombosis"/>
    <m/>
    <s v="Normal"/>
    <m/>
    <n v="10"/>
    <n v="5"/>
    <n v="1"/>
    <n v="3"/>
    <n v="5"/>
    <m/>
    <n v="1"/>
    <n v="1"/>
    <n v="1"/>
    <n v="1"/>
    <m/>
    <m/>
    <m/>
    <n v="0"/>
    <n v="100"/>
    <n v="1"/>
    <n v="2"/>
    <n v="2"/>
    <n v="2"/>
    <n v="1"/>
    <n v="1"/>
    <n v="1"/>
    <n v="0"/>
    <n v="0"/>
    <n v="0"/>
    <n v="0"/>
    <n v="0"/>
    <n v="0"/>
    <n v="0"/>
    <x v="3"/>
    <n v="1"/>
    <n v="1"/>
    <n v="0"/>
  </r>
  <r>
    <s v="HA"/>
    <s v="Sidhheshwar Fatate"/>
    <x v="41"/>
    <n v="1"/>
    <x v="32"/>
    <x v="41"/>
    <n v="54"/>
    <n v="1"/>
    <d v="2024-01-07T00:00:00"/>
    <d v="1899-12-30T14:00:00"/>
    <d v="2024-01-07T00:00:00"/>
    <d v="2024-01-09T00:00:00"/>
    <n v="8390060098"/>
    <n v="7350544384"/>
    <n v="2"/>
    <n v="1"/>
    <n v="2"/>
    <n v="2"/>
    <n v="2"/>
    <n v="2"/>
    <n v="2"/>
    <n v="2"/>
    <n v="2"/>
    <n v="2"/>
    <n v="2"/>
    <s v="PAst H/o Hansen's disease"/>
    <n v="13.2"/>
    <n v="39.299999999999997"/>
    <n v="82.9"/>
    <n v="48.66"/>
    <m/>
    <n v="145"/>
    <n v="94.6"/>
    <n v="43"/>
    <n v="37"/>
    <n v="7.4"/>
    <n v="148"/>
    <m/>
    <m/>
    <m/>
    <s v="Right corona radiata infract"/>
    <m/>
    <m/>
    <m/>
    <n v="9"/>
    <n v="3"/>
    <n v="1"/>
    <n v="3"/>
    <n v="5"/>
    <m/>
    <n v="1"/>
    <n v="1"/>
    <n v="2"/>
    <m/>
    <m/>
    <n v="2"/>
    <n v="2"/>
    <n v="0"/>
    <n v="100"/>
    <n v="1"/>
    <n v="2"/>
    <n v="2"/>
    <n v="2"/>
    <n v="1"/>
    <n v="1"/>
    <n v="1"/>
    <n v="0"/>
    <n v="0"/>
    <n v="0"/>
    <n v="0"/>
    <n v="0"/>
    <n v="0"/>
    <n v="0"/>
    <x v="3"/>
    <n v="1"/>
    <n v="1"/>
    <n v="0"/>
  </r>
  <r>
    <s v="HB"/>
    <s v="Shankar S Kurale"/>
    <x v="42"/>
    <n v="1"/>
    <x v="33"/>
    <x v="42"/>
    <n v="75"/>
    <n v="1"/>
    <d v="2023-07-18T00:00:00"/>
    <d v="1899-12-30T16:00:00"/>
    <d v="2023-07-18T00:00:00"/>
    <d v="2023-07-25T00:00:00"/>
    <n v="8421492004"/>
    <m/>
    <m/>
    <n v="2"/>
    <n v="2"/>
    <n v="2"/>
    <n v="2"/>
    <n v="2"/>
    <n v="2"/>
    <n v="2"/>
    <n v="2"/>
    <n v="2"/>
    <n v="2"/>
    <m/>
    <n v="13"/>
    <n v="39.6"/>
    <n v="89.2"/>
    <n v="16"/>
    <n v="5.7"/>
    <m/>
    <m/>
    <m/>
    <m/>
    <m/>
    <n v="401"/>
    <m/>
    <m/>
    <m/>
    <s v="Acute non-hemorrhagic infract in the posterior limb of rt internal  capsule subacute on chronic subdural hemorrage along leftfronto- perietor temporal convenxity with mass effect and midline shift  "/>
    <m/>
    <s v="Focal stenosis involving proximal rt ICA 13mm distal to carotid bulb causing 70-80% luminal compromise. Irregular stenosis  Lt ICA distal to carotid bulb causing 50-60% stenosis"/>
    <m/>
    <m/>
    <m/>
    <m/>
    <m/>
    <m/>
    <m/>
    <n v="1"/>
    <n v="2"/>
    <n v="2"/>
    <m/>
    <m/>
    <m/>
    <m/>
    <n v="1"/>
    <n v="100"/>
    <n v="1"/>
    <n v="2"/>
    <n v="2"/>
    <n v="2"/>
    <n v="1"/>
    <n v="1"/>
    <n v="1"/>
    <n v="0"/>
    <n v="0"/>
    <n v="0"/>
    <n v="0"/>
    <n v="0"/>
    <n v="0"/>
    <n v="0"/>
    <x v="3"/>
    <n v="1"/>
    <n v="1"/>
    <s v="Lt CCA plaque"/>
  </r>
  <r>
    <s v="KF"/>
    <s v="Subhas G. Devrukhkar"/>
    <x v="43"/>
    <n v="0"/>
    <x v="34"/>
    <x v="43"/>
    <n v="45"/>
    <n v="1"/>
    <d v="2023-12-29T00:00:00"/>
    <d v="1899-12-30T09:30:00"/>
    <d v="2023-12-29T00:00:00"/>
    <m/>
    <n v="9950627520"/>
    <n v="9545324206"/>
    <n v="1"/>
    <n v="2"/>
    <n v="1"/>
    <n v="2"/>
    <n v="2"/>
    <n v="2"/>
    <n v="2"/>
    <n v="2"/>
    <n v="2"/>
    <n v="2"/>
    <n v="2"/>
    <m/>
    <n v="14.6"/>
    <n v="43.8"/>
    <n v="80.5"/>
    <n v="13.4"/>
    <n v="10.9"/>
    <n v="246"/>
    <n v="174.4"/>
    <n v="38"/>
    <n v="168"/>
    <n v="33.6"/>
    <m/>
    <m/>
    <m/>
    <m/>
    <s v="Acute NHI in Lt thalamus and posterior limb of Lt internal capsule "/>
    <m/>
    <s v="Hypodense area with lobe grey white matter in thamlalmus capsule region soft plaque noted in Lt ICA approx 60-70% narrowing calcified athero sclerotic plaque noted in Lt ICA cavernous segment of rt ICA narrowing is noted at the origin of Lt subehavior artery with approximately to 80% luminal narrowing"/>
    <m/>
    <n v="10"/>
    <n v="3"/>
    <n v="1"/>
    <n v="3"/>
    <n v="5"/>
    <m/>
    <n v="1"/>
    <n v="1"/>
    <n v="2"/>
    <m/>
    <m/>
    <m/>
    <m/>
    <n v="0"/>
    <n v="100"/>
    <n v="0"/>
    <n v="0"/>
    <n v="0"/>
    <n v="0"/>
    <n v="0"/>
    <n v="0"/>
    <n v="0"/>
    <n v="1"/>
    <n v="2"/>
    <n v="2"/>
    <n v="2"/>
    <n v="1"/>
    <n v="1"/>
    <n v="1"/>
    <x v="3"/>
    <n v="1"/>
    <n v="1"/>
    <n v="0"/>
  </r>
  <r>
    <s v="FH"/>
    <s v="Ramesh Rao "/>
    <x v="44"/>
    <n v="0"/>
    <x v="35"/>
    <x v="44"/>
    <n v="77"/>
    <n v="1"/>
    <d v="2024-07-30T00:00:00"/>
    <d v="1899-12-30T09:00:00"/>
    <d v="2024-07-30T00:00:00"/>
    <d v="2024-08-01T00:00:00"/>
    <n v="9860170340"/>
    <m/>
    <n v="2"/>
    <n v="2"/>
    <n v="1"/>
    <n v="2"/>
    <n v="2"/>
    <n v="2"/>
    <n v="2"/>
    <n v="2"/>
    <n v="1"/>
    <n v="2"/>
    <n v="2"/>
    <s v="Dementia"/>
    <n v="13.3"/>
    <n v="40.200000000000003"/>
    <n v="90.1"/>
    <n v="21.14"/>
    <n v="6.3"/>
    <n v="107"/>
    <n v="50.6"/>
    <n v="41"/>
    <n v="77"/>
    <n v="15.4"/>
    <n v="425"/>
    <m/>
    <m/>
    <m/>
    <s v="Left MCA-PCA watershed infract and left internal watershed infract"/>
    <m/>
    <s v="B/L supraclinoid plaque; not causing obstruation"/>
    <m/>
    <n v="9"/>
    <n v="3"/>
    <n v="1"/>
    <n v="3"/>
    <n v="5"/>
    <m/>
    <n v="1"/>
    <n v="1"/>
    <n v="2"/>
    <m/>
    <m/>
    <n v="2"/>
    <n v="2"/>
    <n v="1"/>
    <n v="80"/>
    <n v="0"/>
    <n v="0"/>
    <n v="0"/>
    <n v="0"/>
    <n v="0"/>
    <n v="0"/>
    <n v="0"/>
    <n v="0"/>
    <n v="2"/>
    <n v="2"/>
    <n v="2"/>
    <n v="1"/>
    <n v="1"/>
    <n v="1"/>
    <x v="2"/>
    <n v="0"/>
    <n v="0"/>
    <s v="Bilateral CCA plaque"/>
  </r>
  <r>
    <s v="HC"/>
    <s v="Yogesh Dhage "/>
    <x v="45"/>
    <n v="1"/>
    <x v="36"/>
    <x v="45"/>
    <n v="38"/>
    <n v="1"/>
    <m/>
    <m/>
    <d v="2022-08-16T00:00:00"/>
    <d v="2022-08-18T00:00:00"/>
    <n v="8022554869"/>
    <m/>
    <n v="3"/>
    <n v="1"/>
    <n v="2"/>
    <n v="2"/>
    <n v="2"/>
    <n v="2"/>
    <n v="2"/>
    <n v="2"/>
    <n v="2"/>
    <n v="2"/>
    <n v="2"/>
    <m/>
    <n v="15.1"/>
    <m/>
    <n v="82.6"/>
    <n v="18.440000000000001"/>
    <n v="5.9"/>
    <n v="168"/>
    <n v="111.2"/>
    <n v="33"/>
    <n v="114"/>
    <n v="23.8"/>
    <n v="163"/>
    <m/>
    <m/>
    <m/>
    <s v="Left corona radiata infract"/>
    <m/>
    <s v="Chr. infract B12 CN, LN, Rt CR and left thallamus"/>
    <m/>
    <n v="9"/>
    <n v="3"/>
    <n v="1"/>
    <n v="3"/>
    <n v="5"/>
    <m/>
    <n v="1"/>
    <n v="1"/>
    <n v="2"/>
    <m/>
    <n v="4"/>
    <n v="2"/>
    <n v="2"/>
    <n v="3"/>
    <n v="65"/>
    <n v="0"/>
    <n v="0"/>
    <n v="0"/>
    <n v="0"/>
    <n v="0"/>
    <n v="0"/>
    <n v="0"/>
    <n v="1"/>
    <n v="2"/>
    <n v="2"/>
    <n v="2"/>
    <n v="1"/>
    <n v="1"/>
    <n v="1"/>
    <x v="3"/>
    <n v="1"/>
    <n v="0"/>
    <n v="0"/>
  </r>
  <r>
    <s v="HD"/>
    <s v="Smita Dhepe"/>
    <x v="46"/>
    <n v="1"/>
    <x v="37"/>
    <x v="46"/>
    <n v="47"/>
    <n v="2"/>
    <d v="2023-10-17T00:00:00"/>
    <d v="1899-12-30T11:00:00"/>
    <d v="2023-10-17T00:00:00"/>
    <d v="2023-10-17T00:00:00"/>
    <n v="9175019937"/>
    <n v="9175702520"/>
    <n v="5"/>
    <n v="1"/>
    <n v="2"/>
    <n v="2"/>
    <n v="2"/>
    <n v="2"/>
    <n v="2"/>
    <n v="2"/>
    <n v="2"/>
    <n v="2"/>
    <n v="2"/>
    <m/>
    <n v="14.6"/>
    <n v="46.2"/>
    <n v="83.9"/>
    <n v="15.88"/>
    <n v="6"/>
    <n v="246"/>
    <n v="141.4"/>
    <n v="48"/>
    <n v="283"/>
    <n v="56.6"/>
    <n v="179"/>
    <m/>
    <m/>
    <m/>
    <s v="Acute NHI in left periventricular region and posterior limb of left internal capsule"/>
    <m/>
    <s v="Normal"/>
    <m/>
    <n v="10"/>
    <n v="5"/>
    <n v="1"/>
    <n v="3"/>
    <n v="5"/>
    <m/>
    <n v="1"/>
    <n v="1"/>
    <n v="2"/>
    <m/>
    <m/>
    <m/>
    <m/>
    <n v="2"/>
    <n v="95"/>
    <n v="0"/>
    <n v="0"/>
    <n v="0"/>
    <n v="0"/>
    <n v="0"/>
    <n v="0"/>
    <n v="0"/>
    <n v="1"/>
    <n v="2"/>
    <n v="2"/>
    <n v="2"/>
    <n v="1"/>
    <n v="1"/>
    <n v="1"/>
    <x v="3"/>
    <n v="1"/>
    <n v="1"/>
    <n v="0"/>
  </r>
  <r>
    <s v="EI"/>
    <s v="Geeta Ajgoakar"/>
    <x v="47"/>
    <n v="1"/>
    <x v="38"/>
    <x v="47"/>
    <n v="46"/>
    <n v="2"/>
    <m/>
    <m/>
    <d v="2023-04-16T00:00:00"/>
    <m/>
    <n v="9028922641"/>
    <m/>
    <n v="4"/>
    <n v="1"/>
    <n v="1"/>
    <n v="2"/>
    <n v="2"/>
    <n v="2"/>
    <n v="2"/>
    <n v="2"/>
    <n v="2"/>
    <n v="2"/>
    <n v="2"/>
    <m/>
    <n v="13.9"/>
    <n v="41.6"/>
    <n v="86.6"/>
    <n v="7.47"/>
    <n v="13.4"/>
    <n v="296"/>
    <n v="193.6"/>
    <n v="47"/>
    <n v="277"/>
    <m/>
    <n v="282"/>
    <m/>
    <m/>
    <m/>
    <s v="Left periventricular region infarct"/>
    <m/>
    <s v=" B/L carotid bulb atheroscerotic plaque"/>
    <m/>
    <n v="9"/>
    <n v="3"/>
    <n v="1"/>
    <n v="3"/>
    <n v="5"/>
    <m/>
    <n v="1"/>
    <n v="2"/>
    <n v="1"/>
    <n v="1"/>
    <m/>
    <n v="2"/>
    <n v="2"/>
    <n v="1"/>
    <n v="100"/>
    <n v="0"/>
    <n v="0"/>
    <n v="0"/>
    <n v="0"/>
    <n v="0"/>
    <n v="0"/>
    <n v="0"/>
    <n v="0"/>
    <n v="2"/>
    <n v="2"/>
    <n v="2"/>
    <n v="1"/>
    <n v="1"/>
    <n v="1"/>
    <x v="2"/>
    <n v="1"/>
    <n v="0"/>
    <n v="0"/>
  </r>
  <r>
    <s v="BW"/>
    <s v="kalburgi siddharam"/>
    <x v="48"/>
    <n v="0"/>
    <x v="39"/>
    <x v="48"/>
    <n v="69"/>
    <n v="1"/>
    <d v="2024-11-14T00:00:00"/>
    <d v="1899-12-30T14:30:00"/>
    <d v="2024-11-16T00:00:00"/>
    <m/>
    <m/>
    <m/>
    <n v="3"/>
    <n v="1"/>
    <n v="2"/>
    <n v="2"/>
    <n v="2"/>
    <n v="2"/>
    <n v="2"/>
    <n v="2"/>
    <n v="2"/>
    <n v="2"/>
    <n v="2"/>
    <m/>
    <m/>
    <m/>
    <m/>
    <m/>
    <m/>
    <m/>
    <m/>
    <m/>
    <m/>
    <m/>
    <m/>
    <m/>
    <m/>
    <m/>
    <s v="Left corona radiata and putamen infarct"/>
    <m/>
    <s v="Normal"/>
    <m/>
    <n v="9"/>
    <n v="3"/>
    <n v="1"/>
    <n v="3"/>
    <n v="4"/>
    <m/>
    <n v="1"/>
    <n v="1"/>
    <n v="2"/>
    <m/>
    <n v="4"/>
    <n v="2"/>
    <n v="2"/>
    <n v="0"/>
    <n v="100"/>
    <n v="0"/>
    <n v="0"/>
    <n v="0"/>
    <n v="0"/>
    <n v="0"/>
    <n v="0"/>
    <n v="0"/>
    <n v="0"/>
    <n v="1"/>
    <n v="2"/>
    <n v="2"/>
    <n v="1"/>
    <n v="1"/>
    <n v="1"/>
    <x v="1"/>
    <n v="1"/>
    <n v="1"/>
    <n v="1"/>
  </r>
  <r>
    <s v="KG"/>
    <s v="Aruna Jadhav"/>
    <x v="49"/>
    <n v="0"/>
    <x v="40"/>
    <x v="49"/>
    <n v="55"/>
    <n v="2"/>
    <d v="2024-01-15T00:00:00"/>
    <d v="1899-12-30T19:00:00"/>
    <d v="2024-01-15T00:00:00"/>
    <m/>
    <n v="7758841270"/>
    <m/>
    <n v="4"/>
    <n v="2"/>
    <n v="1"/>
    <n v="2"/>
    <n v="2"/>
    <n v="2"/>
    <n v="2"/>
    <n v="2"/>
    <n v="2"/>
    <n v="2"/>
    <n v="2"/>
    <m/>
    <m/>
    <m/>
    <m/>
    <m/>
    <m/>
    <m/>
    <m/>
    <m/>
    <m/>
    <m/>
    <m/>
    <m/>
    <m/>
    <m/>
    <s v="Right putamen and corona radiata infract"/>
    <m/>
    <s v="Right M1 stenosis (minimal) Left communicating interval carotid artery stenosis"/>
    <m/>
    <n v="9"/>
    <m/>
    <m/>
    <m/>
    <m/>
    <m/>
    <n v="1"/>
    <n v="1"/>
    <n v="2"/>
    <m/>
    <m/>
    <n v="2"/>
    <n v="2"/>
    <m/>
    <m/>
    <n v="0"/>
    <n v="0"/>
    <n v="0"/>
    <n v="0"/>
    <n v="0"/>
    <n v="0"/>
    <n v="0"/>
    <n v="0"/>
    <n v="0"/>
    <n v="0"/>
    <n v="0"/>
    <n v="0"/>
    <n v="0"/>
    <n v="0"/>
    <x v="4"/>
    <n v="0"/>
    <n v="0"/>
    <n v="0"/>
  </r>
  <r>
    <s v="CQ"/>
    <s v="Eknath Bhavekar"/>
    <x v="50"/>
    <n v="1"/>
    <x v="41"/>
    <x v="50"/>
    <n v="72"/>
    <n v="1"/>
    <d v="2023-12-06T00:00:00"/>
    <d v="1899-12-30T08:30:00"/>
    <d v="2023-12-06T00:00:00"/>
    <d v="2023-12-07T00:00:00"/>
    <n v="9325344148"/>
    <m/>
    <n v="10"/>
    <n v="2"/>
    <n v="2"/>
    <n v="2"/>
    <n v="2"/>
    <n v="2"/>
    <n v="2"/>
    <n v="2"/>
    <n v="2"/>
    <n v="2"/>
    <n v="2"/>
    <m/>
    <n v="12.1"/>
    <n v="43.2"/>
    <n v="98.6"/>
    <n v="77.569999999999993"/>
    <n v="5.3"/>
    <n v="166"/>
    <n v="123.4"/>
    <n v="25"/>
    <n v="88"/>
    <n v="17.600000000000001"/>
    <n v="2000"/>
    <m/>
    <m/>
    <m/>
    <s v="A/c infract let posterior limb of internal capsule"/>
    <m/>
    <s v="Wide small saccular anevrysm is the cavernous segement of Rt ICA. No obvious extravasation of contrast is seen. Hypoplastic right verlebral artery colinving as the anterior inferior cerebeller artery"/>
    <m/>
    <n v="10"/>
    <n v="3"/>
    <n v="1"/>
    <n v="3"/>
    <n v="5"/>
    <m/>
    <n v="1"/>
    <n v="1"/>
    <n v="2"/>
    <m/>
    <n v="4"/>
    <n v="2"/>
    <n v="2"/>
    <n v="2"/>
    <n v="80"/>
    <n v="0"/>
    <n v="0"/>
    <n v="0"/>
    <n v="0"/>
    <n v="0"/>
    <n v="0"/>
    <n v="0"/>
    <n v="0"/>
    <n v="1"/>
    <n v="2"/>
    <n v="2"/>
    <n v="1"/>
    <n v="1"/>
    <n v="1"/>
    <x v="1"/>
    <n v="0"/>
    <n v="0"/>
    <n v="0"/>
  </r>
  <r>
    <s v="KH"/>
    <s v="Suman Gaikwad"/>
    <x v="51"/>
    <n v="0"/>
    <x v="42"/>
    <x v="51"/>
    <n v="75"/>
    <n v="2"/>
    <d v="2023-12-03T00:00:00"/>
    <d v="1899-12-30T08:15:00"/>
    <d v="2023-12-03T00:00:00"/>
    <d v="2023-12-06T00:00:00"/>
    <n v="7385959592"/>
    <n v="8788734244"/>
    <n v="11"/>
    <n v="1"/>
    <n v="2"/>
    <n v="2"/>
    <n v="2"/>
    <n v="2"/>
    <n v="2"/>
    <n v="2"/>
    <n v="2"/>
    <n v="2"/>
    <n v="2"/>
    <m/>
    <n v="13.1"/>
    <n v="40.700000000000003"/>
    <m/>
    <n v="18.91"/>
    <n v="6.6"/>
    <m/>
    <m/>
    <m/>
    <m/>
    <m/>
    <n v="210"/>
    <m/>
    <m/>
    <m/>
    <s v="Right &gt;left corona radiata  infracts"/>
    <m/>
    <s v="Chronic lacunar infract in left- cerebellar hemisphere. Calcified atherosclerotic changes is arch of arota, bilateral CCA just proximal to the bifurcation and in the supra-clinoid segment of bilateral ICA not causing significant- luminal compromise"/>
    <m/>
    <n v="10"/>
    <n v="3"/>
    <n v="1"/>
    <n v="3"/>
    <n v="5"/>
    <m/>
    <n v="1"/>
    <n v="2"/>
    <n v="1"/>
    <n v="1"/>
    <n v="3"/>
    <m/>
    <m/>
    <n v="4"/>
    <n v="50"/>
    <n v="0"/>
    <n v="0"/>
    <n v="0"/>
    <n v="0"/>
    <n v="0"/>
    <n v="0"/>
    <n v="0"/>
    <n v="0"/>
    <n v="0"/>
    <n v="0"/>
    <n v="0"/>
    <n v="0"/>
    <n v="0"/>
    <n v="0"/>
    <x v="4"/>
    <n v="0"/>
    <n v="0"/>
    <n v="0"/>
  </r>
  <r>
    <s v="KH"/>
    <s v="Suman Gaikwad"/>
    <x v="51"/>
    <n v="0"/>
    <x v="42"/>
    <x v="51"/>
    <n v="75"/>
    <n v="2"/>
    <d v="2023-12-03T00:00:00"/>
    <d v="1899-12-30T08:15:00"/>
    <d v="2023-12-03T00:00:00"/>
    <d v="2023-12-06T00:00:00"/>
    <n v="7385959592"/>
    <n v="8788734244"/>
    <n v="11"/>
    <n v="1"/>
    <n v="2"/>
    <n v="2"/>
    <n v="2"/>
    <n v="2"/>
    <n v="2"/>
    <n v="2"/>
    <n v="2"/>
    <n v="2"/>
    <n v="2"/>
    <m/>
    <n v="13.1"/>
    <n v="40.700000000000003"/>
    <m/>
    <n v="18.91"/>
    <n v="6.6"/>
    <m/>
    <m/>
    <m/>
    <m/>
    <m/>
    <n v="210"/>
    <m/>
    <m/>
    <m/>
    <s v="Right &gt;left corona radiata  infracts"/>
    <m/>
    <s v="Chronic lacunar infract in left- cerebellar hemisphere. Calcified atherosclerotic changes is arch of arota, bilateral CCA just proximal to the bifurcation and in the supra-clinoid segment of bilateral ICA not causing significant- luminal compromise"/>
    <m/>
    <n v="10"/>
    <n v="3"/>
    <n v="1"/>
    <n v="3"/>
    <n v="5"/>
    <m/>
    <n v="1"/>
    <n v="2"/>
    <n v="1"/>
    <n v="1"/>
    <n v="3"/>
    <m/>
    <m/>
    <n v="4"/>
    <n v="50"/>
    <n v="0"/>
    <n v="0"/>
    <n v="0"/>
    <n v="0"/>
    <n v="0"/>
    <n v="0"/>
    <n v="0"/>
    <n v="0"/>
    <n v="0"/>
    <n v="0"/>
    <n v="0"/>
    <n v="0"/>
    <n v="0"/>
    <n v="0"/>
    <x v="4"/>
    <n v="0"/>
    <n v="0"/>
    <n v="0"/>
  </r>
  <r>
    <s v="FT"/>
    <s v="Pratibha C Gund"/>
    <x v="52"/>
    <n v="0"/>
    <x v="43"/>
    <x v="52"/>
    <n v="63"/>
    <n v="2"/>
    <d v="2023-10-09T00:00:00"/>
    <d v="1899-12-30T16:30:00"/>
    <d v="2023-10-10T00:00:00"/>
    <d v="2023-10-11T00:00:00"/>
    <n v="7083569288"/>
    <n v="8483834992"/>
    <n v="5"/>
    <n v="1"/>
    <n v="2"/>
    <n v="2"/>
    <n v="2"/>
    <n v="2"/>
    <n v="2"/>
    <n v="2"/>
    <n v="2"/>
    <n v="2"/>
    <n v="2"/>
    <m/>
    <n v="12.2"/>
    <n v="38.5"/>
    <n v="91.3"/>
    <n v="12.37"/>
    <n v="6.1"/>
    <n v="221"/>
    <n v="115.4"/>
    <n v="41"/>
    <n v="273"/>
    <n v="54.6"/>
    <n v="148"/>
    <m/>
    <m/>
    <m/>
    <s v="Right corona radiata infract acute NHI in right thalamus"/>
    <m/>
    <s v="Normal "/>
    <m/>
    <m/>
    <m/>
    <m/>
    <m/>
    <m/>
    <m/>
    <n v="1"/>
    <n v="1"/>
    <n v="2"/>
    <m/>
    <m/>
    <m/>
    <m/>
    <m/>
    <m/>
    <n v="1"/>
    <n v="2"/>
    <n v="2"/>
    <n v="2"/>
    <n v="1"/>
    <n v="1"/>
    <n v="1"/>
    <n v="0"/>
    <n v="0"/>
    <n v="0"/>
    <n v="0"/>
    <n v="0"/>
    <n v="0"/>
    <n v="0"/>
    <x v="3"/>
    <n v="1"/>
    <n v="1"/>
    <n v="1"/>
  </r>
  <r>
    <s v="KJ"/>
    <s v="Omkar Navgive"/>
    <x v="53"/>
    <n v="0"/>
    <x v="44"/>
    <x v="53"/>
    <n v="21"/>
    <n v="1"/>
    <d v="2024-05-01T00:00:00"/>
    <d v="1899-12-30T17:30:00"/>
    <m/>
    <m/>
    <n v="9765666465"/>
    <m/>
    <n v="4"/>
    <n v="2"/>
    <n v="2"/>
    <n v="2"/>
    <n v="1"/>
    <n v="2"/>
    <n v="2"/>
    <n v="2"/>
    <n v="2"/>
    <n v="2"/>
    <n v="2"/>
    <m/>
    <m/>
    <m/>
    <m/>
    <m/>
    <m/>
    <m/>
    <m/>
    <m/>
    <m/>
    <m/>
    <m/>
    <m/>
    <m/>
    <m/>
    <s v="Left corona radiata; left middle frontal gyris and left prefrontal cortex infract "/>
    <m/>
    <s v="Left ICA origin floating thrombus + plaque causing &lt; 50% stenosis"/>
    <m/>
    <n v="9"/>
    <n v="3"/>
    <n v="1"/>
    <n v="3"/>
    <n v="5"/>
    <m/>
    <n v="1"/>
    <n v="1"/>
    <n v="2"/>
    <m/>
    <n v="4"/>
    <n v="2"/>
    <n v="2"/>
    <n v="0"/>
    <n v="100"/>
    <n v="0"/>
    <n v="0"/>
    <n v="0"/>
    <n v="0"/>
    <n v="0"/>
    <n v="0"/>
    <n v="0"/>
    <n v="1"/>
    <n v="2"/>
    <n v="2"/>
    <n v="2"/>
    <n v="1"/>
    <n v="1"/>
    <n v="1"/>
    <x v="3"/>
    <n v="0"/>
    <n v="1"/>
    <n v="0"/>
  </r>
  <r>
    <s v="IG"/>
    <s v="Sambhaji Shinde"/>
    <x v="54"/>
    <n v="0"/>
    <x v="45"/>
    <x v="54"/>
    <n v="63"/>
    <n v="1"/>
    <d v="2024-05-23T00:00:00"/>
    <d v="1899-12-30T06:00:00"/>
    <d v="2024-05-23T00:00:00"/>
    <d v="2024-05-25T00:00:00"/>
    <n v="9372820801"/>
    <m/>
    <n v="5"/>
    <n v="2"/>
    <n v="2"/>
    <n v="1"/>
    <n v="1"/>
    <n v="2"/>
    <n v="2"/>
    <n v="2"/>
    <n v="2"/>
    <n v="2"/>
    <n v="2"/>
    <m/>
    <n v="13.3"/>
    <n v="41.6"/>
    <n v="88.7"/>
    <n v="81.180000000000007"/>
    <n v="5.8"/>
    <n v="174"/>
    <n v="111.6"/>
    <n v="33"/>
    <n v="147"/>
    <n v="29.4"/>
    <n v="148"/>
    <m/>
    <m/>
    <m/>
    <s v="Acute NHI in Lt centrum semiovale and corona radiata age related cerebral atrophy wiht chronic small vessel ischemic changes"/>
    <m/>
    <s v="partially occluding thrombus formation in left subclavian artery and CCA. A calcifies atherosclerotic plaque in the Lt ICA non- distal to bifurcation from Lt common carotid artery not causing significant luminal compromise"/>
    <m/>
    <n v="9"/>
    <n v="3"/>
    <n v="1"/>
    <n v="3"/>
    <n v="5"/>
    <m/>
    <n v="1"/>
    <n v="1"/>
    <n v="2"/>
    <m/>
    <m/>
    <n v="2"/>
    <n v="2"/>
    <n v="0"/>
    <n v="100"/>
    <n v="0"/>
    <n v="0"/>
    <n v="0"/>
    <n v="0"/>
    <n v="0"/>
    <n v="0"/>
    <n v="0"/>
    <n v="1"/>
    <n v="2"/>
    <n v="2"/>
    <n v="2"/>
    <n v="1"/>
    <n v="1"/>
    <n v="1"/>
    <x v="3"/>
    <n v="1"/>
    <n v="0"/>
    <s v="Left CCA plaque"/>
  </r>
  <r>
    <s v="DM"/>
    <s v="Bhikoba Khotape"/>
    <x v="55"/>
    <n v="1"/>
    <x v="46"/>
    <x v="55"/>
    <n v="77"/>
    <n v="1"/>
    <d v="2024-01-01T00:00:00"/>
    <d v="1899-12-30T12:00:00"/>
    <d v="2024-01-01T00:00:00"/>
    <d v="2024-01-03T00:00:00"/>
    <n v="9403662700"/>
    <m/>
    <m/>
    <n v="2"/>
    <n v="2"/>
    <n v="2"/>
    <n v="2"/>
    <n v="2"/>
    <n v="2"/>
    <n v="1"/>
    <n v="1"/>
    <n v="2"/>
    <n v="2"/>
    <m/>
    <n v="9.6"/>
    <n v="31.9"/>
    <n v="69.8"/>
    <n v="13.55"/>
    <n v="5.6"/>
    <n v="124"/>
    <n v="70.400000000000006"/>
    <n v="35"/>
    <n v="93"/>
    <n v="18.600000000000001"/>
    <n v="191"/>
    <m/>
    <s v="S. Iron-14, UIBC- 345, TIBC- 359, transferrin saturation-3.89%"/>
    <m/>
    <s v="S/O multiple infracts in Lt fronto temporal parieatal region likely embolic"/>
    <m/>
    <m/>
    <m/>
    <n v="9"/>
    <n v="3"/>
    <n v="1"/>
    <n v="3"/>
    <n v="5"/>
    <m/>
    <n v="1"/>
    <n v="1"/>
    <n v="2"/>
    <m/>
    <n v="3"/>
    <n v="2"/>
    <n v="2"/>
    <n v="0"/>
    <n v="75"/>
    <n v="0"/>
    <n v="0"/>
    <n v="0"/>
    <n v="0"/>
    <n v="0"/>
    <n v="0"/>
    <n v="0"/>
    <n v="1"/>
    <n v="1"/>
    <n v="2"/>
    <n v="2"/>
    <n v="1"/>
    <n v="1"/>
    <n v="1"/>
    <x v="2"/>
    <n v="0"/>
    <n v="0"/>
    <n v="0"/>
  </r>
  <r>
    <s v="DO"/>
    <s v="Sitabai Yewale"/>
    <x v="56"/>
    <n v="1"/>
    <x v="47"/>
    <x v="56"/>
    <n v="71"/>
    <n v="2"/>
    <d v="2023-08-29T00:00:00"/>
    <d v="1899-12-30T13:00:00"/>
    <d v="2023-08-30T00:00:00"/>
    <d v="2023-09-01T00:00:00"/>
    <n v="9922551013"/>
    <m/>
    <n v="9"/>
    <n v="2"/>
    <n v="2"/>
    <n v="2"/>
    <n v="1"/>
    <n v="2"/>
    <n v="2"/>
    <n v="2"/>
    <n v="2"/>
    <n v="2"/>
    <n v="1"/>
    <s v="COPD Iron deficiency"/>
    <n v="10.5"/>
    <n v="32.6"/>
    <n v="88.2"/>
    <n v="7.17"/>
    <n v="5.6"/>
    <n v="182"/>
    <n v="113.4"/>
    <n v="58"/>
    <n v="53"/>
    <n v="10.6"/>
    <n v="2000"/>
    <m/>
    <s v="S Ferritin- 162, S Iron- 22, TIBC- 208, UIBC-186, Transferrin saturation- 10.5%"/>
    <m/>
    <s v="Acute NHI in left frontal lobe white matter"/>
    <m/>
    <s v="Mild paucity of cortical branches of left MCA mild focal narrowing in the m2 segments of the left MCA focal narrowing at the origins of left ACA"/>
    <m/>
    <m/>
    <m/>
    <m/>
    <m/>
    <m/>
    <m/>
    <n v="1"/>
    <n v="1"/>
    <n v="2"/>
    <m/>
    <n v="4"/>
    <m/>
    <m/>
    <n v="3"/>
    <n v="75"/>
    <n v="0"/>
    <n v="0"/>
    <n v="0"/>
    <n v="0"/>
    <n v="0"/>
    <n v="0"/>
    <n v="0"/>
    <n v="1"/>
    <n v="1"/>
    <n v="2"/>
    <n v="2"/>
    <n v="1"/>
    <n v="1"/>
    <n v="1"/>
    <x v="2"/>
    <n v="1"/>
    <n v="1"/>
    <n v="0"/>
  </r>
  <r>
    <s v="KK"/>
    <s v="Parvati Salunkhe "/>
    <x v="57"/>
    <n v="0"/>
    <x v="48"/>
    <x v="57"/>
    <n v="48"/>
    <n v="2"/>
    <d v="2024-05-30T00:00:00"/>
    <d v="1899-12-30T02:00:00"/>
    <d v="2024-05-30T00:00:00"/>
    <d v="2024-06-07T00:00:00"/>
    <n v="7088751810"/>
    <m/>
    <n v="7"/>
    <n v="2"/>
    <n v="2"/>
    <n v="2"/>
    <n v="1"/>
    <n v="2"/>
    <n v="2"/>
    <n v="2"/>
    <n v="2"/>
    <n v="2"/>
    <n v="2"/>
    <m/>
    <n v="11.3"/>
    <n v="33.200000000000003"/>
    <n v="87.9"/>
    <m/>
    <m/>
    <m/>
    <m/>
    <m/>
    <m/>
    <m/>
    <m/>
    <m/>
    <m/>
    <m/>
    <s v="Left long insular artery infract left external capsule  infract"/>
    <m/>
    <s v="Normal. Rt vetebral artery hypoplastic/ thromnosed"/>
    <m/>
    <n v="9"/>
    <n v="5"/>
    <n v="1"/>
    <n v="3"/>
    <n v="5"/>
    <m/>
    <n v="1"/>
    <n v="1"/>
    <n v="2"/>
    <m/>
    <m/>
    <n v="2"/>
    <n v="2"/>
    <n v="0"/>
    <n v="100"/>
    <m/>
    <m/>
    <m/>
    <m/>
    <m/>
    <m/>
    <m/>
    <n v="1"/>
    <n v="1"/>
    <n v="2"/>
    <n v="2"/>
    <n v="1"/>
    <n v="1"/>
    <n v="1"/>
    <x v="2"/>
    <n v="1"/>
    <n v="1"/>
    <n v="1"/>
  </r>
  <r>
    <s v="HF"/>
    <s v="Vikram Nalkare"/>
    <x v="58"/>
    <n v="1"/>
    <x v="49"/>
    <x v="58"/>
    <n v="40"/>
    <n v="1"/>
    <d v="2024-02-04T00:00:00"/>
    <d v="1899-12-30T18:00:00"/>
    <d v="2024-02-05T00:00:00"/>
    <m/>
    <n v="8007484789"/>
    <m/>
    <n v="3"/>
    <n v="2"/>
    <n v="2"/>
    <n v="2"/>
    <n v="2"/>
    <n v="2"/>
    <n v="2"/>
    <n v="2"/>
    <n v="2"/>
    <n v="2"/>
    <n v="2"/>
    <m/>
    <n v="17.100000000000001"/>
    <n v="50.5"/>
    <n v="79.2"/>
    <n v="30.87"/>
    <n v="6.7"/>
    <m/>
    <m/>
    <m/>
    <m/>
    <m/>
    <n v="225"/>
    <n v="153"/>
    <m/>
    <m/>
    <s v="Acute infract posterior aspect of left lentiform nucleus, posterior limb of internal capsule and corona radiata"/>
    <m/>
    <s v="Left ICA origin plaque causing N 50% stenosis"/>
    <m/>
    <n v="8"/>
    <n v="3"/>
    <n v="1"/>
    <n v="3"/>
    <n v="5"/>
    <m/>
    <n v="1"/>
    <n v="1"/>
    <n v="2"/>
    <m/>
    <m/>
    <n v="2"/>
    <n v="2"/>
    <n v="0"/>
    <n v="100"/>
    <n v="0"/>
    <n v="0"/>
    <n v="0"/>
    <n v="0"/>
    <n v="0"/>
    <n v="0"/>
    <n v="0"/>
    <n v="1"/>
    <n v="2"/>
    <n v="2"/>
    <n v="2"/>
    <n v="1"/>
    <n v="1"/>
    <n v="1"/>
    <x v="3"/>
    <n v="1"/>
    <n v="1"/>
    <n v="0"/>
  </r>
  <r>
    <m/>
    <s v="Anusaya Dhaware"/>
    <x v="11"/>
    <e v="#N/A"/>
    <x v="50"/>
    <x v="59"/>
    <n v="85"/>
    <n v="2"/>
    <d v="2024-04-26T00:00:00"/>
    <d v="1899-12-30T23:30:00"/>
    <d v="2024-04-27T00:00:00"/>
    <m/>
    <n v="8329346142"/>
    <m/>
    <n v="9"/>
    <n v="1"/>
    <n v="2"/>
    <n v="2"/>
    <n v="2"/>
    <n v="2"/>
    <n v="2"/>
    <n v="2"/>
    <n v="2"/>
    <n v="2"/>
    <n v="2"/>
    <m/>
    <n v="8.5"/>
    <m/>
    <m/>
    <m/>
    <m/>
    <m/>
    <m/>
    <m/>
    <m/>
    <m/>
    <m/>
    <m/>
    <m/>
    <m/>
    <s v="B/L tiny internal watershed infracts S/o multiple embolic infract in Rt frontal region"/>
    <s v="Right&gt; Left"/>
    <m/>
    <m/>
    <m/>
    <m/>
    <m/>
    <m/>
    <m/>
    <m/>
    <n v="2"/>
    <n v="2"/>
    <n v="2"/>
    <n v="2"/>
    <m/>
    <n v="2"/>
    <n v="2"/>
    <m/>
    <m/>
    <e v="#N/A"/>
    <e v="#N/A"/>
    <e v="#N/A"/>
    <m/>
    <m/>
    <m/>
    <m/>
    <m/>
    <m/>
    <m/>
    <m/>
    <m/>
    <m/>
    <m/>
    <x v="4"/>
    <m/>
    <m/>
    <m/>
  </r>
  <r>
    <m/>
    <s v="Bhimaji Jagatap"/>
    <x v="11"/>
    <e v="#N/A"/>
    <x v="51"/>
    <x v="60"/>
    <n v="57"/>
    <n v="1"/>
    <s v="26-08-2024"/>
    <d v="1899-12-30T21:00:00"/>
    <s v="27-08-2024"/>
    <s v="28-08-2024"/>
    <n v="9145153999"/>
    <m/>
    <n v="4"/>
    <n v="1"/>
    <n v="1"/>
    <n v="1"/>
    <n v="1"/>
    <n v="2"/>
    <n v="2"/>
    <n v="2"/>
    <n v="2"/>
    <n v="2"/>
    <n v="2"/>
    <m/>
    <n v="13.4"/>
    <m/>
    <m/>
    <n v="13.2"/>
    <n v="8.3000000000000007"/>
    <m/>
    <m/>
    <m/>
    <m/>
    <m/>
    <n v="204"/>
    <m/>
    <m/>
    <m/>
    <s v="Acute rt corona radiata and rt centrum semiovale infract "/>
    <m/>
    <s v="B/L carvenous/ clinoid supraclinoid ICA mild- moderate narrowing "/>
    <m/>
    <n v="9"/>
    <n v="4"/>
    <n v="1"/>
    <n v="3"/>
    <n v="5"/>
    <m/>
    <n v="1"/>
    <n v="1"/>
    <n v="2"/>
    <m/>
    <m/>
    <n v="2"/>
    <n v="2"/>
    <n v="1"/>
    <n v="100"/>
    <n v="1"/>
    <n v="1"/>
    <n v="2"/>
    <n v="2"/>
    <n v="1"/>
    <n v="1"/>
    <n v="1"/>
    <m/>
    <m/>
    <m/>
    <m/>
    <m/>
    <m/>
    <m/>
    <x v="2"/>
    <n v="1"/>
    <n v="1"/>
    <n v="1"/>
  </r>
  <r>
    <s v="HG"/>
    <s v="Usha Dhende"/>
    <x v="59"/>
    <n v="1"/>
    <x v="52"/>
    <x v="61"/>
    <n v="50"/>
    <n v="2"/>
    <d v="2023-12-11T00:00:00"/>
    <d v="1899-12-30T14:00:00"/>
    <d v="2023-12-12T00:00:00"/>
    <d v="2023-12-12T00:00:00"/>
    <n v="9764791613"/>
    <n v="7385001613"/>
    <n v="4"/>
    <n v="2"/>
    <n v="1"/>
    <n v="2"/>
    <n v="1"/>
    <n v="2"/>
    <n v="2"/>
    <n v="2"/>
    <n v="2"/>
    <n v="2"/>
    <n v="2"/>
    <m/>
    <n v="10.5"/>
    <n v="33.9"/>
    <n v="75.900000000000006"/>
    <n v="14.8"/>
    <m/>
    <n v="293"/>
    <n v="207.4"/>
    <n v="73"/>
    <n v="63"/>
    <n v="12.6"/>
    <n v="194"/>
    <m/>
    <m/>
    <m/>
    <s v="Right corona Radiata infract"/>
    <m/>
    <m/>
    <m/>
    <n v="9"/>
    <n v="3"/>
    <n v="1"/>
    <n v="3"/>
    <n v="5"/>
    <m/>
    <n v="1"/>
    <n v="1"/>
    <n v="2"/>
    <m/>
    <n v="4"/>
    <m/>
    <n v="2"/>
    <n v="1"/>
    <n v="95"/>
    <n v="1"/>
    <n v="2"/>
    <n v="2"/>
    <n v="2"/>
    <n v="1"/>
    <n v="1"/>
    <n v="1"/>
    <n v="0"/>
    <n v="0"/>
    <n v="0"/>
    <n v="0"/>
    <n v="0"/>
    <n v="0"/>
    <n v="0"/>
    <x v="3"/>
    <n v="1"/>
    <n v="1"/>
    <n v="0"/>
  </r>
  <r>
    <s v="KN"/>
    <s v="Shivaji Chavan"/>
    <x v="60"/>
    <n v="0"/>
    <x v="52"/>
    <x v="62"/>
    <n v="46"/>
    <n v="1"/>
    <d v="2024-06-28T00:00:00"/>
    <d v="1899-12-30T12:00:00"/>
    <d v="2024-06-28T00:00:00"/>
    <d v="2024-07-01T00:00:00"/>
    <n v="9763443333"/>
    <m/>
    <n v="8"/>
    <n v="1"/>
    <n v="1"/>
    <n v="2"/>
    <n v="2"/>
    <n v="2"/>
    <n v="2"/>
    <n v="2"/>
    <n v="2"/>
    <n v="2"/>
    <n v="2"/>
    <m/>
    <n v="11.4"/>
    <n v="36.700000000000003"/>
    <n v="63.4"/>
    <n v="8.7100000000000009"/>
    <n v="10.4"/>
    <n v="86"/>
    <n v="35.4"/>
    <n v="24"/>
    <n v="133"/>
    <n v="26.6"/>
    <n v="519"/>
    <m/>
    <m/>
    <m/>
    <s v="Left corona radiata infract and posterior limb of internal capsule"/>
    <m/>
    <s v="Left M2 distal stenosis"/>
    <m/>
    <n v="10"/>
    <n v="3"/>
    <n v="1"/>
    <n v="2"/>
    <n v="5"/>
    <m/>
    <n v="1"/>
    <n v="1"/>
    <n v="2"/>
    <m/>
    <m/>
    <n v="2"/>
    <n v="2"/>
    <n v="1"/>
    <n v="100"/>
    <n v="0"/>
    <n v="0"/>
    <n v="0"/>
    <n v="0"/>
    <n v="0"/>
    <n v="0"/>
    <n v="0"/>
    <n v="1"/>
    <n v="2"/>
    <n v="2"/>
    <n v="2"/>
    <n v="1"/>
    <n v="1"/>
    <n v="1"/>
    <x v="3"/>
    <n v="1"/>
    <n v="1"/>
    <n v="1"/>
  </r>
  <r>
    <s v="FU"/>
    <s v="Govind Kapse"/>
    <x v="61"/>
    <n v="0"/>
    <x v="53"/>
    <x v="63"/>
    <n v="56"/>
    <n v="1"/>
    <d v="2023-03-04T00:00:00"/>
    <m/>
    <d v="2023-03-04T00:00:00"/>
    <d v="2023-03-08T00:00:00"/>
    <n v="9011496111"/>
    <m/>
    <n v="13"/>
    <n v="1"/>
    <n v="1"/>
    <n v="1"/>
    <n v="1"/>
    <n v="2"/>
    <n v="2"/>
    <n v="2"/>
    <n v="2"/>
    <n v="2"/>
    <n v="2"/>
    <m/>
    <n v="16.399999999999999"/>
    <n v="48.7"/>
    <n v="10.19"/>
    <n v="23.15"/>
    <n v="7.9"/>
    <m/>
    <m/>
    <m/>
    <m/>
    <m/>
    <n v="182"/>
    <m/>
    <m/>
    <m/>
    <s v="Acute indract right insular cortex"/>
    <m/>
    <s v=" Atherosclerotic calcification involving cavernous segments of both internal carotid arteries with mild focal narrowing of supra clinical segment of Right ICA, eccentric hypodense plaques involving B/L distal CCAs and origins of the internal carotid arteries causing mild luminal "/>
    <m/>
    <m/>
    <m/>
    <m/>
    <m/>
    <m/>
    <m/>
    <n v="1"/>
    <n v="1"/>
    <n v="1"/>
    <n v="1"/>
    <m/>
    <m/>
    <m/>
    <n v="2"/>
    <n v="85"/>
    <n v="1"/>
    <n v="2"/>
    <n v="2"/>
    <n v="2"/>
    <n v="1"/>
    <n v="1"/>
    <n v="1"/>
    <n v="0"/>
    <n v="0"/>
    <n v="0"/>
    <n v="0"/>
    <n v="0"/>
    <n v="0"/>
    <n v="0"/>
    <x v="3"/>
    <n v="1"/>
    <n v="1"/>
    <n v="1"/>
  </r>
  <r>
    <s v="FV"/>
    <s v="Shushma Gupta"/>
    <x v="62"/>
    <n v="0"/>
    <x v="54"/>
    <x v="64"/>
    <n v="63"/>
    <n v="2"/>
    <d v="2024-08-05T00:00:00"/>
    <d v="1899-12-30T21:00:00"/>
    <d v="2024-08-05T00:00:00"/>
    <d v="2024-08-09T00:00:00"/>
    <n v="8308312736"/>
    <m/>
    <n v="5"/>
    <n v="1"/>
    <n v="1"/>
    <n v="2"/>
    <n v="2"/>
    <n v="2"/>
    <n v="2"/>
    <n v="2"/>
    <n v="2"/>
    <n v="2"/>
    <n v="2"/>
    <m/>
    <n v="12.4"/>
    <n v="36.799999999999997"/>
    <n v="85.3"/>
    <n v="11.81"/>
    <n v="6.3"/>
    <n v="171"/>
    <n v="94"/>
    <n v="28"/>
    <n v="245"/>
    <n v="49"/>
    <m/>
    <m/>
    <m/>
    <m/>
    <s v="Left GC region infract hyper acute to acute NHI in Lt caudate nucleus and Lt corona radiata "/>
    <m/>
    <s v="Normal"/>
    <m/>
    <n v="9"/>
    <n v="3"/>
    <n v="1"/>
    <n v="3"/>
    <n v="5"/>
    <m/>
    <n v="1"/>
    <n v="2"/>
    <n v="1"/>
    <n v="2"/>
    <m/>
    <n v="2"/>
    <n v="2"/>
    <n v="1"/>
    <n v="65"/>
    <n v="0"/>
    <n v="0"/>
    <n v="0"/>
    <n v="0"/>
    <n v="0"/>
    <n v="0"/>
    <n v="0"/>
    <n v="1"/>
    <n v="2"/>
    <n v="2"/>
    <n v="2"/>
    <n v="1"/>
    <n v="1"/>
    <n v="1"/>
    <x v="3"/>
    <n v="1"/>
    <n v="1"/>
    <n v="0"/>
  </r>
  <r>
    <s v="KO"/>
    <s v="Sambhaji Wawale"/>
    <x v="63"/>
    <n v="0"/>
    <x v="55"/>
    <x v="65"/>
    <n v="48"/>
    <n v="1"/>
    <d v="2024-07-04T00:00:00"/>
    <d v="1899-12-30T11:30:00"/>
    <d v="2024-02-05T00:00:00"/>
    <d v="2024-07-06T00:00:00"/>
    <n v="7249567458"/>
    <n v="7709499969"/>
    <n v="6"/>
    <n v="1"/>
    <n v="2"/>
    <n v="2"/>
    <n v="2"/>
    <n v="2"/>
    <n v="2"/>
    <n v="2"/>
    <n v="2"/>
    <n v="2"/>
    <n v="2"/>
    <m/>
    <n v="13"/>
    <m/>
    <m/>
    <n v="17.5"/>
    <m/>
    <n v="198"/>
    <n v="142"/>
    <n v="34"/>
    <n v="107"/>
    <n v="21.4"/>
    <n v="320"/>
    <n v="158"/>
    <m/>
    <m/>
    <s v="A/c infract Rt corona radiata and posterior limb of internal capsule"/>
    <m/>
    <m/>
    <m/>
    <n v="10"/>
    <n v="5"/>
    <n v="1"/>
    <n v="3"/>
    <n v="5"/>
    <m/>
    <n v="1"/>
    <n v="1"/>
    <n v="2"/>
    <m/>
    <n v="4"/>
    <n v="2"/>
    <n v="2"/>
    <n v="0"/>
    <n v="100"/>
    <n v="1"/>
    <n v="2"/>
    <n v="2"/>
    <n v="2"/>
    <n v="1"/>
    <n v="1"/>
    <n v="1"/>
    <n v="0"/>
    <n v="0"/>
    <n v="0"/>
    <n v="0"/>
    <n v="0"/>
    <n v="0"/>
    <n v="0"/>
    <x v="3"/>
    <n v="1"/>
    <n v="1"/>
    <n v="0"/>
  </r>
  <r>
    <s v="FS"/>
    <s v="Mohan Kadam"/>
    <x v="64"/>
    <n v="1"/>
    <x v="56"/>
    <x v="66"/>
    <n v="62"/>
    <n v="1"/>
    <m/>
    <d v="1899-12-30T06:00:00"/>
    <d v="2023-11-13T00:00:00"/>
    <d v="2023-11-15T00:00:00"/>
    <n v="9158221010"/>
    <m/>
    <n v="2"/>
    <n v="2"/>
    <n v="1"/>
    <n v="2"/>
    <n v="2"/>
    <n v="2"/>
    <n v="2"/>
    <n v="2"/>
    <n v="2"/>
    <n v="2"/>
    <n v="2"/>
    <m/>
    <n v="13.4"/>
    <m/>
    <m/>
    <n v="13.8"/>
    <n v="7.5"/>
    <m/>
    <m/>
    <m/>
    <m/>
    <m/>
    <n v="148"/>
    <m/>
    <m/>
    <m/>
    <s v="Acute Rt fronto parrietal infract"/>
    <m/>
    <s v="Left CCA occlussion and extracranial ICA from its origin"/>
    <m/>
    <m/>
    <m/>
    <m/>
    <m/>
    <m/>
    <m/>
    <n v="1"/>
    <n v="1"/>
    <n v="2"/>
    <m/>
    <n v="4"/>
    <n v="2"/>
    <n v="2"/>
    <m/>
    <m/>
    <n v="1"/>
    <n v="2"/>
    <n v="2"/>
    <n v="2"/>
    <n v="1"/>
    <n v="1"/>
    <n v="1"/>
    <n v="0"/>
    <n v="0"/>
    <n v="0"/>
    <n v="0"/>
    <n v="0"/>
    <n v="0"/>
    <n v="0"/>
    <x v="3"/>
    <n v="1"/>
    <s v="Left CCA occluded from origin"/>
    <n v="0"/>
  </r>
  <r>
    <s v="KP"/>
    <s v="Shalini Salvi"/>
    <x v="65"/>
    <n v="0"/>
    <x v="57"/>
    <x v="67"/>
    <n v="71"/>
    <n v="2"/>
    <d v="2023-05-11T00:00:00"/>
    <m/>
    <d v="2023-05-12T00:00:00"/>
    <d v="2023-05-14T00:00:00"/>
    <n v="9970961657"/>
    <m/>
    <n v="6"/>
    <n v="1"/>
    <n v="2"/>
    <n v="2"/>
    <n v="2"/>
    <n v="2"/>
    <n v="2"/>
    <n v="2"/>
    <n v="2"/>
    <n v="2"/>
    <n v="2"/>
    <m/>
    <n v="12.4"/>
    <n v="36.6"/>
    <n v="10.08"/>
    <n v="21"/>
    <n v="8.5"/>
    <n v="206"/>
    <n v="138"/>
    <n v="46"/>
    <n v="110"/>
    <n v="22"/>
    <n v="148"/>
    <m/>
    <m/>
    <m/>
    <s v="NHI in Lt corona radiata, body of left caudate nucleus and left posterior putamen small vessel isechemic changes with age related atrophus. mild paucity of cortical branches of both MCA's M3 segment of left MCA study renely no athero significant abnormality "/>
    <m/>
    <m/>
    <m/>
    <m/>
    <m/>
    <m/>
    <m/>
    <m/>
    <m/>
    <n v="1"/>
    <n v="1"/>
    <n v="2"/>
    <m/>
    <m/>
    <n v="2"/>
    <n v="2"/>
    <n v="1"/>
    <n v="100"/>
    <n v="0"/>
    <n v="0"/>
    <n v="0"/>
    <n v="0"/>
    <n v="0"/>
    <n v="0"/>
    <n v="0"/>
    <n v="0"/>
    <n v="0"/>
    <n v="0"/>
    <n v="0"/>
    <n v="0"/>
    <n v="0"/>
    <n v="0"/>
    <x v="4"/>
    <n v="0"/>
    <n v="0"/>
    <n v="0"/>
  </r>
  <r>
    <s v="KQ"/>
    <s v="Rameshwar Kumawat"/>
    <x v="66"/>
    <n v="0"/>
    <x v="58"/>
    <x v="68"/>
    <n v="61"/>
    <n v="1"/>
    <d v="2024-05-31T00:00:00"/>
    <d v="1899-12-30T13:00:00"/>
    <d v="2024-05-31T00:00:00"/>
    <d v="2024-06-01T00:00:00"/>
    <n v="8446008244"/>
    <m/>
    <n v="3"/>
    <n v="1"/>
    <n v="2"/>
    <n v="1"/>
    <n v="2"/>
    <n v="2"/>
    <n v="2"/>
    <n v="2"/>
    <n v="2"/>
    <n v="2"/>
    <n v="2"/>
    <m/>
    <n v="14.3"/>
    <n v="42"/>
    <n v="95.8"/>
    <n v="42.56"/>
    <n v="5.9"/>
    <n v="152"/>
    <n v="95.6"/>
    <n v="35"/>
    <n v="107"/>
    <n v="21.4"/>
    <n v="148"/>
    <m/>
    <m/>
    <m/>
    <s v="Left putamen extend capsule a/c infract left occipital tiny infract"/>
    <m/>
    <m/>
    <m/>
    <n v="9"/>
    <n v="3"/>
    <n v="1"/>
    <n v="3"/>
    <n v="5"/>
    <m/>
    <n v="1"/>
    <n v="1"/>
    <n v="2"/>
    <m/>
    <m/>
    <n v="2"/>
    <n v="2"/>
    <m/>
    <m/>
    <m/>
    <m/>
    <m/>
    <m/>
    <m/>
    <m/>
    <m/>
    <n v="0"/>
    <n v="2"/>
    <n v="2"/>
    <n v="2"/>
    <n v="1"/>
    <n v="1"/>
    <n v="1"/>
    <x v="2"/>
    <n v="1"/>
    <n v="1"/>
    <n v="1"/>
  </r>
  <r>
    <s v="IS"/>
    <s v="Rashid Shaikh"/>
    <x v="67"/>
    <n v="0"/>
    <x v="59"/>
    <x v="69"/>
    <n v="60"/>
    <n v="2"/>
    <d v="2024-07-18T00:00:00"/>
    <d v="1899-12-30T14:00:00"/>
    <d v="2024-07-18T00:00:00"/>
    <d v="2024-07-20T00:00:00"/>
    <m/>
    <m/>
    <n v="10"/>
    <n v="1"/>
    <n v="2"/>
    <n v="2"/>
    <n v="1"/>
    <n v="2"/>
    <n v="2"/>
    <n v="2"/>
    <n v="2"/>
    <n v="2"/>
    <n v="2"/>
    <m/>
    <n v="14"/>
    <n v="42.3"/>
    <n v="87.9"/>
    <n v="15.99"/>
    <n v="6"/>
    <n v="231"/>
    <n v="172.4"/>
    <n v="38"/>
    <n v="103"/>
    <n v="20.6"/>
    <n v="217"/>
    <m/>
    <m/>
    <m/>
    <s v="Left corona radiata acute infract and left GC region "/>
    <m/>
    <s v="suspected left ICA origin plaque"/>
    <m/>
    <n v="9"/>
    <n v="3"/>
    <n v="1"/>
    <n v="3"/>
    <n v="5"/>
    <m/>
    <n v="1"/>
    <n v="1"/>
    <n v="2"/>
    <m/>
    <m/>
    <n v="2"/>
    <n v="2"/>
    <n v="1"/>
    <n v="100"/>
    <n v="0"/>
    <n v="0"/>
    <n v="0"/>
    <n v="0"/>
    <n v="0"/>
    <n v="0"/>
    <n v="0"/>
    <n v="1"/>
    <n v="2"/>
    <n v="2"/>
    <n v="2"/>
    <n v="1"/>
    <n v="1"/>
    <n v="1"/>
    <x v="3"/>
    <n v="0"/>
    <n v="0"/>
    <n v="0"/>
  </r>
  <r>
    <s v="KS"/>
    <s v="Bajarang Jadhav"/>
    <x v="68"/>
    <n v="0"/>
    <x v="60"/>
    <x v="70"/>
    <n v="56"/>
    <n v="1"/>
    <d v="2024-06-17T00:00:00"/>
    <d v="1899-12-30T23:00:00"/>
    <d v="2024-06-18T00:00:00"/>
    <d v="2024-06-20T00:00:00"/>
    <n v="9761165416"/>
    <n v="9096808286"/>
    <n v="3"/>
    <n v="1"/>
    <n v="2"/>
    <n v="2"/>
    <n v="1"/>
    <n v="2"/>
    <n v="2"/>
    <n v="2"/>
    <n v="2"/>
    <n v="2"/>
    <n v="2"/>
    <m/>
    <n v="15.3"/>
    <n v="44.5"/>
    <n v="10.220000000000001"/>
    <n v="10.4"/>
    <n v="6.9"/>
    <n v="162"/>
    <n v="92"/>
    <n v="29"/>
    <n v="205"/>
    <n v="41"/>
    <n v="150"/>
    <m/>
    <m/>
    <m/>
    <s v="Right corona radiata infract"/>
    <m/>
    <m/>
    <m/>
    <n v="9"/>
    <n v="4"/>
    <n v="1"/>
    <n v="3"/>
    <n v="5"/>
    <m/>
    <n v="1"/>
    <n v="1"/>
    <n v="2"/>
    <m/>
    <m/>
    <n v="2"/>
    <n v="2"/>
    <n v="0"/>
    <n v="100"/>
    <n v="1"/>
    <n v="2"/>
    <n v="2"/>
    <n v="2"/>
    <n v="1"/>
    <n v="1"/>
    <n v="1"/>
    <m/>
    <m/>
    <m/>
    <m/>
    <m/>
    <m/>
    <m/>
    <x v="3"/>
    <n v="1"/>
    <n v="1"/>
    <n v="1"/>
  </r>
  <r>
    <s v="KR"/>
    <s v="Shushila Dhamal "/>
    <x v="69"/>
    <n v="0"/>
    <x v="60"/>
    <x v="71"/>
    <n v="70"/>
    <n v="2"/>
    <m/>
    <m/>
    <d v="2023-01-03T00:00:00"/>
    <d v="2023-01-10T00:00:00"/>
    <n v="8805908565"/>
    <m/>
    <n v="5"/>
    <n v="1"/>
    <n v="2"/>
    <n v="2"/>
    <n v="1"/>
    <n v="2"/>
    <n v="2"/>
    <n v="2"/>
    <n v="2"/>
    <m/>
    <m/>
    <s v="TB- on AKT (07/01/2023) and status epilepticus"/>
    <n v="13.7"/>
    <n v="42.6"/>
    <n v="84.2"/>
    <n v="10.6"/>
    <n v="5.7"/>
    <m/>
    <m/>
    <m/>
    <m/>
    <m/>
    <n v="498"/>
    <m/>
    <m/>
    <m/>
    <s v="NHI in rt centrum semiovale chronic microhemorrhages in B/L FTP and occipregi"/>
    <m/>
    <s v="Atherosclerotic changes involving intracranial and neck arteries"/>
    <m/>
    <n v="8"/>
    <n v="5"/>
    <n v="1"/>
    <n v="3"/>
    <n v="5"/>
    <m/>
    <n v="1"/>
    <n v="1"/>
    <n v="2"/>
    <m/>
    <n v="4"/>
    <m/>
    <m/>
    <n v="6"/>
    <n v="0"/>
    <n v="0"/>
    <n v="0"/>
    <n v="0"/>
    <n v="0"/>
    <n v="0"/>
    <n v="0"/>
    <n v="0"/>
    <n v="0"/>
    <n v="0"/>
    <n v="0"/>
    <n v="0"/>
    <n v="0"/>
    <n v="0"/>
    <n v="0"/>
    <x v="4"/>
    <n v="0"/>
    <n v="0"/>
    <n v="0"/>
  </r>
  <r>
    <s v="HH"/>
    <s v="Prashant Khilare"/>
    <x v="70"/>
    <n v="1"/>
    <x v="61"/>
    <x v="72"/>
    <n v="47"/>
    <n v="1"/>
    <d v="2023-05-17T00:00:00"/>
    <d v="1899-12-30T06:00:00"/>
    <d v="2023-05-19T00:00:00"/>
    <d v="2023-05-21T00:00:00"/>
    <n v="9637820789"/>
    <m/>
    <m/>
    <n v="2"/>
    <n v="2"/>
    <n v="1"/>
    <n v="2"/>
    <n v="1"/>
    <n v="2"/>
    <n v="2"/>
    <n v="2"/>
    <n v="2"/>
    <n v="2"/>
    <m/>
    <n v="13.7"/>
    <n v="42.3"/>
    <n v="99.7"/>
    <n v="38.15"/>
    <n v="5"/>
    <n v="235"/>
    <n v="156.6"/>
    <n v="61"/>
    <n v="87"/>
    <n v="17.399999999999999"/>
    <n v="153"/>
    <m/>
    <m/>
    <m/>
    <s v="NHI caudate nucleus and lentiform nucleus left side"/>
    <m/>
    <m/>
    <m/>
    <m/>
    <m/>
    <m/>
    <m/>
    <m/>
    <m/>
    <n v="1"/>
    <n v="1"/>
    <n v="2"/>
    <m/>
    <n v="4"/>
    <n v="2"/>
    <n v="2"/>
    <n v="2"/>
    <n v="95"/>
    <n v="0"/>
    <n v="0"/>
    <n v="0"/>
    <n v="0"/>
    <n v="0"/>
    <n v="0"/>
    <n v="0"/>
    <n v="1"/>
    <n v="2"/>
    <n v="2"/>
    <n v="2"/>
    <n v="1"/>
    <n v="1"/>
    <n v="1"/>
    <x v="3"/>
    <n v="1"/>
    <n v="1"/>
    <n v="0"/>
  </r>
  <r>
    <s v="GM"/>
    <s v="Sherbahadur Dholi"/>
    <x v="71"/>
    <n v="0"/>
    <x v="62"/>
    <x v="73"/>
    <n v="49"/>
    <n v="1"/>
    <d v="2024-10-12T00:00:00"/>
    <d v="1899-12-30T08:00:00"/>
    <d v="2024-10-12T00:00:00"/>
    <d v="2024-10-14T00:00:00"/>
    <n v="9322883521"/>
    <n v="8766747970"/>
    <n v="11"/>
    <n v="1"/>
    <n v="2"/>
    <n v="1"/>
    <n v="1"/>
    <n v="1"/>
    <n v="2"/>
    <n v="2"/>
    <n v="1"/>
    <n v="2"/>
    <n v="2"/>
    <m/>
    <n v="12.6"/>
    <m/>
    <m/>
    <n v="49.53"/>
    <m/>
    <m/>
    <m/>
    <m/>
    <m/>
    <m/>
    <n v="247"/>
    <m/>
    <m/>
    <m/>
    <s v="Right periventricular infract "/>
    <m/>
    <s v="Normal "/>
    <m/>
    <m/>
    <m/>
    <m/>
    <m/>
    <m/>
    <m/>
    <n v="1"/>
    <n v="2"/>
    <n v="1"/>
    <n v="1"/>
    <n v="4"/>
    <n v="2"/>
    <n v="2"/>
    <n v="6"/>
    <n v="0"/>
    <n v="1"/>
    <n v="2"/>
    <n v="2"/>
    <n v="2"/>
    <n v="1"/>
    <n v="1"/>
    <n v="1"/>
    <n v="0"/>
    <n v="0"/>
    <n v="0"/>
    <n v="0"/>
    <n v="0"/>
    <n v="0"/>
    <n v="0"/>
    <x v="3"/>
    <n v="1"/>
    <n v="1"/>
    <n v="1"/>
  </r>
  <r>
    <s v="EJ"/>
    <s v="Shubhadra D Shilimkar"/>
    <x v="72"/>
    <n v="1"/>
    <x v="63"/>
    <x v="74"/>
    <n v="74"/>
    <n v="2"/>
    <d v="2023-08-13T00:00:00"/>
    <d v="1899-12-30T21:30:00"/>
    <d v="2023-08-14T00:00:00"/>
    <d v="2023-08-21T00:00:00"/>
    <n v="8275694855"/>
    <m/>
    <n v="20"/>
    <n v="1"/>
    <n v="1"/>
    <n v="2"/>
    <n v="2"/>
    <n v="2"/>
    <n v="2"/>
    <n v="2"/>
    <n v="2"/>
    <n v="2"/>
    <n v="1"/>
    <m/>
    <n v="9.8000000000000007"/>
    <n v="29.7"/>
    <n v="85"/>
    <n v="10.99"/>
    <n v="6.6"/>
    <n v="153"/>
    <n v="93"/>
    <n v="42"/>
    <n v="89"/>
    <n v="17.8"/>
    <n v="2000"/>
    <m/>
    <s v="Ferritin- 63, S Iron- 33, TIBC- 277, UIBC-244, Transferrin saturation %- 11.9"/>
    <m/>
    <s v="Acute infract left MCA teritory"/>
    <m/>
    <s v="Complete occlusion inferior division m2 of lt MCA"/>
    <m/>
    <n v="9"/>
    <n v="5"/>
    <n v="1"/>
    <n v="3"/>
    <n v="5"/>
    <m/>
    <n v="1"/>
    <n v="2"/>
    <n v="2"/>
    <m/>
    <m/>
    <m/>
    <m/>
    <n v="6"/>
    <n v="0"/>
    <n v="0"/>
    <n v="0"/>
    <n v="0"/>
    <n v="0"/>
    <n v="0"/>
    <n v="0"/>
    <n v="0"/>
    <n v="1"/>
    <n v="2"/>
    <n v="2"/>
    <n v="2"/>
    <n v="0"/>
    <n v="1"/>
    <n v="1"/>
    <x v="2"/>
    <n v="1"/>
    <n v="1"/>
    <n v="0"/>
  </r>
  <r>
    <s v="IQ"/>
    <s v="Fenu Dhangekar"/>
    <x v="73"/>
    <n v="1"/>
    <x v="64"/>
    <x v="75"/>
    <n v="55"/>
    <n v="2"/>
    <d v="2022-10-27T00:00:00"/>
    <d v="1899-12-30T21:00:00"/>
    <d v="2022-10-27T00:00:00"/>
    <d v="2022-10-28T00:00:00"/>
    <n v="9730042462"/>
    <m/>
    <n v="3"/>
    <n v="1"/>
    <n v="1"/>
    <n v="2"/>
    <n v="2"/>
    <n v="2"/>
    <n v="2"/>
    <n v="2"/>
    <n v="2"/>
    <n v="2"/>
    <n v="2"/>
    <s v="Dimorphic anemia"/>
    <n v="10"/>
    <n v="32.1"/>
    <m/>
    <n v="19.98"/>
    <n v="10.9"/>
    <m/>
    <m/>
    <m/>
    <m/>
    <m/>
    <n v="271"/>
    <m/>
    <s v="Dengu Ns/+ve"/>
    <m/>
    <s v="Acute infract Rt CR and GC region "/>
    <m/>
    <s v="Normal "/>
    <m/>
    <n v="9"/>
    <n v="3"/>
    <n v="1"/>
    <n v="3"/>
    <n v="5"/>
    <m/>
    <n v="1"/>
    <n v="1"/>
    <n v="2"/>
    <m/>
    <n v="4"/>
    <n v="2"/>
    <n v="2"/>
    <n v="0"/>
    <n v="100"/>
    <n v="1"/>
    <n v="2"/>
    <n v="2"/>
    <n v="2"/>
    <n v="1"/>
    <n v="1"/>
    <n v="1"/>
    <n v="0"/>
    <n v="0"/>
    <n v="0"/>
    <n v="0"/>
    <n v="0"/>
    <n v="0"/>
    <n v="0"/>
    <x v="3"/>
    <n v="1"/>
    <n v="1"/>
    <n v="0"/>
  </r>
  <r>
    <s v="IU"/>
    <s v="Sagar Borkar"/>
    <x v="74"/>
    <n v="0"/>
    <x v="65"/>
    <x v="76"/>
    <n v="37"/>
    <n v="1"/>
    <d v="2024-07-27T00:00:00"/>
    <d v="1899-12-30T01:00:00"/>
    <d v="2024-07-27T00:00:00"/>
    <d v="2024-07-29T00:00:00"/>
    <n v="8275473565"/>
    <m/>
    <n v="4"/>
    <n v="2"/>
    <n v="2"/>
    <n v="2"/>
    <n v="2"/>
    <n v="2"/>
    <n v="2"/>
    <n v="1"/>
    <n v="2"/>
    <n v="2"/>
    <n v="2"/>
    <m/>
    <n v="14.6"/>
    <m/>
    <m/>
    <n v="76.2"/>
    <n v="5.6"/>
    <n v="108"/>
    <n v="85.2"/>
    <n v="36"/>
    <n v="84"/>
    <n v="16.8"/>
    <n v="2000"/>
    <m/>
    <m/>
    <m/>
    <s v="Rt centrum semiovale infract"/>
    <m/>
    <m/>
    <m/>
    <n v="9"/>
    <n v="5"/>
    <n v="1"/>
    <n v="3"/>
    <n v="5"/>
    <m/>
    <n v="1"/>
    <n v="1"/>
    <n v="2"/>
    <m/>
    <n v="2"/>
    <n v="2"/>
    <n v="2"/>
    <n v="0"/>
    <n v="100"/>
    <n v="1"/>
    <n v="2"/>
    <n v="2"/>
    <n v="2"/>
    <n v="1"/>
    <n v="1"/>
    <n v="1"/>
    <n v="0"/>
    <n v="0"/>
    <n v="0"/>
    <n v="0"/>
    <n v="0"/>
    <n v="0"/>
    <n v="0"/>
    <x v="3"/>
    <n v="1"/>
    <n v="1"/>
    <n v="0"/>
  </r>
  <r>
    <m/>
    <s v="bansode laxman"/>
    <x v="26"/>
    <m/>
    <x v="66"/>
    <x v="26"/>
    <m/>
    <m/>
    <m/>
    <m/>
    <m/>
    <m/>
    <m/>
    <m/>
    <m/>
    <m/>
    <m/>
    <m/>
    <m/>
    <m/>
    <m/>
    <m/>
    <m/>
    <m/>
    <m/>
    <m/>
    <m/>
    <m/>
    <m/>
    <m/>
    <m/>
    <m/>
    <m/>
    <m/>
    <m/>
    <m/>
    <m/>
    <m/>
    <m/>
    <m/>
    <m/>
    <s v="L"/>
    <m/>
    <m/>
    <m/>
    <m/>
    <m/>
    <m/>
    <m/>
    <m/>
    <m/>
    <m/>
    <m/>
    <m/>
    <m/>
    <m/>
    <m/>
    <m/>
    <m/>
    <m/>
    <m/>
    <m/>
    <m/>
    <m/>
    <m/>
    <m/>
    <m/>
    <m/>
    <m/>
    <m/>
    <m/>
    <m/>
    <m/>
    <x v="6"/>
    <m/>
    <m/>
    <m/>
  </r>
  <r>
    <s v="IV"/>
    <s v="Sachin Pandagale"/>
    <x v="75"/>
    <n v="0"/>
    <x v="67"/>
    <x v="77"/>
    <n v="30"/>
    <n v="1"/>
    <d v="2024-07-17T00:00:00"/>
    <d v="1899-12-30T23:30:00"/>
    <d v="2024-07-18T00:00:00"/>
    <d v="2024-07-19T00:00:00"/>
    <n v="9822902820"/>
    <m/>
    <n v="2"/>
    <n v="2"/>
    <n v="2"/>
    <n v="2"/>
    <n v="2"/>
    <n v="2"/>
    <n v="2"/>
    <n v="2"/>
    <n v="2"/>
    <n v="2"/>
    <n v="2"/>
    <m/>
    <n v="16.2"/>
    <n v="47.8"/>
    <n v="89.6"/>
    <n v="26.39"/>
    <n v="5.6"/>
    <n v="187"/>
    <n v="132"/>
    <n v="23"/>
    <n v="158"/>
    <n v="31.6"/>
    <m/>
    <m/>
    <m/>
    <m/>
    <s v="Left PCA-MCA watershed infract"/>
    <m/>
    <s v="Left ICA floating thrombus"/>
    <m/>
    <n v="10"/>
    <n v="3"/>
    <n v="1"/>
    <n v="3"/>
    <n v="5"/>
    <m/>
    <n v="1"/>
    <n v="1"/>
    <n v="2"/>
    <m/>
    <m/>
    <n v="2"/>
    <n v="2"/>
    <n v="0"/>
    <n v="100"/>
    <n v="0"/>
    <n v="0"/>
    <n v="0"/>
    <n v="0"/>
    <n v="0"/>
    <n v="0"/>
    <n v="0"/>
    <n v="1"/>
    <n v="2"/>
    <n v="2"/>
    <n v="2"/>
    <n v="1"/>
    <n v="1"/>
    <n v="1"/>
    <x v="3"/>
    <n v="0"/>
    <n v="1"/>
    <n v="0"/>
  </r>
  <r>
    <s v="GF"/>
    <s v="Pawar reshma"/>
    <x v="76"/>
    <n v="0"/>
    <x v="68"/>
    <x v="78"/>
    <n v="70"/>
    <n v="2"/>
    <d v="2024-11-19T00:00:00"/>
    <d v="1899-12-30T12:00:00"/>
    <d v="2024-11-19T00:00:00"/>
    <d v="2024-11-22T00:00:00"/>
    <n v="8767394602"/>
    <n v="9823371427"/>
    <n v="2"/>
    <n v="2"/>
    <n v="2"/>
    <n v="2"/>
    <n v="2"/>
    <n v="2"/>
    <n v="2"/>
    <n v="2"/>
    <n v="2"/>
    <n v="2"/>
    <n v="2"/>
    <m/>
    <n v="11.5"/>
    <m/>
    <m/>
    <n v="11"/>
    <n v="6.9"/>
    <n v="218"/>
    <n v="165"/>
    <n v="33"/>
    <n v="100"/>
    <n v="20"/>
    <n v="310"/>
    <m/>
    <m/>
    <m/>
    <s v="Right lenticulostriate infarct"/>
    <m/>
    <s v="left M1 minimal stenosis"/>
    <m/>
    <n v="10"/>
    <n v="3"/>
    <n v="1"/>
    <n v="3"/>
    <n v="5"/>
    <m/>
    <n v="1"/>
    <n v="1"/>
    <n v="2"/>
    <m/>
    <n v="4"/>
    <n v="2"/>
    <n v="2"/>
    <n v="2"/>
    <n v="50"/>
    <n v="1"/>
    <n v="2"/>
    <n v="2"/>
    <n v="2"/>
    <n v="1"/>
    <n v="1"/>
    <n v="1"/>
    <n v="0"/>
    <n v="0"/>
    <n v="0"/>
    <n v="0"/>
    <n v="0"/>
    <n v="0"/>
    <n v="0"/>
    <x v="3"/>
    <n v="1"/>
    <n v="1"/>
    <n v="1"/>
  </r>
  <r>
    <s v="GJ"/>
    <s v="Ankush Bhame "/>
    <x v="77"/>
    <n v="0"/>
    <x v="69"/>
    <x v="79"/>
    <n v="58"/>
    <n v="1"/>
    <d v="2024-10-05T00:00:00"/>
    <d v="1899-12-30T23:00:00"/>
    <d v="2024-10-06T00:00:00"/>
    <d v="2024-10-07T00:00:00"/>
    <n v="8308102789"/>
    <m/>
    <n v="11"/>
    <n v="2"/>
    <n v="2"/>
    <n v="1"/>
    <n v="2"/>
    <n v="2"/>
    <n v="2"/>
    <n v="2"/>
    <n v="2"/>
    <n v="2"/>
    <n v="2"/>
    <m/>
    <n v="17.2"/>
    <n v="51.1"/>
    <n v="11.67"/>
    <m/>
    <n v="4.8"/>
    <n v="134"/>
    <n v="78.599999999999994"/>
    <n v="46"/>
    <n v="47"/>
    <n v="9.4"/>
    <m/>
    <m/>
    <m/>
    <m/>
    <s v="Left corona radiata and left lentiform infract, left putamen, posterior aspect of left thalamus "/>
    <m/>
    <s v="Normal "/>
    <m/>
    <n v="9"/>
    <n v="3"/>
    <n v="1"/>
    <n v="3"/>
    <n v="5"/>
    <m/>
    <n v="1"/>
    <n v="1"/>
    <n v="2"/>
    <m/>
    <n v="4"/>
    <n v="2"/>
    <n v="2"/>
    <n v="2"/>
    <n v="70"/>
    <n v="0"/>
    <n v="0"/>
    <n v="0"/>
    <n v="0"/>
    <n v="0"/>
    <n v="0"/>
    <n v="0"/>
    <n v="1"/>
    <n v="2"/>
    <n v="2"/>
    <n v="2"/>
    <n v="1"/>
    <n v="1"/>
    <n v="1"/>
    <x v="3"/>
    <n v="1"/>
    <n v="1"/>
    <n v="1"/>
  </r>
  <r>
    <s v="DP"/>
    <s v="Prem singh Janala"/>
    <x v="78"/>
    <n v="0"/>
    <x v="70"/>
    <x v="80"/>
    <n v="52"/>
    <n v="1"/>
    <d v="2024-04-16T00:00:00"/>
    <d v="1899-12-30T22:00:00"/>
    <d v="2024-04-17T00:00:00"/>
    <d v="2024-04-20T00:00:00"/>
    <n v="7219870581"/>
    <m/>
    <n v="8"/>
    <n v="1"/>
    <n v="1"/>
    <n v="1"/>
    <n v="2"/>
    <n v="2"/>
    <n v="2"/>
    <n v="2"/>
    <n v="2"/>
    <n v="2"/>
    <n v="2"/>
    <m/>
    <n v="10.4"/>
    <n v="32.700000000000003"/>
    <n v="75.900000000000006"/>
    <n v="9.31"/>
    <n v="10.5"/>
    <n v="277"/>
    <m/>
    <n v="38"/>
    <n v="627"/>
    <m/>
    <n v="497"/>
    <m/>
    <m/>
    <m/>
    <s v="Left corona radiata and posteroir limb of internal capsule infract"/>
    <m/>
    <s v="Rt ICA plaque &lt;50% stenosis"/>
    <m/>
    <n v="9"/>
    <n v="3"/>
    <n v="1"/>
    <n v="3"/>
    <n v="5"/>
    <m/>
    <n v="1"/>
    <n v="1"/>
    <n v="2"/>
    <m/>
    <m/>
    <n v="2"/>
    <n v="2"/>
    <n v="1"/>
    <n v="90"/>
    <n v="0"/>
    <n v="0"/>
    <n v="0"/>
    <n v="0"/>
    <n v="0"/>
    <n v="0"/>
    <n v="0"/>
    <n v="0"/>
    <n v="2"/>
    <n v="2"/>
    <n v="2"/>
    <n v="1"/>
    <n v="1"/>
    <n v="1"/>
    <x v="2"/>
    <n v="1"/>
    <n v="1"/>
    <n v="0"/>
  </r>
  <r>
    <s v="HI"/>
    <s v="Vandana N Bahirat "/>
    <x v="79"/>
    <n v="1"/>
    <x v="71"/>
    <x v="81"/>
    <n v="43"/>
    <n v="2"/>
    <d v="2023-03-18T00:00:00"/>
    <d v="1899-12-30T07:00:00"/>
    <d v="2023-03-18T00:00:00"/>
    <d v="2023-03-21T00:00:00"/>
    <n v="8999976013"/>
    <m/>
    <m/>
    <n v="2"/>
    <n v="2"/>
    <n v="2"/>
    <n v="2"/>
    <n v="2"/>
    <n v="2"/>
    <n v="2"/>
    <n v="2"/>
    <n v="2"/>
    <n v="1"/>
    <s v="Iron deficiency anemia "/>
    <n v="7.7"/>
    <n v="26.2"/>
    <n v="62.7"/>
    <n v="8.82"/>
    <n v="5.0999999999999996"/>
    <m/>
    <m/>
    <m/>
    <m/>
    <m/>
    <n v="183"/>
    <m/>
    <s v="Ferritin- 2.73, S Iron- 20, TIBC- 298 transferrin saturation- 6.71% "/>
    <m/>
    <s v="A/C non hemorrhagic infarct right frontal lobe gliotic area left parieto occipito temporal lobe "/>
    <m/>
    <m/>
    <m/>
    <m/>
    <m/>
    <m/>
    <m/>
    <m/>
    <m/>
    <n v="1"/>
    <n v="1"/>
    <n v="2"/>
    <m/>
    <m/>
    <m/>
    <m/>
    <n v="1"/>
    <n v="100"/>
    <n v="1"/>
    <n v="2"/>
    <n v="2"/>
    <n v="2"/>
    <n v="1"/>
    <n v="1"/>
    <n v="1"/>
    <n v="0"/>
    <n v="0"/>
    <n v="0"/>
    <n v="0"/>
    <n v="0"/>
    <n v="0"/>
    <n v="0"/>
    <x v="3"/>
    <n v="1"/>
    <n v="1"/>
    <n v="0"/>
  </r>
  <r>
    <s v="HJ"/>
    <s v="Tanaji Hanehute"/>
    <x v="80"/>
    <n v="1"/>
    <x v="72"/>
    <x v="82"/>
    <n v="59"/>
    <n v="1"/>
    <m/>
    <m/>
    <d v="2022-12-09T00:00:00"/>
    <d v="2022-12-10T00:00:00"/>
    <m/>
    <m/>
    <n v="3"/>
    <n v="2"/>
    <n v="1"/>
    <n v="1"/>
    <n v="1"/>
    <n v="2"/>
    <n v="2"/>
    <n v="2"/>
    <n v="2"/>
    <n v="2"/>
    <n v="2"/>
    <m/>
    <n v="14.4"/>
    <m/>
    <m/>
    <n v="11.3"/>
    <n v="10.9"/>
    <n v="153"/>
    <n v="88.8"/>
    <n v="47"/>
    <n v="86"/>
    <m/>
    <m/>
    <m/>
    <m/>
    <m/>
    <m/>
    <m/>
    <m/>
    <m/>
    <n v="9"/>
    <n v="3"/>
    <n v="1"/>
    <n v="3"/>
    <n v="5"/>
    <m/>
    <n v="1"/>
    <n v="1"/>
    <n v="2"/>
    <m/>
    <n v="4"/>
    <m/>
    <m/>
    <n v="4"/>
    <n v="40"/>
    <n v="1"/>
    <n v="2"/>
    <n v="2"/>
    <n v="2"/>
    <n v="1"/>
    <n v="1"/>
    <n v="1"/>
    <n v="0"/>
    <n v="0"/>
    <n v="0"/>
    <n v="0"/>
    <n v="0"/>
    <n v="0"/>
    <n v="0"/>
    <x v="3"/>
    <n v="1"/>
    <n v="1"/>
    <n v="0"/>
  </r>
  <r>
    <m/>
    <s v="Satyajeet Adhawade"/>
    <x v="11"/>
    <e v="#N/A"/>
    <x v="73"/>
    <x v="83"/>
    <n v="40"/>
    <n v="1"/>
    <s v="23-08-2024"/>
    <d v="1899-12-30T19:00:00"/>
    <s v="24-08-2024"/>
    <s v="26-08-2024"/>
    <n v="9860226221"/>
    <m/>
    <n v="4"/>
    <n v="1"/>
    <n v="2"/>
    <n v="1"/>
    <n v="1"/>
    <n v="1"/>
    <n v="2"/>
    <n v="2"/>
    <n v="2"/>
    <n v="2"/>
    <n v="2"/>
    <m/>
    <n v="13.6"/>
    <n v="39.700000000000003"/>
    <n v="10.64"/>
    <n v="40.25"/>
    <n v="4.7"/>
    <n v="144"/>
    <n v="87.8"/>
    <n v="43"/>
    <n v="66"/>
    <n v="13.2"/>
    <n v="2000"/>
    <m/>
    <m/>
    <m/>
    <s v="Right corona radiata and posterior limb of interior capsule infract"/>
    <s v="R"/>
    <s v="Normal "/>
    <m/>
    <n v="8"/>
    <n v="3"/>
    <n v="1"/>
    <n v="3"/>
    <n v="3"/>
    <m/>
    <n v="1"/>
    <n v="1"/>
    <n v="2"/>
    <m/>
    <m/>
    <n v="2"/>
    <n v="2"/>
    <n v="0"/>
    <n v="100"/>
    <e v="#N/A"/>
    <e v="#N/A"/>
    <e v="#N/A"/>
    <m/>
    <m/>
    <m/>
    <m/>
    <m/>
    <m/>
    <m/>
    <m/>
    <m/>
    <m/>
    <m/>
    <x v="6"/>
    <m/>
    <m/>
    <m/>
  </r>
  <r>
    <s v="HK"/>
    <s v="Balu Chorghe"/>
    <x v="81"/>
    <n v="1"/>
    <x v="74"/>
    <x v="84"/>
    <n v="57"/>
    <n v="1"/>
    <d v="2023-10-17T00:00:00"/>
    <d v="1899-12-30T06:30:00"/>
    <d v="2023-10-17T00:00:00"/>
    <d v="2023-10-18T00:00:00"/>
    <n v="9767246428"/>
    <m/>
    <n v="6"/>
    <n v="2"/>
    <n v="2"/>
    <n v="1"/>
    <n v="1"/>
    <n v="1"/>
    <n v="2"/>
    <n v="2"/>
    <n v="2"/>
    <n v="2"/>
    <n v="2"/>
    <m/>
    <n v="10.7"/>
    <n v="35.299999999999997"/>
    <n v="75.2"/>
    <n v="36.47"/>
    <n v="6.4"/>
    <n v="146"/>
    <n v="88"/>
    <n v="38"/>
    <n v="100"/>
    <n v="20"/>
    <n v="220"/>
    <n v="20"/>
    <m/>
    <m/>
    <s v="left putamen and corona radiata "/>
    <m/>
    <s v="Normal"/>
    <m/>
    <n v="9"/>
    <n v="3"/>
    <n v="1"/>
    <n v="3"/>
    <n v="5"/>
    <m/>
    <n v="1"/>
    <n v="1"/>
    <n v="2"/>
    <m/>
    <m/>
    <m/>
    <m/>
    <n v="1"/>
    <n v="95"/>
    <n v="0"/>
    <n v="0"/>
    <n v="0"/>
    <n v="0"/>
    <n v="0"/>
    <n v="0"/>
    <n v="0"/>
    <n v="1"/>
    <n v="2"/>
    <n v="2"/>
    <n v="2"/>
    <n v="1"/>
    <n v="1"/>
    <n v="1"/>
    <x v="3"/>
    <n v="1"/>
    <n v="1"/>
    <n v="0"/>
  </r>
  <r>
    <s v="DQ"/>
    <s v="Kamal Pawar"/>
    <x v="82"/>
    <n v="1"/>
    <x v="75"/>
    <x v="85"/>
    <n v="74"/>
    <n v="2"/>
    <d v="2023-08-21T00:00:00"/>
    <d v="1899-12-30T07:00:00"/>
    <d v="2023-08-22T00:00:00"/>
    <d v="2023-08-26T00:00:00"/>
    <n v="9850336332"/>
    <m/>
    <n v="2"/>
    <n v="1"/>
    <n v="1"/>
    <n v="2"/>
    <n v="1"/>
    <n v="2"/>
    <n v="2"/>
    <n v="2"/>
    <n v="2"/>
    <n v="2"/>
    <n v="1"/>
    <s v="Iron Deficiency Anemia"/>
    <n v="9.9"/>
    <n v="30.7"/>
    <n v="74.400000000000006"/>
    <n v="18.579999999999998"/>
    <n v="7.5"/>
    <n v="178"/>
    <n v="96"/>
    <n v="32"/>
    <n v="250"/>
    <n v="50"/>
    <n v="268"/>
    <m/>
    <s v="S Ferritin- 24, Iron- 63, TIBC- 378, UIBC- 315,Transferitin saturation-16.6"/>
    <m/>
    <s v="Acute NHI in left centrum semiovale and left frontal periventricular white matter region "/>
    <m/>
    <s v="Calcified atherosclerotic plaque are noted at the origin of both ICA, causing significant luminal compromise (85-90%Dn right side and 75-85) on left side calcified atherosclerotic plaques are also noted in the cavernous segment of both ICAs "/>
    <m/>
    <m/>
    <m/>
    <m/>
    <m/>
    <m/>
    <m/>
    <n v="1"/>
    <n v="1"/>
    <n v="2"/>
    <m/>
    <n v="4"/>
    <m/>
    <m/>
    <n v="1"/>
    <n v="100"/>
    <n v="0"/>
    <n v="0"/>
    <n v="0"/>
    <n v="0"/>
    <n v="0"/>
    <n v="0"/>
    <n v="0"/>
    <n v="0"/>
    <n v="2"/>
    <n v="2"/>
    <n v="2"/>
    <n v="1"/>
    <n v="1"/>
    <n v="1"/>
    <x v="2"/>
    <n v="0"/>
    <n v="0"/>
    <n v="0"/>
  </r>
  <r>
    <s v="KV"/>
    <s v="Prakash Marne "/>
    <x v="83"/>
    <n v="0"/>
    <x v="75"/>
    <x v="86"/>
    <n v="51"/>
    <n v="1"/>
    <d v="2023-10-27T00:00:00"/>
    <d v="1899-12-30T06:30:00"/>
    <d v="2023-10-27T00:00:00"/>
    <d v="2023-10-31T00:00:00"/>
    <n v="9551709709"/>
    <m/>
    <n v="5"/>
    <n v="1"/>
    <n v="2"/>
    <n v="1"/>
    <n v="2"/>
    <n v="2"/>
    <n v="2"/>
    <n v="2"/>
    <n v="1"/>
    <n v="2"/>
    <n v="1"/>
    <m/>
    <n v="16.8"/>
    <n v="51.8"/>
    <n v="89.6"/>
    <n v="20.36"/>
    <n v="5.4"/>
    <n v="164"/>
    <n v="106.2"/>
    <n v="40"/>
    <n v="89"/>
    <n v="17.8"/>
    <n v="312"/>
    <n v="19"/>
    <m/>
    <m/>
    <s v="a/c infarct R1 thalamus globus pallidus cortex nucleus anterior limb of internal capsule"/>
    <m/>
    <s v="Thromosis of m, Rt MCA"/>
    <m/>
    <n v="10"/>
    <n v="5"/>
    <n v="1"/>
    <n v="3"/>
    <n v="5"/>
    <m/>
    <n v="1"/>
    <n v="1"/>
    <n v="1"/>
    <n v="1"/>
    <m/>
    <m/>
    <m/>
    <n v="0"/>
    <n v="95"/>
    <n v="0"/>
    <n v="0"/>
    <n v="0"/>
    <n v="0"/>
    <n v="0"/>
    <n v="0"/>
    <n v="0"/>
    <n v="0"/>
    <n v="0"/>
    <n v="0"/>
    <n v="0"/>
    <n v="0"/>
    <n v="0"/>
    <n v="0"/>
    <x v="4"/>
    <n v="0"/>
    <n v="0"/>
    <n v="0"/>
  </r>
  <r>
    <m/>
    <s v="Laxmibai Mane "/>
    <x v="11"/>
    <e v="#N/A"/>
    <x v="76"/>
    <x v="87"/>
    <n v="60"/>
    <n v="2"/>
    <d v="2023-09-26T00:00:00"/>
    <d v="1899-12-30T21:00:00"/>
    <d v="2023-09-27T00:00:00"/>
    <d v="2023-09-28T00:00:00"/>
    <m/>
    <m/>
    <n v="8"/>
    <n v="1"/>
    <n v="1"/>
    <n v="2"/>
    <n v="1"/>
    <n v="2"/>
    <n v="2"/>
    <n v="2"/>
    <n v="2"/>
    <n v="2"/>
    <n v="2"/>
    <m/>
    <n v="10.1"/>
    <m/>
    <m/>
    <n v="14"/>
    <n v="8.1999999999999993"/>
    <n v="176"/>
    <n v="112.6"/>
    <n v="41"/>
    <n v="112"/>
    <n v="22.4"/>
    <n v="148"/>
    <m/>
    <m/>
    <m/>
    <s v=" Left Corona radiata and left basal ganglia"/>
    <m/>
    <s v="Pausity of chronical branches of Lt MCA"/>
    <m/>
    <n v="9"/>
    <n v="3"/>
    <n v="1"/>
    <n v="3"/>
    <n v="5"/>
    <m/>
    <n v="1"/>
    <n v="1"/>
    <n v="2"/>
    <m/>
    <m/>
    <m/>
    <m/>
    <n v="2"/>
    <n v="90"/>
    <m/>
    <m/>
    <m/>
    <m/>
    <m/>
    <m/>
    <m/>
    <n v="1"/>
    <n v="2"/>
    <n v="2"/>
    <n v="2"/>
    <n v="1"/>
    <n v="1"/>
    <n v="1"/>
    <x v="3"/>
    <n v="1"/>
    <n v="1"/>
    <n v="1"/>
  </r>
  <r>
    <s v="KW"/>
    <s v="Lilawati Chavan "/>
    <x v="84"/>
    <n v="0"/>
    <x v="77"/>
    <x v="88"/>
    <n v="70"/>
    <n v="2"/>
    <d v="2024-02-04T00:00:00"/>
    <d v="1899-12-30T10:00:00"/>
    <d v="2024-02-04T00:00:00"/>
    <d v="2024-02-06T00:00:00"/>
    <n v="9922968148"/>
    <m/>
    <n v="10"/>
    <n v="2"/>
    <n v="2"/>
    <n v="2"/>
    <n v="2"/>
    <n v="2"/>
    <n v="2"/>
    <n v="2"/>
    <n v="2"/>
    <n v="2"/>
    <n v="2"/>
    <s v="hysterectomy"/>
    <n v="6.9"/>
    <n v="22.8"/>
    <n v="66.7"/>
    <n v="18.489999999999998"/>
    <n v="5.8"/>
    <n v="295"/>
    <n v="223.2"/>
    <n v="57"/>
    <n v="74"/>
    <n v="14.8"/>
    <n v="247"/>
    <m/>
    <s v="S Iron- 13, UIBC- 312, TIBC-325, transferrin saturation-4%"/>
    <m/>
    <s v="Right putamen and corona radiata acute infract chronic infracts in Lt centrum semiovale and Rt corona radiata "/>
    <m/>
    <s v="Calcified plaques in both CCAs. Left cavernous ICA calcidied plaques"/>
    <m/>
    <n v="7"/>
    <n v="3"/>
    <n v="1"/>
    <n v="3"/>
    <n v="5"/>
    <m/>
    <n v="1"/>
    <n v="1"/>
    <n v="1"/>
    <m/>
    <m/>
    <n v="2"/>
    <n v="2"/>
    <n v="5"/>
    <n v="10"/>
    <n v="0"/>
    <n v="0"/>
    <n v="0"/>
    <n v="0"/>
    <n v="0"/>
    <n v="0"/>
    <n v="0"/>
    <n v="0"/>
    <n v="0"/>
    <n v="0"/>
    <n v="0"/>
    <n v="0"/>
    <n v="0"/>
    <n v="0"/>
    <x v="4"/>
    <n v="0"/>
    <n v="0"/>
    <n v="0"/>
  </r>
  <r>
    <s v="AW"/>
    <s v="Gorakh Kambale"/>
    <x v="85"/>
    <n v="0"/>
    <x v="78"/>
    <x v="89"/>
    <n v="63"/>
    <n v="1"/>
    <m/>
    <m/>
    <d v="2024-11-06T00:00:00"/>
    <d v="2024-11-11T00:00:00"/>
    <n v="9011552857"/>
    <m/>
    <n v="18"/>
    <n v="2"/>
    <n v="2"/>
    <n v="2"/>
    <n v="2"/>
    <n v="2"/>
    <n v="2"/>
    <n v="2"/>
    <n v="2"/>
    <n v="2"/>
    <n v="2"/>
    <m/>
    <n v="13.9"/>
    <n v="40.700000000000003"/>
    <n v="87.9"/>
    <m/>
    <n v="8.3000000000000007"/>
    <m/>
    <m/>
    <m/>
    <m/>
    <m/>
    <n v="250"/>
    <m/>
    <m/>
    <m/>
    <s v="Left MCA infract "/>
    <m/>
    <s v="Complete thrombosis Lt ICA, distal part of M1 segment of Lt MCA cirumferential calcified atherosclerotic plaque in the Lt CCA causing mild luminal narrowing hypoplastic with non visualization of V4 segment thrombosis"/>
    <m/>
    <n v="10"/>
    <n v="2"/>
    <n v="2"/>
    <n v="1"/>
    <n v="3"/>
    <m/>
    <n v="1"/>
    <n v="1"/>
    <n v="1"/>
    <n v="2"/>
    <n v="4"/>
    <n v="2"/>
    <n v="2"/>
    <m/>
    <m/>
    <n v="0"/>
    <n v="0"/>
    <n v="0"/>
    <n v="0"/>
    <n v="0"/>
    <n v="0"/>
    <n v="0"/>
    <n v="0"/>
    <n v="0"/>
    <n v="2"/>
    <n v="2"/>
    <n v="1"/>
    <n v="0"/>
    <n v="1"/>
    <x v="8"/>
    <n v="0"/>
    <n v="1"/>
    <s v="Lt CCA plaque"/>
  </r>
  <r>
    <s v="CU"/>
    <s v="Vitthal Y Limkar"/>
    <x v="86"/>
    <n v="0"/>
    <x v="79"/>
    <x v="90"/>
    <n v="80"/>
    <n v="1"/>
    <d v="2023-08-20T00:00:00"/>
    <d v="1899-12-30T11:00:00"/>
    <d v="2023-08-21T00:00:00"/>
    <d v="2023-08-22T00:00:00"/>
    <n v="9822555050"/>
    <m/>
    <n v="3"/>
    <n v="1"/>
    <n v="1"/>
    <n v="2"/>
    <n v="1"/>
    <n v="2"/>
    <n v="2"/>
    <n v="2"/>
    <n v="2"/>
    <n v="2"/>
    <n v="2"/>
    <m/>
    <n v="13.5"/>
    <n v="5.5"/>
    <m/>
    <n v="42.51"/>
    <n v="5.5"/>
    <n v="165"/>
    <n v="103.8"/>
    <n v="36"/>
    <n v="126"/>
    <n v="25.2"/>
    <n v="335"/>
    <m/>
    <m/>
    <m/>
    <s v="NHI in Rt centrum Semiovale "/>
    <m/>
    <s v="Atherosclerotic calcification of aorta of both carvenous ICAs"/>
    <m/>
    <m/>
    <m/>
    <m/>
    <m/>
    <m/>
    <m/>
    <n v="1"/>
    <n v="1"/>
    <n v="2"/>
    <m/>
    <n v="4"/>
    <m/>
    <m/>
    <n v="0"/>
    <n v="100"/>
    <n v="0"/>
    <n v="2"/>
    <n v="2"/>
    <n v="2"/>
    <n v="1"/>
    <n v="1"/>
    <n v="1"/>
    <n v="0"/>
    <n v="0"/>
    <n v="0"/>
    <n v="0"/>
    <n v="0"/>
    <n v="0"/>
    <n v="0"/>
    <x v="2"/>
    <n v="1"/>
    <n v="1"/>
    <n v="1"/>
  </r>
  <r>
    <s v="KY"/>
    <s v="Vinayak Kakade"/>
    <x v="87"/>
    <n v="0"/>
    <x v="80"/>
    <x v="91"/>
    <n v="79"/>
    <n v="1"/>
    <d v="2024-04-28T00:00:00"/>
    <d v="1899-12-30T20:00:00"/>
    <d v="2024-04-29T00:00:00"/>
    <d v="2024-02-02T00:00:00"/>
    <n v="9767032422"/>
    <m/>
    <n v="3"/>
    <n v="2"/>
    <n v="2"/>
    <n v="2"/>
    <n v="2"/>
    <n v="2"/>
    <n v="2"/>
    <n v="2"/>
    <n v="2"/>
    <n v="2"/>
    <n v="2"/>
    <m/>
    <n v="10.9"/>
    <n v="33.200000000000003"/>
    <n v="86.9"/>
    <n v="11.95"/>
    <n v="6"/>
    <n v="122"/>
    <n v="74"/>
    <n v="37"/>
    <n v="55"/>
    <n v="11"/>
    <n v="401"/>
    <m/>
    <m/>
    <m/>
    <s v="Right PCA- MCA watershed infract old gliosis left PCA- MCA watershed infract"/>
    <m/>
    <m/>
    <m/>
    <n v="9"/>
    <n v="2"/>
    <n v="1"/>
    <n v="3"/>
    <n v="4"/>
    <m/>
    <n v="1"/>
    <m/>
    <n v="2"/>
    <m/>
    <n v="3"/>
    <n v="2"/>
    <n v="2"/>
    <n v="1"/>
    <n v="75"/>
    <n v="0"/>
    <n v="0"/>
    <n v="0"/>
    <n v="0"/>
    <n v="0"/>
    <n v="0"/>
    <n v="0"/>
    <n v="0"/>
    <n v="0"/>
    <n v="0"/>
    <n v="0"/>
    <n v="0"/>
    <n v="0"/>
    <n v="0"/>
    <x v="4"/>
    <n v="0"/>
    <n v="0"/>
    <n v="0"/>
  </r>
  <r>
    <s v="KZ"/>
    <s v="Laxmibai Bhandari"/>
    <x v="88"/>
    <n v="0"/>
    <x v="81"/>
    <x v="92"/>
    <n v="65"/>
    <n v="2"/>
    <d v="2024-01-15T00:00:00"/>
    <d v="1899-12-30T23:00:00"/>
    <d v="2024-01-16T00:00:00"/>
    <d v="2024-01-24T00:00:00"/>
    <n v="9830935588"/>
    <m/>
    <m/>
    <n v="1"/>
    <n v="2"/>
    <n v="2"/>
    <n v="2"/>
    <n v="2"/>
    <n v="2"/>
    <n v="2"/>
    <n v="2"/>
    <n v="2"/>
    <n v="2"/>
    <m/>
    <n v="13.8"/>
    <n v="40.799999999999997"/>
    <n v="92.5"/>
    <n v="24.56"/>
    <n v="6"/>
    <m/>
    <m/>
    <m/>
    <m/>
    <m/>
    <n v="2000"/>
    <m/>
    <m/>
    <m/>
    <s v="NHI in rt GC region and B/L thalami multiple old lacunar infarcts in B/L thalami B/L GC region , B/L periventricular white matter and pors"/>
    <m/>
    <s v="Calcified atheroscerotic plaques in cavernous segment of B/L ICA causing mild luminal compromise mild atherosclerotic wall irregularites on M1 segment of both MCAs "/>
    <m/>
    <n v="9"/>
    <n v="3"/>
    <n v="1"/>
    <n v="3"/>
    <n v="5"/>
    <m/>
    <n v="1"/>
    <n v="1"/>
    <n v="2"/>
    <m/>
    <m/>
    <m/>
    <m/>
    <m/>
    <m/>
    <n v="0"/>
    <n v="1"/>
    <n v="2"/>
    <n v="2"/>
    <n v="1"/>
    <n v="1"/>
    <n v="1"/>
    <n v="0"/>
    <n v="0"/>
    <n v="0"/>
    <n v="0"/>
    <n v="0"/>
    <n v="0"/>
    <n v="0"/>
    <x v="1"/>
    <n v="1"/>
    <n v="1"/>
    <s v="Rt CCA Plaque"/>
  </r>
  <r>
    <s v="BT"/>
    <s v="Shikrisha Joshi "/>
    <x v="89"/>
    <n v="0"/>
    <x v="82"/>
    <x v="93"/>
    <n v="77"/>
    <n v="1"/>
    <d v="2024-09-28T00:00:00"/>
    <d v="1899-12-30T15:00:00"/>
    <d v="2024-09-29T00:00:00"/>
    <d v="2024-10-03T00:00:00"/>
    <n v="9561573153"/>
    <m/>
    <n v="11"/>
    <n v="1"/>
    <n v="2"/>
    <n v="2"/>
    <n v="2"/>
    <n v="2"/>
    <n v="2"/>
    <n v="2"/>
    <n v="1"/>
    <n v="2"/>
    <n v="1"/>
    <s v="Stroke in 2020"/>
    <n v="14.4"/>
    <n v="44.2"/>
    <n v="88.8"/>
    <n v="26.4"/>
    <n v="5.8"/>
    <n v="216"/>
    <n v="156"/>
    <n v="44"/>
    <n v="76"/>
    <n v="15.2"/>
    <n v="174"/>
    <m/>
    <m/>
    <m/>
    <s v="Acute infract in Rt pons Lt fronto parietal, Lt centrum semiovale, left corona radiata "/>
    <m/>
    <s v="Large calcified plaque in Left ICA distal to origin causing 60 % narrowing , multiple plaque in B/L clinoid ICA "/>
    <m/>
    <n v="9"/>
    <n v="3"/>
    <n v="1"/>
    <n v="3"/>
    <n v="5"/>
    <m/>
    <n v="1"/>
    <n v="1"/>
    <n v="2"/>
    <m/>
    <n v="4"/>
    <n v="2"/>
    <n v="2"/>
    <n v="6"/>
    <n v="0"/>
    <n v="0"/>
    <n v="0"/>
    <n v="0"/>
    <n v="0"/>
    <n v="0"/>
    <n v="0"/>
    <n v="0"/>
    <n v="0"/>
    <n v="1"/>
    <n v="2"/>
    <n v="2"/>
    <n v="1"/>
    <n v="1"/>
    <n v="1"/>
    <x v="1"/>
    <n v="1"/>
    <n v="1"/>
    <n v="1"/>
  </r>
  <r>
    <s v="LA"/>
    <s v="Nilesh Katke"/>
    <x v="90"/>
    <n v="0"/>
    <x v="83"/>
    <x v="94"/>
    <n v="58"/>
    <n v="1"/>
    <d v="2024-02-13T00:00:00"/>
    <d v="1899-12-30T11:00:00"/>
    <d v="2024-02-13T00:00:00"/>
    <d v="2024-02-15T00:00:00"/>
    <n v="9370272841"/>
    <n v="9850037053"/>
    <m/>
    <n v="1"/>
    <n v="2"/>
    <n v="2"/>
    <n v="2"/>
    <n v="2"/>
    <n v="2"/>
    <n v="2"/>
    <n v="2"/>
    <n v="2"/>
    <n v="2"/>
    <m/>
    <n v="15.2"/>
    <m/>
    <m/>
    <n v="14.87"/>
    <n v="5.8"/>
    <n v="157"/>
    <n v="157.6"/>
    <n v="38"/>
    <n v="307"/>
    <n v="61.4"/>
    <n v="251"/>
    <n v="145"/>
    <s v="ESR 11 CRP 9.1 C3-89 C4 38"/>
    <m/>
    <s v="Acute infracts seen B/L frontal and Rt periventricular white matter showing restricted diffusion"/>
    <m/>
    <m/>
    <m/>
    <n v="10"/>
    <m/>
    <m/>
    <m/>
    <m/>
    <m/>
    <n v="1"/>
    <n v="1"/>
    <n v="2"/>
    <m/>
    <m/>
    <n v="2"/>
    <n v="2"/>
    <n v="0"/>
    <n v="100"/>
    <n v="0"/>
    <n v="0"/>
    <n v="0"/>
    <n v="0"/>
    <n v="0"/>
    <n v="0"/>
    <n v="0"/>
    <n v="0"/>
    <n v="0"/>
    <n v="0"/>
    <n v="0"/>
    <n v="0"/>
    <n v="0"/>
    <n v="0"/>
    <x v="4"/>
    <n v="0"/>
    <n v="0"/>
    <n v="0"/>
  </r>
  <r>
    <s v="LB"/>
    <s v="Ramchandra V Matne"/>
    <x v="91"/>
    <n v="0"/>
    <x v="84"/>
    <x v="95"/>
    <n v="65"/>
    <n v="1"/>
    <m/>
    <m/>
    <d v="2023-04-10T00:00:00"/>
    <d v="2023-04-12T00:00:00"/>
    <n v="9975258092"/>
    <n v="8082197685"/>
    <n v="9"/>
    <n v="2"/>
    <n v="1"/>
    <n v="2"/>
    <n v="2"/>
    <n v="2"/>
    <n v="2"/>
    <n v="2"/>
    <n v="1"/>
    <n v="2"/>
    <n v="2"/>
    <m/>
    <n v="15"/>
    <n v="43.8"/>
    <n v="90.7"/>
    <m/>
    <n v="10.199999999999999"/>
    <m/>
    <m/>
    <m/>
    <m/>
    <m/>
    <m/>
    <m/>
    <m/>
    <m/>
    <s v="Left Periventricular and left corona radiata infract"/>
    <m/>
    <s v="Awaited"/>
    <m/>
    <n v="9"/>
    <m/>
    <m/>
    <m/>
    <m/>
    <m/>
    <n v="1"/>
    <n v="1"/>
    <n v="2"/>
    <m/>
    <m/>
    <n v="2"/>
    <n v="2"/>
    <n v="1"/>
    <n v="95"/>
    <n v="0"/>
    <n v="0"/>
    <n v="0"/>
    <n v="0"/>
    <n v="0"/>
    <n v="0"/>
    <n v="0"/>
    <n v="0"/>
    <n v="0"/>
    <n v="0"/>
    <n v="0"/>
    <n v="0"/>
    <n v="0"/>
    <n v="0"/>
    <x v="4"/>
    <n v="0"/>
    <n v="0"/>
    <n v="0"/>
  </r>
  <r>
    <m/>
    <s v="Nitin Nanekar "/>
    <x v="11"/>
    <e v="#N/A"/>
    <x v="85"/>
    <x v="26"/>
    <n v="50"/>
    <n v="1"/>
    <d v="2024-11-21T00:00:00"/>
    <d v="1899-12-30T18:30:00"/>
    <d v="2024-11-22T00:00:00"/>
    <d v="2024-11-23T00:00:00"/>
    <n v="9604538101"/>
    <m/>
    <n v="3"/>
    <n v="2"/>
    <n v="2"/>
    <n v="1"/>
    <n v="1"/>
    <n v="2"/>
    <n v="2"/>
    <n v="2"/>
    <n v="2"/>
    <n v="2"/>
    <n v="2"/>
    <m/>
    <n v="12.6"/>
    <m/>
    <m/>
    <n v="13.65"/>
    <m/>
    <m/>
    <m/>
    <m/>
    <m/>
    <m/>
    <n v="665"/>
    <m/>
    <m/>
    <m/>
    <s v="Left parietal infract "/>
    <s v="L"/>
    <s v="Normal"/>
    <m/>
    <n v="10"/>
    <n v="3"/>
    <n v="1"/>
    <n v="3"/>
    <n v="4"/>
    <m/>
    <n v="1"/>
    <n v="1"/>
    <n v="2"/>
    <m/>
    <n v="4"/>
    <n v="2"/>
    <n v="2"/>
    <n v="0"/>
    <n v="100"/>
    <e v="#N/A"/>
    <e v="#N/A"/>
    <e v="#N/A"/>
    <m/>
    <m/>
    <m/>
    <m/>
    <m/>
    <m/>
    <m/>
    <m/>
    <m/>
    <m/>
    <m/>
    <x v="6"/>
    <m/>
    <m/>
    <m/>
  </r>
  <r>
    <s v="LC"/>
    <s v="Dnyanoba Pawale"/>
    <x v="92"/>
    <n v="0"/>
    <x v="86"/>
    <x v="96"/>
    <n v="76"/>
    <n v="1"/>
    <d v="2023-12-28T00:00:00"/>
    <d v="1899-12-30T03:00:00"/>
    <d v="2023-12-28T00:00:00"/>
    <m/>
    <n v="9552288085"/>
    <m/>
    <n v="9"/>
    <n v="2"/>
    <n v="2"/>
    <n v="2"/>
    <n v="1"/>
    <n v="2"/>
    <n v="2"/>
    <n v="2"/>
    <n v="2"/>
    <n v="2"/>
    <n v="2"/>
    <m/>
    <n v="13.3"/>
    <n v="38.200000000000003"/>
    <n v="10.050000000000001"/>
    <n v="10"/>
    <n v="5.3"/>
    <n v="127"/>
    <n v="72.400000000000006"/>
    <n v="38"/>
    <n v="83"/>
    <n v="16.600000000000001"/>
    <n v="2000"/>
    <m/>
    <m/>
    <m/>
    <s v="Acute NHI in left corona radiata"/>
    <m/>
    <s v="Normal"/>
    <m/>
    <m/>
    <m/>
    <m/>
    <m/>
    <m/>
    <m/>
    <n v="1"/>
    <n v="1"/>
    <n v="2"/>
    <m/>
    <m/>
    <n v="2"/>
    <n v="2"/>
    <n v="4"/>
    <n v="40"/>
    <m/>
    <m/>
    <m/>
    <m/>
    <m/>
    <m/>
    <m/>
    <n v="1"/>
    <n v="2"/>
    <n v="2"/>
    <n v="2"/>
    <n v="1"/>
    <n v="1"/>
    <n v="1"/>
    <x v="3"/>
    <n v="1"/>
    <n v="1"/>
    <n v="1"/>
  </r>
  <r>
    <s v="FW"/>
    <s v="Rajiya Shaikh"/>
    <x v="93"/>
    <n v="0"/>
    <x v="87"/>
    <x v="97"/>
    <n v="50"/>
    <n v="1"/>
    <m/>
    <m/>
    <m/>
    <m/>
    <n v="9762449220"/>
    <m/>
    <n v="2"/>
    <n v="1"/>
    <n v="2"/>
    <n v="2"/>
    <n v="2"/>
    <n v="2"/>
    <n v="2"/>
    <n v="2"/>
    <n v="2"/>
    <n v="2"/>
    <n v="2"/>
    <m/>
    <m/>
    <m/>
    <m/>
    <m/>
    <m/>
    <m/>
    <m/>
    <m/>
    <m/>
    <m/>
    <m/>
    <m/>
    <m/>
    <m/>
    <s v="Rt centrum semiovale acute infract "/>
    <m/>
    <s v="Normal"/>
    <m/>
    <n v="9"/>
    <n v="3"/>
    <n v="1"/>
    <n v="3"/>
    <n v="5"/>
    <m/>
    <n v="1"/>
    <n v="1"/>
    <n v="2"/>
    <m/>
    <n v="4"/>
    <n v="2"/>
    <n v="2"/>
    <n v="0"/>
    <n v="100"/>
    <n v="1"/>
    <n v="2"/>
    <n v="2"/>
    <n v="2"/>
    <n v="1"/>
    <n v="1"/>
    <n v="1"/>
    <n v="0"/>
    <n v="0"/>
    <n v="0"/>
    <n v="0"/>
    <n v="0"/>
    <n v="0"/>
    <n v="0"/>
    <x v="3"/>
    <n v="1"/>
    <n v="1"/>
    <n v="1"/>
  </r>
  <r>
    <m/>
    <s v="jagdale dattatray"/>
    <x v="26"/>
    <m/>
    <x v="88"/>
    <x v="26"/>
    <m/>
    <m/>
    <m/>
    <m/>
    <m/>
    <m/>
    <m/>
    <m/>
    <m/>
    <m/>
    <m/>
    <m/>
    <m/>
    <m/>
    <m/>
    <m/>
    <m/>
    <m/>
    <m/>
    <m/>
    <m/>
    <m/>
    <m/>
    <m/>
    <m/>
    <m/>
    <m/>
    <m/>
    <m/>
    <m/>
    <m/>
    <m/>
    <m/>
    <m/>
    <s v="Right periventricular infarct"/>
    <s v="R"/>
    <m/>
    <m/>
    <m/>
    <m/>
    <m/>
    <m/>
    <m/>
    <m/>
    <m/>
    <m/>
    <m/>
    <m/>
    <m/>
    <m/>
    <m/>
    <m/>
    <m/>
    <m/>
    <m/>
    <m/>
    <m/>
    <m/>
    <m/>
    <m/>
    <m/>
    <m/>
    <m/>
    <m/>
    <m/>
    <m/>
    <m/>
    <x v="6"/>
    <m/>
    <m/>
    <m/>
  </r>
  <r>
    <s v="AT"/>
    <s v="Kishor Lunawat "/>
    <x v="94"/>
    <n v="1"/>
    <x v="89"/>
    <x v="98"/>
    <n v="53"/>
    <n v="1"/>
    <m/>
    <m/>
    <d v="2023-07-06T00:00:00"/>
    <d v="2023-07-10T00:00:00"/>
    <n v="7770011688"/>
    <n v="9272419999"/>
    <n v="0"/>
    <n v="1"/>
    <n v="1"/>
    <n v="2"/>
    <n v="2"/>
    <n v="2"/>
    <n v="2"/>
    <n v="2"/>
    <n v="2"/>
    <n v="2"/>
    <n v="2"/>
    <m/>
    <n v="14.4"/>
    <n v="41.9"/>
    <n v="87.3"/>
    <n v="8.66"/>
    <m/>
    <n v="173"/>
    <n v="125.8"/>
    <n v="35"/>
    <n v="6.1"/>
    <m/>
    <n v="716"/>
    <n v="239"/>
    <m/>
    <m/>
    <s v="A/c right internal watershed infract "/>
    <m/>
    <s v="Right ICA complete thrombosis"/>
    <m/>
    <m/>
    <m/>
    <m/>
    <m/>
    <m/>
    <m/>
    <n v="1"/>
    <n v="1"/>
    <n v="2"/>
    <m/>
    <m/>
    <m/>
    <m/>
    <n v="1"/>
    <n v="100"/>
    <n v="0"/>
    <n v="0"/>
    <n v="1"/>
    <n v="2"/>
    <n v="1"/>
    <n v="1"/>
    <n v="0"/>
    <n v="0"/>
    <n v="0"/>
    <n v="0"/>
    <n v="0"/>
    <n v="0"/>
    <n v="0"/>
    <n v="0"/>
    <x v="9"/>
    <n v="1"/>
    <n v="0"/>
    <n v="0"/>
  </r>
  <r>
    <s v="IK"/>
    <s v="Rangubai Yele"/>
    <x v="95"/>
    <n v="1"/>
    <x v="89"/>
    <x v="99"/>
    <n v="75"/>
    <n v="2"/>
    <d v="2023-08-20T00:00:00"/>
    <d v="1899-12-30T09:40:00"/>
    <d v="2023-08-20T00:00:00"/>
    <d v="2023-08-23T00:00:00"/>
    <n v="8850292400"/>
    <m/>
    <n v="10"/>
    <n v="1"/>
    <n v="2"/>
    <n v="2"/>
    <n v="1"/>
    <n v="2"/>
    <n v="2"/>
    <n v="2"/>
    <n v="2"/>
    <n v="2"/>
    <n v="1"/>
    <m/>
    <n v="10.6"/>
    <n v="6.22"/>
    <m/>
    <n v="6.22"/>
    <n v="6"/>
    <n v="184"/>
    <n v="107.8"/>
    <n v="39"/>
    <n v="186"/>
    <n v="37.799999999999997"/>
    <n v="690"/>
    <m/>
    <m/>
    <m/>
    <s v="Left periventrucular and left corona radiata infracts"/>
    <m/>
    <s v="Normal"/>
    <m/>
    <m/>
    <m/>
    <m/>
    <m/>
    <m/>
    <m/>
    <n v="1"/>
    <n v="1"/>
    <n v="1"/>
    <n v="2"/>
    <m/>
    <m/>
    <m/>
    <n v="4"/>
    <n v="40"/>
    <n v="0"/>
    <n v="0"/>
    <n v="0"/>
    <n v="0"/>
    <n v="0"/>
    <n v="0"/>
    <n v="0"/>
    <n v="1"/>
    <n v="2"/>
    <n v="2"/>
    <n v="2"/>
    <n v="1"/>
    <n v="1"/>
    <n v="1"/>
    <x v="3"/>
    <n v="1"/>
    <n v="1"/>
    <n v="0"/>
  </r>
  <r>
    <s v="CH"/>
    <s v="Santosh Nande"/>
    <x v="96"/>
    <n v="1"/>
    <x v="90"/>
    <x v="100"/>
    <n v="55"/>
    <n v="1"/>
    <d v="2023-09-11T00:00:00"/>
    <d v="1899-12-30T06:30:00"/>
    <d v="2023-09-11T00:00:00"/>
    <d v="2023-10-05T00:00:00"/>
    <n v="9890854804"/>
    <m/>
    <n v="8"/>
    <n v="1"/>
    <n v="1"/>
    <n v="2"/>
    <n v="2"/>
    <n v="2"/>
    <n v="2"/>
    <n v="2"/>
    <n v="1"/>
    <n v="2"/>
    <n v="2"/>
    <s v="On DAPT"/>
    <n v="13.2"/>
    <n v="39.4"/>
    <n v="81.400000000000006"/>
    <n v="10.9"/>
    <n v="8.5"/>
    <n v="96"/>
    <n v="42.6"/>
    <n v="33"/>
    <n v="102"/>
    <n v="20.399999999999999"/>
    <n v="213"/>
    <m/>
    <m/>
    <m/>
    <s v="MRI - Infarct in rt FPT lobes , rt centrum semiovale and rt corona radiata "/>
    <m/>
    <s v="RT MCA is poor opacified from the circle of willis. Mild name wing in the M1 segments of RT with marked paucity of cortical branches of rt MCA "/>
    <m/>
    <n v="8"/>
    <n v="3"/>
    <n v="1"/>
    <n v="2"/>
    <n v="4"/>
    <m/>
    <n v="1"/>
    <n v="2"/>
    <n v="2"/>
    <m/>
    <m/>
    <n v="2"/>
    <n v="1"/>
    <n v="4"/>
    <n v="45"/>
    <n v="0"/>
    <n v="2"/>
    <n v="2"/>
    <n v="1"/>
    <n v="1"/>
    <n v="1"/>
    <n v="1"/>
    <n v="0"/>
    <n v="0"/>
    <n v="0"/>
    <n v="0"/>
    <n v="0"/>
    <n v="0"/>
    <n v="0"/>
    <x v="1"/>
    <n v="1"/>
    <n v="0"/>
    <s v="Rt CCA thrombus"/>
  </r>
  <r>
    <s v="LD"/>
    <s v="Suman Shinde"/>
    <x v="97"/>
    <n v="0"/>
    <x v="91"/>
    <x v="101"/>
    <n v="65"/>
    <n v="2"/>
    <d v="2024-07-07T00:00:00"/>
    <d v="1899-12-30T09:45:00"/>
    <d v="2024-07-07T00:00:00"/>
    <d v="2024-07-10T00:00:00"/>
    <n v="9096181488"/>
    <m/>
    <n v="6"/>
    <n v="2"/>
    <n v="2"/>
    <n v="2"/>
    <n v="1"/>
    <n v="2"/>
    <n v="2"/>
    <n v="1"/>
    <n v="2"/>
    <n v="2"/>
    <n v="2"/>
    <m/>
    <n v="12.3"/>
    <n v="37.200000000000003"/>
    <n v="92.4"/>
    <n v="10.210000000000001"/>
    <m/>
    <m/>
    <m/>
    <m/>
    <m/>
    <m/>
    <n v="2000"/>
    <m/>
    <s v="Random Glucose- 75"/>
    <m/>
    <s v="Acute infract Rt centrum semiovale "/>
    <m/>
    <s v="Mild left M1 stenosis Rt normal"/>
    <m/>
    <n v="10"/>
    <n v="3"/>
    <n v="1"/>
    <n v="3"/>
    <n v="4"/>
    <m/>
    <n v="1"/>
    <n v="2"/>
    <n v="1"/>
    <n v="2"/>
    <n v="3"/>
    <n v="2"/>
    <n v="2"/>
    <n v="0"/>
    <n v="100"/>
    <n v="1"/>
    <n v="2"/>
    <n v="1"/>
    <n v="2"/>
    <n v="1"/>
    <n v="1"/>
    <n v="1"/>
    <n v="0"/>
    <n v="0"/>
    <n v="0"/>
    <n v="0"/>
    <n v="0"/>
    <n v="0"/>
    <n v="0"/>
    <x v="2"/>
    <n v="1"/>
    <n v="1"/>
    <n v="0"/>
  </r>
  <r>
    <s v="HL"/>
    <s v="Yashodha Devkar"/>
    <x v="98"/>
    <n v="1"/>
    <x v="92"/>
    <x v="102"/>
    <n v="70"/>
    <n v="2"/>
    <d v="2023-02-26T00:00:00"/>
    <d v="1899-12-30T19:00:00"/>
    <d v="2023-02-26T00:00:00"/>
    <d v="2023-02-28T00:00:00"/>
    <n v="8888435454"/>
    <n v="8668515149"/>
    <n v="9"/>
    <n v="2"/>
    <n v="2"/>
    <n v="2"/>
    <n v="2"/>
    <n v="2"/>
    <n v="2"/>
    <n v="2"/>
    <n v="2"/>
    <n v="2"/>
    <n v="2"/>
    <m/>
    <n v="10.7"/>
    <n v="32"/>
    <n v="85"/>
    <n v="29"/>
    <n v="6.3"/>
    <m/>
    <m/>
    <m/>
    <m/>
    <m/>
    <n v="189"/>
    <m/>
    <m/>
    <m/>
    <s v="Acute infract body of right caudate nucleus and right putamen"/>
    <m/>
    <s v="Mild atherosclerotic changes in both common carotid arteries hypodense eccentric plaque with surface irregulatey at origin of Rt ICA"/>
    <m/>
    <n v="8"/>
    <n v="3"/>
    <n v="1"/>
    <n v="3"/>
    <n v="5"/>
    <m/>
    <n v="1"/>
    <n v="1"/>
    <n v="2"/>
    <m/>
    <m/>
    <n v="2"/>
    <n v="2"/>
    <n v="1"/>
    <n v="85"/>
    <n v="1"/>
    <n v="2"/>
    <n v="2"/>
    <n v="2"/>
    <n v="1"/>
    <n v="1"/>
    <n v="1"/>
    <n v="0"/>
    <n v="0"/>
    <n v="0"/>
    <n v="0"/>
    <n v="0"/>
    <n v="0"/>
    <n v="0"/>
    <x v="3"/>
    <n v="1"/>
    <n v="1"/>
    <n v="0"/>
  </r>
  <r>
    <s v="IL"/>
    <s v="Bharati Shah"/>
    <x v="99"/>
    <n v="1"/>
    <x v="93"/>
    <x v="103"/>
    <n v="70"/>
    <n v="2"/>
    <d v="2023-10-12T00:00:00"/>
    <d v="1899-12-30T22:30:00"/>
    <d v="2023-10-13T00:00:00"/>
    <d v="2023-10-14T00:00:00"/>
    <n v="9766525627"/>
    <m/>
    <n v="2"/>
    <n v="2"/>
    <n v="2"/>
    <n v="2"/>
    <n v="2"/>
    <n v="2"/>
    <n v="2"/>
    <n v="1"/>
    <n v="2"/>
    <n v="2"/>
    <n v="2"/>
    <m/>
    <n v="15.3"/>
    <m/>
    <m/>
    <m/>
    <m/>
    <n v="209"/>
    <n v="134"/>
    <n v="53"/>
    <m/>
    <m/>
    <m/>
    <m/>
    <m/>
    <m/>
    <s v=" in neurology Acute NHI involving Lt MCA teritory there are likely suggestive of embrolic infarcts colloid cyst without hydrocephalus and current scan "/>
    <m/>
    <s v="Atherosclerotic plaques in bilateral v 4 segment of vertebral arteries causing significant luminal stenosis."/>
    <m/>
    <n v="9"/>
    <n v="3"/>
    <n v="1"/>
    <n v="3"/>
    <n v="5"/>
    <m/>
    <n v="1"/>
    <n v="2"/>
    <n v="2"/>
    <m/>
    <n v="3"/>
    <m/>
    <m/>
    <n v="0"/>
    <n v="90"/>
    <n v="0"/>
    <n v="0"/>
    <n v="0"/>
    <n v="0"/>
    <n v="0"/>
    <n v="0"/>
    <n v="0"/>
    <n v="1"/>
    <n v="2"/>
    <n v="2"/>
    <n v="2"/>
    <n v="1"/>
    <n v="1"/>
    <n v="1"/>
    <x v="3"/>
    <n v="0"/>
    <n v="1"/>
    <s v="Bilateral CCA plaques"/>
  </r>
  <r>
    <s v="LE"/>
    <s v="Amzeed A Hosen"/>
    <x v="100"/>
    <n v="0"/>
    <x v="94"/>
    <x v="104"/>
    <n v="61"/>
    <n v="1"/>
    <d v="2023-10-16T00:00:00"/>
    <d v="1899-12-30T22:30:00"/>
    <d v="2023-10-17T00:00:00"/>
    <d v="2023-10-18T00:00:00"/>
    <n v="8990331312"/>
    <m/>
    <n v="1"/>
    <n v="1"/>
    <n v="2"/>
    <n v="1"/>
    <n v="2"/>
    <n v="1"/>
    <n v="2"/>
    <n v="2"/>
    <n v="2"/>
    <n v="2"/>
    <n v="1"/>
    <s v="Bronchial asthma"/>
    <n v="10.7"/>
    <n v="33"/>
    <n v="81.7"/>
    <n v="11.65"/>
    <n v="11.1"/>
    <n v="133"/>
    <n v="75.599999999999994"/>
    <n v="36"/>
    <n v="107"/>
    <n v="21.4"/>
    <n v="406"/>
    <n v="20"/>
    <m/>
    <m/>
    <s v="Right MCA/ACA watershed infract"/>
    <m/>
    <s v="A/C NHI inthe cortical and subcortical white"/>
    <m/>
    <n v="9"/>
    <n v="5"/>
    <n v="1"/>
    <n v="3"/>
    <n v="5"/>
    <m/>
    <n v="1"/>
    <n v="1"/>
    <n v="2"/>
    <m/>
    <m/>
    <m/>
    <m/>
    <n v="0"/>
    <m/>
    <n v="0"/>
    <n v="0"/>
    <n v="0"/>
    <n v="0"/>
    <n v="0"/>
    <n v="0"/>
    <n v="0"/>
    <n v="0"/>
    <n v="0"/>
    <n v="0"/>
    <n v="0"/>
    <n v="0"/>
    <n v="0"/>
    <n v="0"/>
    <x v="4"/>
    <n v="0"/>
    <n v="0"/>
    <n v="0"/>
  </r>
  <r>
    <s v="DR"/>
    <s v="Chandrakant Khandale "/>
    <x v="101"/>
    <n v="1"/>
    <x v="95"/>
    <x v="105"/>
    <n v="58"/>
    <n v="1"/>
    <m/>
    <d v="1899-12-30T23:00:00"/>
    <d v="2024-04-03T00:00:00"/>
    <d v="2024-04-05T00:00:00"/>
    <n v="9763068303"/>
    <m/>
    <n v="2"/>
    <n v="1"/>
    <n v="1"/>
    <n v="2"/>
    <n v="2"/>
    <n v="2"/>
    <n v="2"/>
    <n v="2"/>
    <n v="2"/>
    <n v="2"/>
    <n v="2"/>
    <m/>
    <n v="12.4"/>
    <n v="38.6"/>
    <n v="83.2"/>
    <n v="18.309999999999999"/>
    <n v="9.1999999999999993"/>
    <n v="115"/>
    <n v="68.2"/>
    <n v="19"/>
    <n v="139"/>
    <n v="27.8"/>
    <n v="209"/>
    <m/>
    <m/>
    <m/>
    <s v="Right internal watershed infract and rt FP and occipital region "/>
    <m/>
    <s v="Right ICA 99% stenosis at origin Left ICA 90% stenosis at origin Rt ICA at CCA left vetebral artery hypoplastic bifurcation"/>
    <m/>
    <n v="10"/>
    <n v="3"/>
    <n v="1"/>
    <n v="3"/>
    <n v="5"/>
    <m/>
    <n v="1"/>
    <n v="1"/>
    <n v="2"/>
    <m/>
    <m/>
    <n v="2"/>
    <n v="2"/>
    <n v="1"/>
    <n v="100"/>
    <n v="0"/>
    <n v="2"/>
    <n v="2"/>
    <n v="2"/>
    <n v="1"/>
    <n v="1"/>
    <n v="1"/>
    <n v="0"/>
    <n v="0"/>
    <n v="0"/>
    <n v="0"/>
    <n v="0"/>
    <n v="0"/>
    <n v="0"/>
    <x v="2"/>
    <n v="1"/>
    <n v="0"/>
    <s v="Right CCA plaque"/>
  </r>
  <r>
    <s v="LG"/>
    <s v="Mahadev Navghane"/>
    <x v="102"/>
    <n v="0"/>
    <x v="96"/>
    <x v="106"/>
    <n v="48"/>
    <n v="1"/>
    <d v="2023-10-30T00:00:00"/>
    <d v="1899-12-30T14:00:00"/>
    <d v="2023-10-31T00:00:00"/>
    <m/>
    <n v="8888331366"/>
    <m/>
    <n v="2"/>
    <n v="1"/>
    <n v="1"/>
    <n v="1"/>
    <n v="1"/>
    <n v="2"/>
    <n v="2"/>
    <n v="2"/>
    <n v="2"/>
    <n v="2"/>
    <n v="2"/>
    <m/>
    <n v="15.8"/>
    <n v="48.2"/>
    <m/>
    <m/>
    <m/>
    <n v="200"/>
    <n v="95.6"/>
    <n v="36"/>
    <n v="342"/>
    <n v="68.400000000000006"/>
    <m/>
    <m/>
    <m/>
    <m/>
    <m/>
    <m/>
    <m/>
    <m/>
    <m/>
    <m/>
    <m/>
    <m/>
    <m/>
    <m/>
    <n v="1"/>
    <n v="1"/>
    <n v="2"/>
    <m/>
    <m/>
    <m/>
    <m/>
    <m/>
    <m/>
    <n v="0"/>
    <n v="0"/>
    <n v="0"/>
    <n v="0"/>
    <n v="0"/>
    <n v="0"/>
    <n v="0"/>
    <n v="1"/>
    <n v="2"/>
    <n v="2"/>
    <n v="2"/>
    <n v="1"/>
    <n v="1"/>
    <n v="1"/>
    <x v="3"/>
    <n v="1"/>
    <n v="1"/>
    <n v="0"/>
  </r>
  <r>
    <s v="LH"/>
    <s v="Suresh A Shirolkar "/>
    <x v="103"/>
    <n v="0"/>
    <x v="97"/>
    <x v="107"/>
    <n v="60"/>
    <n v="1"/>
    <d v="2023-03-29T00:00:00"/>
    <m/>
    <d v="2023-03-29T00:00:00"/>
    <d v="2023-03-31T00:00:00"/>
    <n v="7304449578"/>
    <m/>
    <m/>
    <n v="1"/>
    <n v="1"/>
    <n v="2"/>
    <n v="2"/>
    <n v="2"/>
    <n v="2"/>
    <n v="2"/>
    <n v="1"/>
    <n v="2"/>
    <n v="2"/>
    <m/>
    <n v="10.5"/>
    <n v="34.200000000000003"/>
    <n v="66.7"/>
    <n v="14"/>
    <n v="8.1999999999999993"/>
    <n v="90"/>
    <n v="32"/>
    <n v="32"/>
    <n v="80"/>
    <n v="16"/>
    <n v="242"/>
    <m/>
    <m/>
    <m/>
    <s v="A/c  infarct in left frontal lobe"/>
    <m/>
    <s v="Normal"/>
    <m/>
    <m/>
    <m/>
    <m/>
    <m/>
    <m/>
    <m/>
    <n v="1"/>
    <m/>
    <n v="1"/>
    <n v="1"/>
    <n v="4"/>
    <m/>
    <m/>
    <n v="0"/>
    <n v="100"/>
    <n v="0"/>
    <n v="0"/>
    <n v="0"/>
    <n v="0"/>
    <n v="0"/>
    <n v="0"/>
    <n v="0"/>
    <n v="0"/>
    <n v="0"/>
    <n v="0"/>
    <n v="0"/>
    <n v="0"/>
    <n v="0"/>
    <n v="0"/>
    <x v="4"/>
    <n v="0"/>
    <n v="0"/>
    <n v="0"/>
  </r>
  <r>
    <s v="DS"/>
    <s v=" Shrikant Banutkar"/>
    <x v="104"/>
    <n v="1"/>
    <x v="98"/>
    <x v="108"/>
    <n v="65"/>
    <n v="1"/>
    <m/>
    <m/>
    <d v="2022-07-03T00:00:00"/>
    <d v="2022-07-06T00:00:00"/>
    <n v="8329592331"/>
    <m/>
    <n v="9"/>
    <n v="1"/>
    <n v="1"/>
    <n v="2"/>
    <n v="2"/>
    <n v="2"/>
    <n v="2"/>
    <n v="2"/>
    <n v="2"/>
    <n v="2"/>
    <n v="2"/>
    <m/>
    <n v="13"/>
    <n v="39.1"/>
    <m/>
    <n v="20.04"/>
    <n v="6"/>
    <n v="117"/>
    <n v="61"/>
    <n v="38"/>
    <n v="89"/>
    <m/>
    <m/>
    <m/>
    <m/>
    <m/>
    <s v="Rt FP Corona radiata and PLIC infract "/>
    <m/>
    <s v="Rt MCA M1 mild narrowing Rt ICA origin "/>
    <m/>
    <n v="9"/>
    <n v="4"/>
    <n v="1"/>
    <n v="3"/>
    <n v="5"/>
    <m/>
    <n v="1"/>
    <n v="1"/>
    <n v="2"/>
    <m/>
    <n v="4"/>
    <m/>
    <m/>
    <n v="0"/>
    <n v="90"/>
    <n v="1"/>
    <n v="1"/>
    <n v="2"/>
    <n v="2"/>
    <n v="1"/>
    <n v="1"/>
    <n v="1"/>
    <n v="0"/>
    <n v="0"/>
    <n v="0"/>
    <n v="0"/>
    <n v="0"/>
    <n v="0"/>
    <n v="0"/>
    <x v="2"/>
    <n v="1"/>
    <n v="0"/>
    <n v="0"/>
  </r>
  <r>
    <s v="LI"/>
    <s v="Keshavbai shinde"/>
    <x v="105"/>
    <n v="0"/>
    <x v="99"/>
    <x v="109"/>
    <n v="50"/>
    <n v="2"/>
    <d v="2024-07-10T00:00:00"/>
    <d v="1899-12-30T06:45:00"/>
    <d v="2024-07-10T00:00:00"/>
    <m/>
    <n v="9096343363"/>
    <m/>
    <n v="3"/>
    <n v="2"/>
    <n v="2"/>
    <n v="2"/>
    <n v="1"/>
    <n v="2"/>
    <n v="2"/>
    <n v="2"/>
    <n v="2"/>
    <n v="2"/>
    <n v="2"/>
    <m/>
    <n v="13.2"/>
    <n v="40.299999999999997"/>
    <n v="76.5"/>
    <n v="7.34"/>
    <n v="5.8"/>
    <n v="173"/>
    <n v="102.8"/>
    <n v="39"/>
    <n v="156"/>
    <n v="31.2"/>
    <n v="1099"/>
    <m/>
    <m/>
    <m/>
    <s v="Left insular infract "/>
    <m/>
    <s v="Left ICA occluted from origin (100%) and left M3 infract"/>
    <m/>
    <n v="10"/>
    <n v="2"/>
    <n v="2"/>
    <n v="1"/>
    <n v="4"/>
    <m/>
    <n v="2"/>
    <n v="2"/>
    <n v="2"/>
    <m/>
    <m/>
    <n v="2"/>
    <n v="2"/>
    <n v="0"/>
    <n v="100"/>
    <n v="0"/>
    <n v="0"/>
    <n v="0"/>
    <n v="0"/>
    <n v="0"/>
    <n v="0"/>
    <n v="0"/>
    <n v="0"/>
    <n v="0"/>
    <n v="2"/>
    <n v="2"/>
    <n v="1"/>
    <n v="1"/>
    <n v="1"/>
    <x v="0"/>
    <n v="0"/>
    <n v="1"/>
    <n v="0"/>
  </r>
  <r>
    <s v="OV"/>
    <s v="Balasaheb Jadhav"/>
    <x v="106"/>
    <n v="0"/>
    <x v="100"/>
    <x v="110"/>
    <n v="45"/>
    <n v="1"/>
    <d v="2023-07-28T00:00:00"/>
    <d v="1899-12-30T11:30:00"/>
    <d v="2023-07-28T00:00:00"/>
    <d v="2023-07-29T00:00:00"/>
    <n v="7888249757"/>
    <m/>
    <n v="4"/>
    <n v="2"/>
    <n v="2"/>
    <n v="2"/>
    <n v="2"/>
    <n v="2"/>
    <n v="2"/>
    <n v="2"/>
    <n v="2"/>
    <n v="2"/>
    <n v="2"/>
    <m/>
    <n v="14.2"/>
    <n v="42.6"/>
    <n v="88.2"/>
    <n v="14.52"/>
    <n v="6.5"/>
    <n v="216"/>
    <n v="123.2"/>
    <n v="40"/>
    <n v="264"/>
    <n v="52.8"/>
    <m/>
    <m/>
    <m/>
    <m/>
    <s v="NHI in fronto-parietal region and left centrum semiovale"/>
    <m/>
    <m/>
    <m/>
    <m/>
    <m/>
    <m/>
    <m/>
    <m/>
    <m/>
    <n v="1"/>
    <n v="1"/>
    <n v="2"/>
    <m/>
    <m/>
    <m/>
    <m/>
    <n v="1"/>
    <n v="100"/>
    <m/>
    <m/>
    <m/>
    <m/>
    <m/>
    <m/>
    <m/>
    <n v="1"/>
    <n v="1"/>
    <n v="2"/>
    <n v="2"/>
    <n v="1"/>
    <n v="1"/>
    <n v="1"/>
    <x v="2"/>
    <n v="1"/>
    <n v="1"/>
    <n v="1"/>
  </r>
  <r>
    <m/>
    <s v="Dhondiba Rawade"/>
    <x v="11"/>
    <e v="#N/A"/>
    <x v="101"/>
    <x v="111"/>
    <n v="72"/>
    <n v="1"/>
    <d v="2024-03-09T00:00:00"/>
    <d v="1899-12-30T19:00:00"/>
    <d v="2024-03-10T00:00:00"/>
    <d v="2024-03-12T00:00:00"/>
    <n v="9370636474"/>
    <n v="9860266050"/>
    <n v="2"/>
    <n v="2"/>
    <n v="1"/>
    <n v="2"/>
    <n v="1"/>
    <n v="2"/>
    <n v="2"/>
    <n v="2"/>
    <n v="2"/>
    <n v="2"/>
    <n v="2"/>
    <m/>
    <n v="11.8"/>
    <n v="38.799999999999997"/>
    <n v="62.2"/>
    <n v="24.64"/>
    <n v="7.3"/>
    <n v="157"/>
    <n v="107.2"/>
    <n v="24"/>
    <n v="129"/>
    <n v="25.8"/>
    <n v="657"/>
    <m/>
    <m/>
    <m/>
    <s v="Right pre fronal acute infract"/>
    <m/>
    <s v="Normal"/>
    <m/>
    <n v="10"/>
    <n v="3"/>
    <n v="1"/>
    <n v="3"/>
    <n v="5"/>
    <m/>
    <n v="1"/>
    <n v="1"/>
    <n v="2"/>
    <m/>
    <m/>
    <n v="2"/>
    <n v="2"/>
    <n v="1"/>
    <n v="100"/>
    <n v="1"/>
    <n v="2"/>
    <n v="2"/>
    <n v="2"/>
    <n v="1"/>
    <n v="1"/>
    <n v="1"/>
    <m/>
    <m/>
    <m/>
    <m/>
    <m/>
    <m/>
    <m/>
    <x v="3"/>
    <n v="1"/>
    <n v="1"/>
    <n v="1"/>
  </r>
  <r>
    <s v="LJ"/>
    <s v="Madhavi Lardal"/>
    <x v="107"/>
    <n v="0"/>
    <x v="102"/>
    <x v="112"/>
    <n v="77"/>
    <n v="2"/>
    <d v="2023-07-12T00:00:00"/>
    <d v="1899-12-30T09:00:00"/>
    <d v="2023-07-17T00:00:00"/>
    <d v="2023-07-18T00:00:00"/>
    <m/>
    <m/>
    <n v="2"/>
    <n v="1"/>
    <n v="1"/>
    <n v="2"/>
    <n v="2"/>
    <n v="2"/>
    <n v="2"/>
    <n v="2"/>
    <n v="2"/>
    <n v="2"/>
    <n v="1"/>
    <m/>
    <n v="12.7"/>
    <n v="39.5"/>
    <n v="81.900000000000006"/>
    <n v="5.82"/>
    <m/>
    <n v="9.6999999999999993"/>
    <n v="76"/>
    <n v="27"/>
    <n v="165"/>
    <n v="33"/>
    <n v="2000"/>
    <m/>
    <m/>
    <m/>
    <s v="acute non hemorrhagic infarct in right frontal lobe rt parietal lobe , rt centrum semiovale and rt corona radiata, acute lunar infracts in rt caudate nucleus and rt periventricular white matter"/>
    <m/>
    <s v="Rt ICA supraclinical narrowing"/>
    <m/>
    <m/>
    <m/>
    <m/>
    <m/>
    <m/>
    <m/>
    <n v="1"/>
    <n v="2"/>
    <n v="2"/>
    <m/>
    <m/>
    <m/>
    <m/>
    <n v="0"/>
    <n v="100"/>
    <n v="1"/>
    <n v="2"/>
    <n v="2"/>
    <n v="2"/>
    <n v="1"/>
    <n v="1"/>
    <n v="1"/>
    <m/>
    <m/>
    <m/>
    <m/>
    <m/>
    <m/>
    <m/>
    <x v="3"/>
    <n v="1"/>
    <n v="1"/>
    <n v="1"/>
  </r>
  <r>
    <m/>
    <s v="singh devendra "/>
    <x v="26"/>
    <m/>
    <x v="103"/>
    <x v="26"/>
    <m/>
    <m/>
    <m/>
    <m/>
    <m/>
    <m/>
    <m/>
    <m/>
    <m/>
    <m/>
    <m/>
    <m/>
    <m/>
    <m/>
    <m/>
    <m/>
    <m/>
    <m/>
    <m/>
    <m/>
    <m/>
    <m/>
    <m/>
    <m/>
    <m/>
    <m/>
    <m/>
    <m/>
    <m/>
    <m/>
    <m/>
    <m/>
    <m/>
    <m/>
    <m/>
    <m/>
    <m/>
    <m/>
    <m/>
    <m/>
    <m/>
    <m/>
    <m/>
    <m/>
    <m/>
    <m/>
    <m/>
    <m/>
    <m/>
    <m/>
    <m/>
    <m/>
    <m/>
    <m/>
    <m/>
    <m/>
    <m/>
    <m/>
    <m/>
    <m/>
    <m/>
    <m/>
    <m/>
    <m/>
    <m/>
    <m/>
    <m/>
    <x v="6"/>
    <m/>
    <m/>
    <m/>
  </r>
  <r>
    <s v="LK"/>
    <s v="Dattatray Jadhav"/>
    <x v="108"/>
    <n v="0"/>
    <x v="104"/>
    <x v="113"/>
    <n v="69"/>
    <n v="1"/>
    <d v="2024-07-08T00:00:00"/>
    <d v="1899-12-30T14:00:00"/>
    <d v="2024-07-08T00:00:00"/>
    <d v="2024-07-11T00:00:00"/>
    <n v="7972586010"/>
    <m/>
    <n v="10"/>
    <n v="1"/>
    <n v="2"/>
    <n v="2"/>
    <n v="2"/>
    <n v="2"/>
    <n v="2"/>
    <n v="1"/>
    <n v="2"/>
    <n v="2"/>
    <n v="2"/>
    <m/>
    <n v="13.6"/>
    <n v="41.4"/>
    <n v="85"/>
    <n v="27.41"/>
    <n v="6.4"/>
    <n v="97"/>
    <n v="54.6"/>
    <n v="28"/>
    <n v="72"/>
    <n v="14.4"/>
    <n v="175"/>
    <n v="290"/>
    <m/>
    <m/>
    <s v="Right MCA infract"/>
    <m/>
    <s v="Right M2 distal occlusion inferior division"/>
    <m/>
    <n v="9"/>
    <n v="3"/>
    <n v="1"/>
    <n v="2"/>
    <n v="4"/>
    <m/>
    <n v="1"/>
    <n v="2"/>
    <n v="1"/>
    <m/>
    <n v="1"/>
    <n v="1"/>
    <n v="2"/>
    <n v="0"/>
    <m/>
    <n v="1"/>
    <n v="2"/>
    <n v="1"/>
    <n v="2"/>
    <n v="1"/>
    <n v="1"/>
    <n v="1"/>
    <n v="0"/>
    <n v="0"/>
    <n v="0"/>
    <n v="0"/>
    <n v="0"/>
    <n v="0"/>
    <n v="0"/>
    <x v="2"/>
    <n v="1"/>
    <n v="1"/>
    <n v="0"/>
  </r>
  <r>
    <s v="BM"/>
    <s v="Ambadas PAwar"/>
    <x v="109"/>
    <n v="0"/>
    <x v="105"/>
    <x v="114"/>
    <n v="45"/>
    <n v="1"/>
    <d v="2024-07-26T00:00:00"/>
    <d v="1899-12-30T00:00:00"/>
    <d v="2024-07-29T00:00:00"/>
    <d v="2024-07-31T00:00:00"/>
    <n v="7038165474"/>
    <m/>
    <n v="1"/>
    <n v="2"/>
    <n v="2"/>
    <n v="1"/>
    <n v="1"/>
    <n v="2"/>
    <n v="2"/>
    <n v="2"/>
    <n v="2"/>
    <n v="2"/>
    <n v="2"/>
    <m/>
    <n v="17.7"/>
    <m/>
    <n v="10.56"/>
    <n v="45.5"/>
    <n v="5.0999999999999996"/>
    <n v="190"/>
    <n v="103"/>
    <n v="28"/>
    <n v="293"/>
    <n v="58"/>
    <n v="35"/>
    <m/>
    <m/>
    <m/>
    <s v="Internal watershed infarct (Outside)"/>
    <m/>
    <s v="Rt ICA occlusion from origin"/>
    <m/>
    <n v="10"/>
    <n v="3"/>
    <n v="1"/>
    <n v="3"/>
    <n v="5"/>
    <m/>
    <n v="1"/>
    <n v="1"/>
    <n v="2"/>
    <m/>
    <m/>
    <n v="2"/>
    <n v="2"/>
    <n v="0"/>
    <n v="100"/>
    <n v="0"/>
    <n v="1"/>
    <n v="1"/>
    <n v="2"/>
    <n v="1"/>
    <n v="1"/>
    <n v="1"/>
    <n v="0"/>
    <n v="0"/>
    <n v="0"/>
    <n v="0"/>
    <n v="0"/>
    <n v="0"/>
    <n v="0"/>
    <x v="0"/>
    <n v="1"/>
    <n v="0"/>
    <n v="0"/>
  </r>
  <r>
    <s v="HM"/>
    <s v="Rajani Dahrashivkar"/>
    <x v="110"/>
    <n v="1"/>
    <x v="106"/>
    <x v="115"/>
    <n v="62"/>
    <n v="2"/>
    <d v="2024-04-13T00:00:00"/>
    <d v="1899-12-30T08:30:00"/>
    <d v="2024-04-13T00:00:00"/>
    <d v="2024-04-15T00:00:00"/>
    <n v="9922328960"/>
    <n v="9764824635"/>
    <n v="12"/>
    <n v="1"/>
    <n v="2"/>
    <n v="2"/>
    <n v="1"/>
    <n v="2"/>
    <n v="2"/>
    <n v="2"/>
    <n v="2"/>
    <n v="2"/>
    <n v="2"/>
    <s v="Kl c/o rheumatic arthitis"/>
    <n v="12.5"/>
    <n v="37.299999999999997"/>
    <n v="10.66"/>
    <n v="46.2"/>
    <n v="6.1"/>
    <n v="210"/>
    <n v="151.4"/>
    <n v="40"/>
    <n v="93"/>
    <n v="18.600000000000001"/>
    <n v="221"/>
    <m/>
    <m/>
    <m/>
    <s v="Right M1 infract"/>
    <m/>
    <s v="Right M1 segment of MCA narrowing "/>
    <m/>
    <n v="7"/>
    <n v="3"/>
    <n v="1"/>
    <n v="3"/>
    <n v="5"/>
    <m/>
    <n v="1"/>
    <n v="1"/>
    <n v="2"/>
    <m/>
    <m/>
    <n v="2"/>
    <n v="2"/>
    <n v="1"/>
    <n v="80"/>
    <n v="1"/>
    <n v="2"/>
    <n v="2"/>
    <n v="2"/>
    <n v="1"/>
    <n v="1"/>
    <n v="1"/>
    <n v="0"/>
    <n v="0"/>
    <n v="0"/>
    <n v="0"/>
    <n v="0"/>
    <n v="0"/>
    <n v="0"/>
    <x v="3"/>
    <n v="1"/>
    <n v="1"/>
    <n v="0"/>
  </r>
  <r>
    <s v="LL"/>
    <s v="Ashwini Tamhankar"/>
    <x v="111"/>
    <n v="0"/>
    <x v="107"/>
    <x v="116"/>
    <n v="75"/>
    <n v="2"/>
    <d v="2024-04-05T00:00:00"/>
    <m/>
    <d v="2024-04-05T00:00:00"/>
    <m/>
    <n v="9763800800"/>
    <m/>
    <m/>
    <n v="1"/>
    <n v="1"/>
    <n v="2"/>
    <n v="2"/>
    <n v="2"/>
    <n v="2"/>
    <n v="2"/>
    <n v="2"/>
    <n v="2"/>
    <n v="2"/>
    <s v="Hypothyrodism, lymphoepithelialcyst"/>
    <n v="11.7"/>
    <n v="37.299999999999997"/>
    <n v="65.400000000000006"/>
    <n v="18.29"/>
    <n v="10.3"/>
    <n v="206"/>
    <n v="144"/>
    <n v="35"/>
    <n v="135"/>
    <n v="27"/>
    <n v="444"/>
    <n v="27"/>
    <m/>
    <m/>
    <s v="Acute NHI in rt corona radiata temporal lobe and rt centrum semiovale and rt priventricular white matter."/>
    <m/>
    <m/>
    <m/>
    <m/>
    <m/>
    <m/>
    <m/>
    <m/>
    <m/>
    <n v="1"/>
    <n v="1"/>
    <n v="2"/>
    <m/>
    <m/>
    <n v="2"/>
    <n v="2"/>
    <n v="0"/>
    <n v="0"/>
    <n v="0"/>
    <n v="0"/>
    <n v="0"/>
    <n v="0"/>
    <n v="0"/>
    <n v="0"/>
    <n v="0"/>
    <n v="0"/>
    <n v="0"/>
    <n v="0"/>
    <n v="0"/>
    <n v="0"/>
    <n v="0"/>
    <n v="0"/>
    <x v="4"/>
    <n v="0"/>
    <n v="0"/>
    <n v="0"/>
  </r>
  <r>
    <s v="IM"/>
    <s v="Surekha Kale"/>
    <x v="112"/>
    <n v="1"/>
    <x v="108"/>
    <x v="117"/>
    <n v="56"/>
    <n v="2"/>
    <d v="2024-04-08T00:00:00"/>
    <d v="1899-12-30T12:00:00"/>
    <d v="2024-04-08T00:00:00"/>
    <d v="2024-04-09T00:00:00"/>
    <n v="8888724581"/>
    <m/>
    <n v="10"/>
    <n v="1"/>
    <n v="1"/>
    <n v="2"/>
    <n v="1"/>
    <n v="2"/>
    <n v="2"/>
    <n v="2"/>
    <n v="2"/>
    <n v="2"/>
    <n v="2"/>
    <m/>
    <n v="12.8"/>
    <n v="40.700000000000003"/>
    <n v="82.7"/>
    <n v="12.81"/>
    <n v="7"/>
    <n v="207"/>
    <n v="148"/>
    <n v="40"/>
    <n v="95"/>
    <n v="19"/>
    <n v="224"/>
    <n v="19"/>
    <m/>
    <m/>
    <s v="left reument artery of heubner infarct and left internal watershed infract"/>
    <m/>
    <s v="Acute NHI involving rt high frontal cortex, head of rt caudate nucleus and anterior part and putamen Atheroscleotic plaque causing complete luminal narrowing at the origin of the rt ICA non- visualised of the rt ICA rt MCA "/>
    <m/>
    <n v="8"/>
    <n v="3"/>
    <n v="1"/>
    <n v="3"/>
    <n v="4"/>
    <m/>
    <n v="1"/>
    <n v="1"/>
    <n v="2"/>
    <m/>
    <m/>
    <n v="2"/>
    <n v="2"/>
    <n v="0"/>
    <n v="95"/>
    <n v="0"/>
    <n v="0"/>
    <n v="0"/>
    <n v="0"/>
    <n v="0"/>
    <n v="0"/>
    <n v="0"/>
    <n v="1"/>
    <n v="2"/>
    <n v="2"/>
    <n v="2"/>
    <n v="1"/>
    <n v="1"/>
    <n v="1"/>
    <x v="3"/>
    <n v="1"/>
    <n v="0"/>
    <s v="Left CCA plaque"/>
  </r>
  <r>
    <s v="GC"/>
    <s v="Asha devgirikar"/>
    <x v="113"/>
    <n v="0"/>
    <x v="109"/>
    <x v="118"/>
    <n v="75"/>
    <n v="2"/>
    <d v="2024-11-20T00:00:00"/>
    <d v="1899-12-30T07:30:00"/>
    <d v="2024-11-20T00:00:00"/>
    <d v="2024-11-26T00:00:00"/>
    <m/>
    <m/>
    <n v="5"/>
    <n v="1"/>
    <n v="2"/>
    <n v="2"/>
    <n v="1"/>
    <n v="2"/>
    <n v="2"/>
    <n v="2"/>
    <n v="2"/>
    <n v="2"/>
    <n v="2"/>
    <m/>
    <n v="11.4"/>
    <m/>
    <m/>
    <n v="7.8"/>
    <n v="8.4"/>
    <n v="224"/>
    <n v="156"/>
    <n v="45"/>
    <n v="115"/>
    <n v="23"/>
    <n v="383"/>
    <m/>
    <m/>
    <m/>
    <s v="Rght ;enticulo striate infarct"/>
    <m/>
    <s v="Right V1 origin stenosis"/>
    <m/>
    <n v="10"/>
    <n v="3"/>
    <n v="1"/>
    <n v="3"/>
    <n v="5"/>
    <m/>
    <n v="1"/>
    <n v="1"/>
    <n v="1"/>
    <n v="1"/>
    <n v="4"/>
    <n v="2"/>
    <n v="2"/>
    <n v="0"/>
    <n v="95"/>
    <n v="1"/>
    <n v="2"/>
    <n v="2"/>
    <n v="2"/>
    <n v="1"/>
    <n v="1"/>
    <n v="1"/>
    <n v="0"/>
    <n v="0"/>
    <n v="0"/>
    <n v="0"/>
    <n v="0"/>
    <n v="0"/>
    <n v="0"/>
    <x v="3"/>
    <n v="1"/>
    <n v="1"/>
    <n v="1"/>
  </r>
  <r>
    <s v="HN"/>
    <s v="Pooja Patre"/>
    <x v="114"/>
    <n v="1"/>
    <x v="110"/>
    <x v="119"/>
    <n v="27"/>
    <n v="2"/>
    <d v="2023-08-27T00:00:00"/>
    <d v="1899-12-30T22:30:00"/>
    <d v="2023-08-27T00:00:00"/>
    <d v="2023-08-30T00:00:00"/>
    <n v="9371381501"/>
    <m/>
    <n v="6"/>
    <n v="2"/>
    <n v="2"/>
    <n v="2"/>
    <n v="2"/>
    <n v="2"/>
    <n v="2"/>
    <n v="2"/>
    <n v="2"/>
    <n v="2"/>
    <n v="2"/>
    <s v="Iron deficiency anemia, Hypothroid"/>
    <n v="9.6"/>
    <n v="31.4"/>
    <m/>
    <n v="11.35"/>
    <n v="5.3"/>
    <n v="125"/>
    <n v="66"/>
    <n v="34"/>
    <n v="121"/>
    <n v="24.2"/>
    <n v="201"/>
    <m/>
    <s v="S Iron- 27, TIBC-318, UIBC- 291, transferrin saturation-8.49"/>
    <m/>
    <s v="Right caudate and putamen acute infarct"/>
    <m/>
    <m/>
    <m/>
    <m/>
    <m/>
    <m/>
    <m/>
    <m/>
    <m/>
    <n v="1"/>
    <n v="2"/>
    <n v="1"/>
    <n v="1"/>
    <m/>
    <m/>
    <m/>
    <n v="0"/>
    <n v="100"/>
    <n v="1"/>
    <n v="2"/>
    <n v="2"/>
    <n v="2"/>
    <n v="1"/>
    <n v="1"/>
    <n v="1"/>
    <n v="0"/>
    <n v="0"/>
    <n v="0"/>
    <n v="0"/>
    <n v="0"/>
    <n v="0"/>
    <n v="0"/>
    <x v="3"/>
    <n v="1"/>
    <n v="1"/>
    <n v="0"/>
  </r>
  <r>
    <s v="LM"/>
    <s v="Shring Jadhav"/>
    <x v="115"/>
    <n v="0"/>
    <x v="111"/>
    <x v="120"/>
    <n v="62"/>
    <n v="1"/>
    <d v="2023-01-02T00:00:00"/>
    <m/>
    <d v="2023-12-04T00:00:00"/>
    <d v="2023-12-05T00:00:00"/>
    <n v="7588685004"/>
    <m/>
    <n v="5"/>
    <n v="2"/>
    <n v="1"/>
    <n v="2"/>
    <n v="2"/>
    <n v="2"/>
    <n v="2"/>
    <n v="2"/>
    <n v="2"/>
    <n v="2"/>
    <n v="2"/>
    <s v="Hyperhomocyteimia"/>
    <n v="14.5"/>
    <n v="43.1"/>
    <n v="91.1"/>
    <n v="31.31"/>
    <n v="6.8"/>
    <m/>
    <m/>
    <m/>
    <m/>
    <m/>
    <n v="171"/>
    <m/>
    <m/>
    <m/>
    <s v="Left internal watershed infract "/>
    <m/>
    <s v="Left ICA occlucled from origin Rt ICA supraclinoid stenosis present minimum basilar narrowing causing 40-50% luminal narrowing"/>
    <m/>
    <n v="9"/>
    <n v="5"/>
    <n v="1"/>
    <n v="3"/>
    <n v="5"/>
    <m/>
    <n v="1"/>
    <n v="1"/>
    <n v="2"/>
    <m/>
    <n v="4"/>
    <m/>
    <m/>
    <n v="1"/>
    <n v="95"/>
    <n v="0"/>
    <n v="0"/>
    <n v="0"/>
    <n v="0"/>
    <n v="0"/>
    <n v="0"/>
    <n v="0"/>
    <n v="0"/>
    <n v="0"/>
    <n v="0"/>
    <n v="0"/>
    <n v="0"/>
    <n v="0"/>
    <n v="0"/>
    <x v="4"/>
    <n v="0"/>
    <n v="0"/>
    <n v="0"/>
  </r>
  <r>
    <s v="HO"/>
    <s v="Madhav Landage"/>
    <x v="116"/>
    <n v="1"/>
    <x v="112"/>
    <x v="121"/>
    <n v="66"/>
    <n v="1"/>
    <d v="2023-08-10T00:00:00"/>
    <d v="1899-12-30T23:00:00"/>
    <d v="2023-08-12T00:00:00"/>
    <d v="2023-08-14T00:00:00"/>
    <n v="7350328794"/>
    <m/>
    <n v="1"/>
    <n v="1"/>
    <n v="1"/>
    <n v="2"/>
    <n v="2"/>
    <n v="2"/>
    <n v="2"/>
    <n v="2"/>
    <n v="2"/>
    <n v="2"/>
    <n v="2"/>
    <m/>
    <n v="11"/>
    <m/>
    <n v="33.799999999999997"/>
    <n v="82"/>
    <n v="9.8000000000000007"/>
    <n v="169"/>
    <n v="124.4"/>
    <n v="21"/>
    <n v="118"/>
    <n v="23.6"/>
    <n v="148"/>
    <m/>
    <m/>
    <m/>
    <s v="Left MCA / PCA watershed infract"/>
    <m/>
    <s v="Fetal origin left PCA. P1 segment left PCA hypoplastic"/>
    <m/>
    <m/>
    <m/>
    <m/>
    <m/>
    <m/>
    <m/>
    <n v="1"/>
    <n v="1"/>
    <n v="2"/>
    <m/>
    <m/>
    <m/>
    <m/>
    <n v="0"/>
    <n v="100"/>
    <n v="0"/>
    <n v="0"/>
    <n v="0"/>
    <n v="0"/>
    <n v="0"/>
    <n v="0"/>
    <n v="0"/>
    <n v="1"/>
    <n v="2"/>
    <n v="2"/>
    <n v="2"/>
    <n v="1"/>
    <n v="1"/>
    <n v="1"/>
    <x v="3"/>
    <n v="1"/>
    <n v="1"/>
    <n v="0"/>
  </r>
  <r>
    <s v="HP"/>
    <s v="Vimal B Khopade"/>
    <x v="117"/>
    <n v="1"/>
    <x v="113"/>
    <x v="122"/>
    <n v="72"/>
    <n v="2"/>
    <d v="2023-01-13T00:00:00"/>
    <d v="1899-12-30T01:15:00"/>
    <d v="2023-01-13T00:00:00"/>
    <d v="2023-01-17T00:00:00"/>
    <n v="7263919190"/>
    <m/>
    <n v="7"/>
    <m/>
    <m/>
    <m/>
    <m/>
    <m/>
    <m/>
    <m/>
    <m/>
    <m/>
    <m/>
    <s v="Hypothroid, Hyperhomocysteinemia, B12 Def "/>
    <n v="11.5"/>
    <n v="32.799999999999997"/>
    <n v="89"/>
    <n v="25"/>
    <n v="5.5"/>
    <m/>
    <m/>
    <m/>
    <m/>
    <m/>
    <n v="148"/>
    <m/>
    <m/>
    <m/>
    <s v="Right MCA infract (frontal) "/>
    <m/>
    <s v="B/L common carotid eccentric plaques 10-20% stenosis"/>
    <m/>
    <n v="9"/>
    <n v="3"/>
    <n v="1"/>
    <n v="3"/>
    <n v="5"/>
    <m/>
    <n v="1"/>
    <n v="1"/>
    <n v="1"/>
    <n v="1"/>
    <m/>
    <m/>
    <m/>
    <n v="3"/>
    <n v="60"/>
    <n v="1"/>
    <n v="2"/>
    <n v="2"/>
    <n v="2"/>
    <n v="1"/>
    <n v="1"/>
    <n v="1"/>
    <n v="0"/>
    <n v="0"/>
    <n v="0"/>
    <n v="0"/>
    <n v="0"/>
    <n v="0"/>
    <n v="0"/>
    <x v="3"/>
    <n v="1"/>
    <n v="1"/>
    <n v="0"/>
  </r>
  <r>
    <s v="FN"/>
    <s v="Hanumant Gaikwad"/>
    <x v="118"/>
    <n v="1"/>
    <x v="114"/>
    <x v="123"/>
    <n v="84"/>
    <n v="1"/>
    <d v="2024-03-08T00:00:00"/>
    <d v="1899-12-30T19:00:00"/>
    <d v="2024-03-08T00:00:00"/>
    <d v="2024-03-09T00:00:00"/>
    <n v="9762764356"/>
    <m/>
    <n v="7"/>
    <n v="1"/>
    <n v="2"/>
    <n v="2"/>
    <n v="2"/>
    <n v="2"/>
    <n v="2"/>
    <n v="2"/>
    <n v="2"/>
    <n v="2"/>
    <n v="2"/>
    <m/>
    <n v="13.1"/>
    <n v="37.799999999999997"/>
    <n v="90"/>
    <m/>
    <n v="5.5"/>
    <n v="229"/>
    <n v="162.6"/>
    <n v="35"/>
    <n v="157"/>
    <n v="31.4"/>
    <n v="421"/>
    <m/>
    <m/>
    <m/>
    <s v="Rt internal watershed, ACA-MCA, MCA-PCA watershed infracts"/>
    <m/>
    <s v="Rt ICA 99% stenosis and right M1 stenosis random occlusion"/>
    <m/>
    <n v="10"/>
    <n v="2"/>
    <n v="2"/>
    <n v="3"/>
    <n v="4"/>
    <m/>
    <n v="1"/>
    <n v="2"/>
    <n v="1"/>
    <n v="1"/>
    <m/>
    <n v="2"/>
    <n v="2"/>
    <n v="6"/>
    <n v="0"/>
    <n v="0"/>
    <n v="2"/>
    <n v="2"/>
    <n v="2"/>
    <n v="1"/>
    <n v="1"/>
    <n v="1"/>
    <n v="0"/>
    <n v="0"/>
    <n v="0"/>
    <n v="0"/>
    <n v="0"/>
    <n v="0"/>
    <n v="0"/>
    <x v="2"/>
    <n v="0"/>
    <n v="1"/>
    <n v="0"/>
  </r>
  <r>
    <s v="JK"/>
    <s v="Moni M Chakrawarti"/>
    <x v="119"/>
    <n v="1"/>
    <x v="115"/>
    <x v="124"/>
    <n v="61"/>
    <n v="2"/>
    <d v="2023-12-19T00:00:00"/>
    <d v="1899-12-30T07:00:00"/>
    <d v="2023-12-21T00:00:00"/>
    <d v="2023-12-28T00:00:00"/>
    <n v="9860267622"/>
    <m/>
    <n v="25"/>
    <n v="1"/>
    <n v="1"/>
    <n v="2"/>
    <n v="2"/>
    <n v="2"/>
    <n v="2"/>
    <n v="2"/>
    <n v="2"/>
    <n v="2"/>
    <n v="2"/>
    <s v="Hypothyroid, Hypokalemia ECGU waves"/>
    <n v="9.3000000000000007"/>
    <n v="28.4"/>
    <n v="82"/>
    <n v="14.96"/>
    <n v="6"/>
    <n v="221"/>
    <n v="156.80000000000001"/>
    <n v="29"/>
    <n v="176"/>
    <n v="35.200000000000003"/>
    <n v="352"/>
    <m/>
    <m/>
    <m/>
    <s v="B/L right&gt;left ganglia capsular infract"/>
    <m/>
    <s v="Stroke imaging is suggestive of acute NHI involving bilateral lentiform nuclei, centrum semiovale, corona radiata, right-posterior temporal loe and left occipital lobe, chronic small vessel ischemic changes with age related cerebral atrophy"/>
    <m/>
    <n v="7"/>
    <n v="3"/>
    <n v="1"/>
    <n v="3"/>
    <n v="5"/>
    <m/>
    <n v="2"/>
    <n v="2"/>
    <n v="2"/>
    <m/>
    <n v="2"/>
    <n v="2"/>
    <n v="2"/>
    <n v="6"/>
    <n v="0"/>
    <n v="1"/>
    <n v="2"/>
    <n v="2"/>
    <n v="2"/>
    <n v="1"/>
    <n v="1"/>
    <n v="1"/>
    <n v="0"/>
    <n v="0"/>
    <n v="0"/>
    <n v="0"/>
    <n v="0"/>
    <n v="0"/>
    <n v="0"/>
    <x v="3"/>
    <n v="1"/>
    <n v="1"/>
    <n v="0"/>
  </r>
  <r>
    <s v="JL"/>
    <s v="Madhukar A Kumavat "/>
    <x v="120"/>
    <n v="1"/>
    <x v="116"/>
    <x v="125"/>
    <n v="63"/>
    <n v="1"/>
    <m/>
    <m/>
    <d v="2023-07-01T00:00:00"/>
    <d v="2023-07-10T00:00:00"/>
    <n v="8208668443"/>
    <m/>
    <m/>
    <n v="2"/>
    <n v="2"/>
    <n v="2"/>
    <n v="2"/>
    <n v="2"/>
    <n v="2"/>
    <n v="2"/>
    <n v="2"/>
    <n v="2"/>
    <n v="2"/>
    <m/>
    <n v="9.8000000000000007"/>
    <n v="47"/>
    <n v="85.9"/>
    <n v="7.63"/>
    <n v="7"/>
    <m/>
    <m/>
    <m/>
    <m/>
    <m/>
    <n v="1777"/>
    <m/>
    <m/>
    <m/>
    <s v="Acute non- hemorrhagic infarcts in bilateral fronto parietal ventricular white matter"/>
    <m/>
    <m/>
    <m/>
    <m/>
    <m/>
    <m/>
    <m/>
    <m/>
    <m/>
    <n v="1"/>
    <n v="1"/>
    <n v="2"/>
    <m/>
    <m/>
    <m/>
    <m/>
    <n v="6"/>
    <m/>
    <n v="1"/>
    <n v="2"/>
    <n v="2"/>
    <n v="2"/>
    <n v="1"/>
    <n v="1"/>
    <n v="1"/>
    <n v="0"/>
    <n v="0"/>
    <n v="0"/>
    <n v="0"/>
    <n v="0"/>
    <n v="0"/>
    <n v="0"/>
    <x v="3"/>
    <n v="1"/>
    <n v="1"/>
    <n v="0"/>
  </r>
  <r>
    <s v="GA"/>
    <s v="Ramdas Bhosale "/>
    <x v="121"/>
    <n v="0"/>
    <x v="117"/>
    <x v="126"/>
    <n v="59"/>
    <n v="1"/>
    <d v="2024-11-15T00:00:00"/>
    <m/>
    <d v="2024-11-17T00:00:00"/>
    <d v="2024-11-19T00:00:00"/>
    <n v="8698291313"/>
    <m/>
    <n v="0"/>
    <n v="2"/>
    <n v="1"/>
    <n v="2"/>
    <n v="1"/>
    <n v="2"/>
    <n v="2"/>
    <n v="2"/>
    <n v="2"/>
    <n v="2"/>
    <n v="2"/>
    <m/>
    <n v="14.4"/>
    <m/>
    <m/>
    <m/>
    <n v="11.1"/>
    <n v="135"/>
    <n v="81.599999999999994"/>
    <n v="24"/>
    <n v="147"/>
    <n v="29.4"/>
    <m/>
    <m/>
    <m/>
    <m/>
    <s v="Right PCA MCA watershed infract "/>
    <m/>
    <s v="Rt terminal ICA stenosis and plaque"/>
    <m/>
    <n v="10"/>
    <n v="3"/>
    <n v="1"/>
    <n v="3"/>
    <n v="5"/>
    <m/>
    <n v="1"/>
    <n v="1"/>
    <n v="2"/>
    <m/>
    <n v="4"/>
    <n v="2"/>
    <n v="2"/>
    <m/>
    <m/>
    <n v="1"/>
    <n v="2"/>
    <n v="2"/>
    <n v="2"/>
    <n v="1"/>
    <n v="1"/>
    <n v="1"/>
    <n v="0"/>
    <n v="0"/>
    <n v="0"/>
    <n v="0"/>
    <n v="0"/>
    <n v="0"/>
    <n v="0"/>
    <x v="3"/>
    <n v="1"/>
    <n v="1"/>
    <n v="1"/>
  </r>
  <r>
    <s v="LN"/>
    <s v="Kantilal Kudale"/>
    <x v="122"/>
    <n v="0"/>
    <x v="118"/>
    <x v="127"/>
    <n v="74"/>
    <n v="1"/>
    <d v="2024-03-31T00:00:00"/>
    <m/>
    <d v="2024-04-02T00:00:00"/>
    <d v="2024-04-04T00:00:00"/>
    <n v="9011783896"/>
    <m/>
    <n v="15"/>
    <n v="1"/>
    <n v="1"/>
    <n v="2"/>
    <n v="2"/>
    <n v="2"/>
    <n v="2"/>
    <n v="2"/>
    <n v="2"/>
    <n v="2"/>
    <n v="2"/>
    <s v="Anemia"/>
    <n v="9.9"/>
    <n v="30.3"/>
    <n v="85.9"/>
    <n v="16.739999999999998"/>
    <n v="7.6"/>
    <n v="148"/>
    <n v="67.400000000000006"/>
    <n v="34"/>
    <n v="233"/>
    <n v="46.6"/>
    <n v="286"/>
    <m/>
    <m/>
    <m/>
    <s v="Left internal watershed infract acute Right MCA-PCA; MCA ACA old watershed infracts"/>
    <m/>
    <s v="Rt ICA 95% stenosis CT ICA 99% stenosis Rt vetebral artery 60-70% stenosis mild basilar 90% stenosis subcloning steal phenomenon"/>
    <m/>
    <n v="9"/>
    <n v="3"/>
    <n v="1"/>
    <n v="3"/>
    <n v="5"/>
    <m/>
    <n v="1"/>
    <n v="1"/>
    <n v="2"/>
    <m/>
    <m/>
    <n v="2"/>
    <n v="2"/>
    <n v="0"/>
    <n v="100"/>
    <n v="0"/>
    <n v="0"/>
    <n v="0"/>
    <n v="0"/>
    <n v="0"/>
    <n v="0"/>
    <n v="0"/>
    <n v="0"/>
    <n v="1"/>
    <n v="2"/>
    <n v="2"/>
    <n v="1"/>
    <n v="1"/>
    <n v="1"/>
    <x v="1"/>
    <n v="0"/>
    <n v="0"/>
    <n v="0"/>
  </r>
  <r>
    <s v="LO"/>
    <s v="Vinod Shinde"/>
    <x v="123"/>
    <n v="0"/>
    <x v="119"/>
    <x v="128"/>
    <n v="49"/>
    <n v="1"/>
    <d v="2024-01-12T00:00:00"/>
    <d v="1899-12-30T14:00:00"/>
    <d v="2024-01-12T00:00:00"/>
    <m/>
    <n v="7741942970"/>
    <n v="9850169909"/>
    <m/>
    <n v="1"/>
    <n v="1"/>
    <n v="1"/>
    <n v="2"/>
    <n v="2"/>
    <n v="2"/>
    <n v="2"/>
    <n v="2"/>
    <n v="2"/>
    <n v="2"/>
    <s v="H/o melena 15 days back"/>
    <n v="10.4"/>
    <n v="34.4"/>
    <n v="73.5"/>
    <n v="22.04"/>
    <n v="11.8"/>
    <n v="188"/>
    <n v="139"/>
    <n v="38"/>
    <n v="55"/>
    <n v="11"/>
    <n v="234"/>
    <n v="11"/>
    <m/>
    <m/>
    <s v="Hyper acute NHI in Rt fronto-parietal and rt occipital region "/>
    <m/>
    <s v="Mild atheroscerotic changes in aorta eccentric plaque is noted in mid part of Lt CCA causing ( 45-50%) narrowing Rt ICA 70% narrowing eccentric plaque noted for length of 16mm in rt cervical ICA distal. Mild atherosclerotic wall irregularity is noted in M1 and A1 segment of b/c MCA and CA "/>
    <m/>
    <n v="9"/>
    <n v="5"/>
    <n v="1"/>
    <n v="3"/>
    <n v="5"/>
    <m/>
    <n v="1"/>
    <n v="1"/>
    <n v="1"/>
    <n v="1"/>
    <m/>
    <m/>
    <m/>
    <n v="0"/>
    <n v="100"/>
    <n v="0"/>
    <n v="0"/>
    <n v="0"/>
    <n v="0"/>
    <n v="0"/>
    <n v="0"/>
    <n v="0"/>
    <n v="0"/>
    <n v="0"/>
    <n v="0"/>
    <n v="0"/>
    <n v="0"/>
    <n v="0"/>
    <n v="0"/>
    <x v="4"/>
    <n v="0"/>
    <n v="0"/>
    <n v="0"/>
  </r>
  <r>
    <s v="OQ"/>
    <s v="Malan Marajage "/>
    <x v="124"/>
    <n v="0"/>
    <x v="120"/>
    <x v="129"/>
    <n v="70"/>
    <n v="2"/>
    <d v="2024-06-28T00:00:00"/>
    <d v="1899-12-30T18:30:00"/>
    <d v="2024-06-29T00:00:00"/>
    <d v="2024-07-01T00:00:00"/>
    <n v="9975357000"/>
    <m/>
    <n v="0"/>
    <n v="1"/>
    <n v="2"/>
    <n v="2"/>
    <n v="1"/>
    <n v="2"/>
    <n v="2"/>
    <n v="2"/>
    <n v="2"/>
    <n v="2"/>
    <n v="2"/>
    <m/>
    <n v="12.6"/>
    <n v="38.1"/>
    <n v="84"/>
    <n v="20.7"/>
    <n v="6.1"/>
    <n v="193"/>
    <n v="115.8"/>
    <n v="38"/>
    <n v="196"/>
    <n v="39.200000000000003"/>
    <n v="169"/>
    <m/>
    <m/>
    <m/>
    <s v="Tiny left fronal infract"/>
    <m/>
    <s v="Left M1 stenosis CT angio not done"/>
    <m/>
    <n v="10"/>
    <m/>
    <m/>
    <m/>
    <m/>
    <m/>
    <n v="1"/>
    <n v="1"/>
    <n v="2"/>
    <m/>
    <m/>
    <n v="2"/>
    <n v="2"/>
    <n v="0"/>
    <n v="95"/>
    <n v="0"/>
    <n v="0"/>
    <n v="0"/>
    <n v="0"/>
    <n v="0"/>
    <n v="0"/>
    <n v="0"/>
    <n v="0"/>
    <n v="0"/>
    <n v="0"/>
    <n v="0"/>
    <n v="0"/>
    <n v="0"/>
    <n v="0"/>
    <x v="4"/>
    <n v="0"/>
    <n v="0"/>
    <n v="0"/>
  </r>
  <r>
    <s v="OQ"/>
    <s v="Malan Marajage "/>
    <x v="124"/>
    <n v="0"/>
    <x v="120"/>
    <x v="129"/>
    <n v="70"/>
    <n v="2"/>
    <d v="2024-06-28T00:00:00"/>
    <d v="1899-12-30T18:30:00"/>
    <d v="2024-06-29T00:00:00"/>
    <d v="2024-07-01T00:00:00"/>
    <n v="9975357000"/>
    <m/>
    <n v="0"/>
    <n v="1"/>
    <n v="2"/>
    <n v="2"/>
    <n v="1"/>
    <n v="2"/>
    <n v="2"/>
    <n v="2"/>
    <n v="2"/>
    <n v="2"/>
    <n v="2"/>
    <m/>
    <n v="12.6"/>
    <n v="38.1"/>
    <n v="84"/>
    <n v="20.7"/>
    <n v="6.1"/>
    <n v="193"/>
    <n v="115.8"/>
    <n v="38"/>
    <n v="196"/>
    <n v="39.200000000000003"/>
    <n v="169"/>
    <m/>
    <m/>
    <m/>
    <s v="Tiny left fronal infract"/>
    <m/>
    <s v="Left M1 stenosis CT angio not done"/>
    <m/>
    <n v="10"/>
    <m/>
    <m/>
    <m/>
    <m/>
    <m/>
    <n v="1"/>
    <n v="1"/>
    <n v="2"/>
    <m/>
    <m/>
    <n v="2"/>
    <n v="2"/>
    <n v="0"/>
    <n v="95"/>
    <n v="0"/>
    <n v="0"/>
    <n v="0"/>
    <n v="0"/>
    <n v="0"/>
    <n v="0"/>
    <n v="0"/>
    <n v="0"/>
    <n v="0"/>
    <n v="0"/>
    <n v="0"/>
    <n v="0"/>
    <n v="0"/>
    <n v="0"/>
    <x v="4"/>
    <n v="0"/>
    <n v="0"/>
    <n v="0"/>
  </r>
  <r>
    <s v="EL"/>
    <s v="Balasaheb Jadhav"/>
    <x v="125"/>
    <n v="1"/>
    <x v="121"/>
    <x v="130"/>
    <n v="85"/>
    <n v="1"/>
    <d v="2024-09-10T00:00:00"/>
    <d v="1899-12-30T05:00:00"/>
    <m/>
    <m/>
    <n v="9130111834"/>
    <m/>
    <n v="7"/>
    <n v="1"/>
    <n v="2"/>
    <n v="2"/>
    <n v="1"/>
    <n v="2"/>
    <n v="2"/>
    <n v="2"/>
    <n v="2"/>
    <n v="2"/>
    <n v="2"/>
    <s v="Wake up stroke LKW 09/09/2024 22:00"/>
    <m/>
    <m/>
    <m/>
    <m/>
    <m/>
    <m/>
    <m/>
    <m/>
    <m/>
    <m/>
    <m/>
    <m/>
    <m/>
    <m/>
    <s v="Acute infract Lt ACA MCA PCA watershed infract"/>
    <m/>
    <s v="Left carotid bulb 40% stenosis and origin of Left CCA 90% stenosis Rt ICA 70% stenosis"/>
    <m/>
    <n v="8"/>
    <n v="3"/>
    <n v="1"/>
    <n v="3"/>
    <n v="5"/>
    <m/>
    <n v="1"/>
    <n v="1"/>
    <n v="2"/>
    <m/>
    <n v="4"/>
    <n v="2"/>
    <n v="2"/>
    <n v="1"/>
    <n v="85"/>
    <n v="0"/>
    <n v="0"/>
    <n v="0"/>
    <n v="0"/>
    <n v="0"/>
    <n v="0"/>
    <n v="0"/>
    <n v="1"/>
    <n v="1"/>
    <n v="2"/>
    <n v="2"/>
    <n v="1"/>
    <n v="1"/>
    <n v="1"/>
    <x v="2"/>
    <n v="1"/>
    <n v="1"/>
    <n v="0"/>
  </r>
  <r>
    <s v="CO"/>
    <s v="Keshav Bhanage"/>
    <x v="126"/>
    <n v="1"/>
    <x v="122"/>
    <x v="131"/>
    <n v="80"/>
    <n v="1"/>
    <m/>
    <m/>
    <d v="2022-06-20T00:00:00"/>
    <s v="05-07-0222"/>
    <n v="9822894046"/>
    <m/>
    <n v="6"/>
    <n v="2"/>
    <n v="1"/>
    <n v="2"/>
    <n v="2"/>
    <n v="1"/>
    <n v="2"/>
    <n v="2"/>
    <n v="2"/>
    <n v="2"/>
    <n v="2"/>
    <s v="Covid 19 +ve 05/07/2022"/>
    <n v="13.2"/>
    <n v="41"/>
    <n v="92"/>
    <n v="43.6"/>
    <n v="10.6"/>
    <n v="177"/>
    <n v="100"/>
    <n v="35"/>
    <n v="210"/>
    <m/>
    <n v="148"/>
    <m/>
    <m/>
    <m/>
    <s v="Rt MCA infract Rt ICA calcified atherosclerotic changes 60% narrowing. Rt ventral artery 40% narrowing "/>
    <m/>
    <m/>
    <m/>
    <n v="7"/>
    <n v="3"/>
    <n v="1"/>
    <n v="3"/>
    <n v="5"/>
    <m/>
    <n v="1"/>
    <n v="1"/>
    <n v="2"/>
    <m/>
    <n v="4"/>
    <n v="2"/>
    <n v="2"/>
    <n v="1"/>
    <n v="95"/>
    <n v="0"/>
    <n v="2"/>
    <n v="2"/>
    <n v="2"/>
    <n v="1"/>
    <n v="0"/>
    <n v="1"/>
    <n v="0"/>
    <n v="0"/>
    <n v="0"/>
    <n v="0"/>
    <n v="0"/>
    <n v="0"/>
    <n v="0"/>
    <x v="1"/>
    <n v="1"/>
    <n v="1"/>
    <n v="0"/>
  </r>
  <r>
    <s v="LP"/>
    <s v="Rajendra Nabge"/>
    <x v="127"/>
    <n v="0"/>
    <x v="123"/>
    <x v="132"/>
    <n v="57"/>
    <n v="1"/>
    <d v="2023-05-10T00:00:00"/>
    <d v="1899-12-30T11:30:00"/>
    <d v="2023-05-10T00:00:00"/>
    <d v="2023-05-15T00:00:00"/>
    <n v="8983457887"/>
    <m/>
    <n v="4"/>
    <n v="1"/>
    <n v="1"/>
    <n v="2"/>
    <n v="2"/>
    <n v="2"/>
    <n v="2"/>
    <n v="2"/>
    <n v="2"/>
    <n v="2"/>
    <n v="2"/>
    <m/>
    <n v="16.600000000000001"/>
    <n v="48.6"/>
    <n v="94.1"/>
    <n v="18.02"/>
    <n v="7.4"/>
    <n v="238"/>
    <n v="10.35"/>
    <n v="23"/>
    <n v="596"/>
    <n v="113.8"/>
    <n v="215"/>
    <m/>
    <m/>
    <m/>
    <m/>
    <m/>
    <m/>
    <m/>
    <m/>
    <m/>
    <m/>
    <m/>
    <m/>
    <m/>
    <n v="1"/>
    <n v="2"/>
    <n v="1"/>
    <n v="1"/>
    <m/>
    <n v="2"/>
    <n v="2"/>
    <n v="2"/>
    <n v="90"/>
    <n v="0"/>
    <n v="0"/>
    <n v="0"/>
    <n v="0"/>
    <n v="0"/>
    <n v="0"/>
    <n v="0"/>
    <n v="0"/>
    <n v="0"/>
    <n v="0"/>
    <n v="0"/>
    <n v="0"/>
    <n v="0"/>
    <n v="0"/>
    <x v="4"/>
    <n v="0"/>
    <n v="0"/>
    <n v="0"/>
  </r>
  <r>
    <m/>
    <s v="Kumar  Mahasawade"/>
    <x v="11"/>
    <e v="#N/A"/>
    <x v="124"/>
    <x v="133"/>
    <n v="76"/>
    <n v="1"/>
    <d v="2024-09-15T00:00:00"/>
    <d v="1899-12-30T09:30:00"/>
    <d v="2024-09-15T00:00:00"/>
    <d v="2024-09-16T00:00:00"/>
    <n v="9623450225"/>
    <m/>
    <n v="3"/>
    <n v="1"/>
    <n v="2"/>
    <n v="2"/>
    <n v="2"/>
    <n v="2"/>
    <n v="2"/>
    <n v="2"/>
    <n v="2"/>
    <n v="2"/>
    <n v="1"/>
    <s v="Hashimotos Encephalopathy"/>
    <n v="14.9"/>
    <m/>
    <m/>
    <n v="11.5"/>
    <m/>
    <n v="105"/>
    <n v="42"/>
    <n v="42"/>
    <n v="102"/>
    <n v="20"/>
    <n v="1888"/>
    <m/>
    <s v="Ferritin 122"/>
    <m/>
    <s v="Rt caudate acute infract along motor and sensory cortex of Rt central sulcus and RT frontal lobe"/>
    <m/>
    <s v="Normal "/>
    <m/>
    <n v="9"/>
    <n v="3"/>
    <n v="1"/>
    <n v="3"/>
    <n v="5"/>
    <m/>
    <n v="1"/>
    <n v="2"/>
    <n v="2"/>
    <m/>
    <n v="4"/>
    <n v="2"/>
    <n v="2"/>
    <n v="0"/>
    <n v="100"/>
    <e v="#N/A"/>
    <e v="#N/A"/>
    <e v="#N/A"/>
    <m/>
    <m/>
    <m/>
    <m/>
    <m/>
    <m/>
    <m/>
    <m/>
    <m/>
    <m/>
    <m/>
    <x v="6"/>
    <m/>
    <m/>
    <m/>
  </r>
  <r>
    <s v="FR"/>
    <s v="Mrunal Sawant "/>
    <x v="128"/>
    <n v="1"/>
    <x v="125"/>
    <x v="134"/>
    <n v="49"/>
    <n v="2"/>
    <d v="2023-03-28T00:00:00"/>
    <d v="1899-12-30T21:00:00"/>
    <d v="2023-03-28T00:00:00"/>
    <d v="2023-04-10T00:00:00"/>
    <n v="7875730168"/>
    <m/>
    <n v="16"/>
    <m/>
    <m/>
    <m/>
    <m/>
    <m/>
    <m/>
    <m/>
    <m/>
    <m/>
    <m/>
    <s v="Metabolic syndrome, Hypothyroid"/>
    <n v="12.8"/>
    <n v="41"/>
    <n v="82"/>
    <n v="13"/>
    <n v="9.1999999999999993"/>
    <n v="247"/>
    <n v="193.6"/>
    <n v="40"/>
    <n v="67"/>
    <n v="13.4"/>
    <n v="149"/>
    <m/>
    <s v="T3- 0.39, T4- 5.88, TSH- 7.33"/>
    <m/>
    <s v="A/C infarct left PCIC and right putamen and Rt periventricular region "/>
    <m/>
    <s v="Mild paucity of cortical  branches Right MCA"/>
    <m/>
    <n v="8"/>
    <n v="4"/>
    <n v="1"/>
    <n v="3"/>
    <n v="5"/>
    <m/>
    <n v="1"/>
    <n v="1"/>
    <n v="1"/>
    <n v="1"/>
    <n v="4"/>
    <m/>
    <m/>
    <n v="6"/>
    <n v="0"/>
    <n v="1"/>
    <n v="2"/>
    <n v="2"/>
    <n v="2"/>
    <n v="1"/>
    <n v="0"/>
    <n v="1"/>
    <n v="0"/>
    <n v="0"/>
    <n v="0"/>
    <n v="0"/>
    <n v="0"/>
    <n v="0"/>
    <n v="0"/>
    <x v="2"/>
    <n v="1"/>
    <n v="1"/>
    <n v="0"/>
  </r>
  <r>
    <s v="JR"/>
    <s v="Akbar Bhagawan"/>
    <x v="129"/>
    <n v="0"/>
    <x v="126"/>
    <x v="135"/>
    <n v="43"/>
    <n v="1"/>
    <d v="2024-09-02T00:00:00"/>
    <d v="1899-12-30T08:15:00"/>
    <d v="2024-09-02T00:00:00"/>
    <d v="2024-09-16T00:00:00"/>
    <n v="9960441201"/>
    <m/>
    <n v="12"/>
    <n v="1"/>
    <n v="1"/>
    <n v="2"/>
    <n v="2"/>
    <n v="2"/>
    <n v="2"/>
    <n v="2"/>
    <n v="1"/>
    <n v="2"/>
    <n v="2"/>
    <s v="PTCA to LCX done on 29/08/2024,heart failuar EF 40%, poliomyelitis"/>
    <n v="10.5"/>
    <n v="32.700000000000003"/>
    <n v="79.400000000000006"/>
    <n v="10.77"/>
    <m/>
    <n v="190"/>
    <n v="135"/>
    <n v="25"/>
    <n v="150"/>
    <n v="30"/>
    <n v="259"/>
    <m/>
    <m/>
    <m/>
    <s v="Left MCA patchy infract"/>
    <m/>
    <s v="Left ICA occlusion from origin, reformation of cavernous ICA from MMA"/>
    <m/>
    <n v="9"/>
    <n v="2"/>
    <n v="1"/>
    <n v="3"/>
    <n v="4"/>
    <m/>
    <n v="1"/>
    <n v="1"/>
    <n v="2"/>
    <m/>
    <n v="4"/>
    <n v="2"/>
    <n v="2"/>
    <n v="6"/>
    <n v="0"/>
    <m/>
    <m/>
    <m/>
    <m/>
    <m/>
    <m/>
    <m/>
    <n v="0"/>
    <n v="1"/>
    <n v="2"/>
    <n v="2"/>
    <n v="1"/>
    <n v="1"/>
    <n v="1"/>
    <x v="1"/>
    <n v="0"/>
    <n v="1"/>
    <n v="0"/>
  </r>
  <r>
    <s v="AQ"/>
    <s v="Tabssum Kjan"/>
    <x v="130"/>
    <n v="1"/>
    <x v="127"/>
    <x v="136"/>
    <n v="26"/>
    <n v="2"/>
    <d v="2024-03-14T00:00:00"/>
    <d v="1899-12-30T13:00:00"/>
    <d v="2024-03-14T00:00:00"/>
    <d v="2024-03-19T00:00:00"/>
    <n v="9922687786"/>
    <n v="8888668595"/>
    <n v="11"/>
    <n v="2"/>
    <n v="2"/>
    <n v="2"/>
    <n v="2"/>
    <n v="2"/>
    <n v="2"/>
    <n v="2"/>
    <n v="2"/>
    <n v="2"/>
    <n v="2"/>
    <s v="Anemia"/>
    <n v="8.8000000000000007"/>
    <n v="29.3"/>
    <n v="67.8"/>
    <n v="5.0599999999999996"/>
    <n v="5.2"/>
    <n v="174"/>
    <n v="124.2"/>
    <n v="28"/>
    <n v="109"/>
    <n v="21.8"/>
    <n v="731"/>
    <m/>
    <s v="ESR- 6 CRP 4.8 "/>
    <m/>
    <s v="Left corona radiata and left puatamen acute infract"/>
    <m/>
    <s v="Left CCA occlused left ICA reformed by circle of willis Left M1 thrombus"/>
    <m/>
    <n v="10"/>
    <n v="5"/>
    <n v="1"/>
    <n v="3"/>
    <n v="5"/>
    <m/>
    <n v="1"/>
    <n v="1"/>
    <n v="1"/>
    <m/>
    <n v="4"/>
    <m/>
    <n v="2"/>
    <n v="0"/>
    <n v="100"/>
    <n v="0"/>
    <n v="0"/>
    <n v="0"/>
    <n v="0"/>
    <n v="0"/>
    <n v="0"/>
    <n v="0"/>
    <n v="1"/>
    <n v="2"/>
    <n v="0"/>
    <n v="0"/>
    <n v="0"/>
    <n v="0"/>
    <n v="1"/>
    <x v="10"/>
    <n v="0"/>
    <n v="1"/>
    <s v="Lt CCA origin thrombus"/>
  </r>
  <r>
    <s v="LQ"/>
    <s v="Sindhu Sonawane"/>
    <x v="131"/>
    <n v="0"/>
    <x v="128"/>
    <x v="137"/>
    <n v="65"/>
    <n v="2"/>
    <d v="2024-01-28T00:00:00"/>
    <d v="1899-12-30T11:30:00"/>
    <d v="2024-01-28T00:00:00"/>
    <m/>
    <n v="9881642502"/>
    <n v="7058256094"/>
    <n v="2"/>
    <n v="2"/>
    <n v="2"/>
    <n v="2"/>
    <n v="1"/>
    <n v="2"/>
    <n v="2"/>
    <n v="2"/>
    <n v="2"/>
    <n v="2"/>
    <n v="2"/>
    <m/>
    <n v="12.6"/>
    <n v="38.299999999999997"/>
    <n v="88.9"/>
    <n v="24.12"/>
    <n v="5.0999999999999996"/>
    <m/>
    <m/>
    <m/>
    <m/>
    <m/>
    <n v="148"/>
    <m/>
    <m/>
    <m/>
    <s v="Right caudate and putamen infract and Rt GC region "/>
    <m/>
    <s v="No report found "/>
    <m/>
    <n v="10"/>
    <n v="5"/>
    <n v="1"/>
    <n v="3"/>
    <m/>
    <m/>
    <n v="2"/>
    <n v="2"/>
    <n v="2"/>
    <m/>
    <m/>
    <n v="2"/>
    <n v="2"/>
    <n v="0"/>
    <n v="90"/>
    <n v="0"/>
    <n v="0"/>
    <n v="0"/>
    <n v="0"/>
    <n v="0"/>
    <n v="0"/>
    <n v="0"/>
    <n v="0"/>
    <n v="0"/>
    <n v="0"/>
    <n v="0"/>
    <n v="0"/>
    <n v="0"/>
    <n v="0"/>
    <x v="4"/>
    <n v="0"/>
    <n v="0"/>
    <n v="0"/>
  </r>
  <r>
    <s v="LR"/>
    <s v="Kishor Deshmukh"/>
    <x v="132"/>
    <n v="0"/>
    <x v="129"/>
    <x v="138"/>
    <n v="59"/>
    <n v="1"/>
    <d v="2024-03-26T00:00:00"/>
    <m/>
    <d v="2024-03-28T00:00:00"/>
    <m/>
    <n v="9325593827"/>
    <m/>
    <n v="1"/>
    <n v="1"/>
    <n v="1"/>
    <n v="1"/>
    <n v="2"/>
    <n v="1"/>
    <n v="2"/>
    <n v="2"/>
    <n v="2"/>
    <n v="2"/>
    <n v="2"/>
    <m/>
    <n v="13.8"/>
    <n v="42.3"/>
    <n v="85.6"/>
    <n v="17.78"/>
    <n v="12.4"/>
    <n v="195"/>
    <n v="55"/>
    <n v="40"/>
    <n v="500"/>
    <n v="100"/>
    <n v="239"/>
    <m/>
    <m/>
    <m/>
    <s v="Left Internal watershed infract"/>
    <m/>
    <s v="Left ICA &gt;90% stenosis and left supraclinoid ICA minimal stenosis"/>
    <m/>
    <n v="10"/>
    <n v="5"/>
    <n v="1"/>
    <n v="3"/>
    <n v="5"/>
    <m/>
    <n v="1"/>
    <n v="1"/>
    <n v="2"/>
    <m/>
    <n v="4"/>
    <n v="2"/>
    <n v="2"/>
    <n v="0"/>
    <n v="100"/>
    <n v="0"/>
    <n v="0"/>
    <n v="0"/>
    <n v="0"/>
    <n v="0"/>
    <n v="0"/>
    <n v="0"/>
    <n v="1"/>
    <n v="2"/>
    <n v="2"/>
    <n v="2"/>
    <n v="1"/>
    <n v="1"/>
    <n v="1"/>
    <x v="3"/>
    <n v="0"/>
    <n v="1"/>
    <s v="Left CCA plaque"/>
  </r>
  <r>
    <s v="LS"/>
    <s v="Subhadra Baradkar"/>
    <x v="133"/>
    <n v="0"/>
    <x v="130"/>
    <x v="139"/>
    <n v="60"/>
    <n v="2"/>
    <d v="2024-03-02T00:00:00"/>
    <d v="1899-12-30T16:00:00"/>
    <d v="2024-03-04T00:00:00"/>
    <m/>
    <n v="9881840100"/>
    <n v="7020886028"/>
    <n v="2"/>
    <n v="1"/>
    <n v="2"/>
    <n v="2"/>
    <n v="2"/>
    <n v="2"/>
    <n v="2"/>
    <n v="2"/>
    <n v="2"/>
    <n v="2"/>
    <n v="2"/>
    <m/>
    <n v="10.199999999999999"/>
    <n v="31"/>
    <n v="91.1"/>
    <n v="76.25"/>
    <m/>
    <n v="165"/>
    <n v="92"/>
    <n v="64"/>
    <n v="45"/>
    <n v="9"/>
    <n v="2000"/>
    <m/>
    <m/>
    <m/>
    <s v="Right high frontal and left MCA-PCA watershed infract"/>
    <m/>
    <s v="Normal"/>
    <m/>
    <n v="9"/>
    <n v="3"/>
    <n v="1"/>
    <n v="3"/>
    <m/>
    <m/>
    <n v="1"/>
    <n v="1"/>
    <n v="2"/>
    <m/>
    <m/>
    <n v="2"/>
    <n v="2"/>
    <n v="0"/>
    <n v="95"/>
    <n v="0"/>
    <n v="0"/>
    <n v="0"/>
    <n v="0"/>
    <n v="0"/>
    <n v="0"/>
    <n v="0"/>
    <n v="0"/>
    <n v="0"/>
    <n v="0"/>
    <n v="0"/>
    <n v="0"/>
    <n v="0"/>
    <n v="0"/>
    <x v="4"/>
    <n v="0"/>
    <n v="0"/>
    <n v="0"/>
  </r>
  <r>
    <s v="OO"/>
    <s v="Hirabai Sonawane"/>
    <x v="134"/>
    <n v="0"/>
    <x v="131"/>
    <x v="140"/>
    <n v="80"/>
    <n v="2"/>
    <d v="2024-09-12T00:00:00"/>
    <m/>
    <d v="2024-09-12T00:00:00"/>
    <d v="2024-09-13T00:00:00"/>
    <n v="7387427265"/>
    <m/>
    <n v="13"/>
    <n v="1"/>
    <n v="2"/>
    <n v="2"/>
    <n v="2"/>
    <n v="2"/>
    <n v="2"/>
    <n v="2"/>
    <n v="2"/>
    <n v="2"/>
    <n v="2"/>
    <s v="COPD, onset 6 days back 08/09/2024"/>
    <m/>
    <m/>
    <m/>
    <n v="10.3"/>
    <m/>
    <n v="197"/>
    <n v="130.80000000000001"/>
    <n v="43"/>
    <n v="116"/>
    <n v="23.2"/>
    <n v="162"/>
    <m/>
    <s v="ESR 10,CRP 2.8"/>
    <m/>
    <s v="Left PCA MCA watershed infract"/>
    <m/>
    <s v="MRA Left PCA stenosis"/>
    <m/>
    <m/>
    <m/>
    <m/>
    <m/>
    <m/>
    <m/>
    <n v="1"/>
    <n v="1"/>
    <n v="2"/>
    <m/>
    <n v="4"/>
    <n v="2"/>
    <n v="2"/>
    <n v="4"/>
    <n v="50"/>
    <n v="0"/>
    <n v="0"/>
    <n v="0"/>
    <n v="0"/>
    <n v="0"/>
    <n v="0"/>
    <n v="0"/>
    <n v="0"/>
    <n v="0"/>
    <n v="0"/>
    <n v="0"/>
    <n v="0"/>
    <n v="0"/>
    <n v="0"/>
    <x v="4"/>
    <n v="0"/>
    <n v="0"/>
    <n v="0"/>
  </r>
  <r>
    <s v="DT"/>
    <s v="Santosh Indurkar"/>
    <x v="135"/>
    <n v="1"/>
    <x v="132"/>
    <x v="141"/>
    <n v="72"/>
    <n v="1"/>
    <d v="2023-08-18T00:00:00"/>
    <d v="1899-12-30T08:30:00"/>
    <d v="2023-08-18T00:00:00"/>
    <d v="2023-08-21T00:00:00"/>
    <n v="9890513032"/>
    <m/>
    <n v="2"/>
    <n v="1"/>
    <n v="2"/>
    <n v="1"/>
    <n v="2"/>
    <n v="2"/>
    <n v="2"/>
    <n v="2"/>
    <n v="2"/>
    <n v="2"/>
    <n v="1"/>
    <s v="Fever since 1 week "/>
    <n v="12.1"/>
    <m/>
    <m/>
    <n v="15.44"/>
    <m/>
    <n v="203"/>
    <n v="145.4"/>
    <n v="28"/>
    <n v="148"/>
    <m/>
    <n v="476"/>
    <m/>
    <s v="Fever since 1 week"/>
    <m/>
    <s v="Acute NHI in left frontal lobe, left centrum semiovale and left corona radiata "/>
    <m/>
    <s v="Eccentric hypodense thrombotic plaque involving left carotid bulb without significant luminal compromise Atherosclerotic calcification involving carvenous segments of both ICA both proximal MCAs and PCAS cartical branches of both MCAs"/>
    <m/>
    <m/>
    <m/>
    <m/>
    <m/>
    <m/>
    <m/>
    <n v="1"/>
    <n v="1"/>
    <n v="2"/>
    <m/>
    <m/>
    <m/>
    <m/>
    <n v="1"/>
    <n v="95"/>
    <n v="0"/>
    <n v="0"/>
    <n v="0"/>
    <n v="0"/>
    <n v="0"/>
    <n v="0"/>
    <n v="0"/>
    <n v="1"/>
    <n v="1"/>
    <n v="2"/>
    <n v="2"/>
    <n v="1"/>
    <n v="1"/>
    <n v="1"/>
    <x v="2"/>
    <n v="1"/>
    <n v="1"/>
    <s v="Lt CCA terminal plaque"/>
  </r>
  <r>
    <s v="CD"/>
    <s v="Shanta Vishal Sose"/>
    <x v="136"/>
    <n v="1"/>
    <x v="133"/>
    <x v="142"/>
    <n v="64"/>
    <n v="2"/>
    <d v="2023-01-06T00:00:00"/>
    <d v="1899-12-30T11:00:00"/>
    <d v="2023-01-08T00:00:00"/>
    <d v="2023-01-12T00:00:00"/>
    <n v="8208450620"/>
    <m/>
    <m/>
    <n v="1"/>
    <n v="1"/>
    <n v="2"/>
    <n v="2"/>
    <n v="2"/>
    <n v="2"/>
    <n v="2"/>
    <n v="1"/>
    <n v="2"/>
    <n v="2"/>
    <m/>
    <n v="9.6999999999999993"/>
    <n v="31.7"/>
    <n v="84.7"/>
    <n v="29.9"/>
    <n v="11.2"/>
    <m/>
    <m/>
    <m/>
    <m/>
    <m/>
    <n v="260"/>
    <m/>
    <m/>
    <m/>
    <s v=" A/C infarct in fronto parieto occipital region left centrum semiovale and corona radiata"/>
    <m/>
    <s v="Mixed hypodense and calcified atherisclerotic plaques involving covernus segments of both kots causing irregularity and narrowing ( Rt &gt;left). paucity of cortical branches of both MCAs. Rt A1 segments of ACA appears hypoplastic. "/>
    <m/>
    <m/>
    <m/>
    <m/>
    <m/>
    <m/>
    <m/>
    <n v="1"/>
    <n v="1"/>
    <n v="2"/>
    <m/>
    <n v="4"/>
    <m/>
    <m/>
    <n v="4"/>
    <n v="50"/>
    <n v="0"/>
    <n v="0"/>
    <n v="0"/>
    <n v="0"/>
    <n v="0"/>
    <n v="0"/>
    <n v="0"/>
    <n v="0"/>
    <n v="1"/>
    <n v="2"/>
    <n v="2"/>
    <n v="1"/>
    <n v="1"/>
    <n v="1"/>
    <x v="1"/>
    <n v="1"/>
    <n v="1"/>
    <n v="0"/>
  </r>
  <r>
    <s v="FM"/>
    <s v="Pradeep Chawa"/>
    <x v="137"/>
    <n v="1"/>
    <x v="134"/>
    <x v="143"/>
    <n v="66"/>
    <n v="1"/>
    <d v="2023-04-12T00:00:00"/>
    <d v="1899-12-30T20:30:00"/>
    <d v="2023-04-12T00:00:00"/>
    <d v="2023-04-13T00:00:00"/>
    <n v="9850068182"/>
    <n v="8055509303"/>
    <m/>
    <n v="1"/>
    <n v="2"/>
    <n v="2"/>
    <n v="2"/>
    <n v="2"/>
    <n v="2"/>
    <n v="2"/>
    <n v="2"/>
    <n v="2"/>
    <n v="2"/>
    <s v="scar epilepsy: 2014"/>
    <n v="15.2"/>
    <n v="43.6"/>
    <n v="90"/>
    <n v="14"/>
    <n v="5.5"/>
    <n v="164"/>
    <n v="106"/>
    <n v="40"/>
    <n v="87"/>
    <n v="17"/>
    <n v="222"/>
    <m/>
    <m/>
    <m/>
    <s v="A/c infract right tempoparrital region and left cerebellar hemisphere "/>
    <m/>
    <s v="Atherosclerotic calcified plaques in carvenous and supraclinical segment of both ICAs. paucity of cortical branches of both MCAs. mild narrowing of M2 segment of CAMCA. left VA is hypoplastic, non opacification of V3 and proximal V1 segment of left CA. cacified plaque mid left V4 segment with reformation of distal left V4"/>
    <m/>
    <m/>
    <m/>
    <m/>
    <m/>
    <m/>
    <m/>
    <n v="1"/>
    <n v="1"/>
    <n v="2"/>
    <m/>
    <m/>
    <n v="2"/>
    <n v="2"/>
    <n v="1"/>
    <n v="100"/>
    <n v="1"/>
    <n v="1"/>
    <n v="2"/>
    <n v="2"/>
    <n v="1"/>
    <n v="1"/>
    <n v="1"/>
    <n v="0"/>
    <n v="0"/>
    <n v="0"/>
    <n v="0"/>
    <n v="0"/>
    <n v="0"/>
    <n v="0"/>
    <x v="2"/>
    <n v="1"/>
    <n v="1"/>
    <s v="Bilateral CCA plaque"/>
  </r>
  <r>
    <m/>
    <s v="Asha Kamble"/>
    <x v="11"/>
    <e v="#N/A"/>
    <x v="135"/>
    <x v="26"/>
    <n v="41"/>
    <n v="2"/>
    <d v="2023-09-27T00:00:00"/>
    <d v="1899-12-30T04:30:00"/>
    <d v="2023-09-28T00:00:00"/>
    <d v="2023-09-30T00:00:00"/>
    <n v="8412019701"/>
    <m/>
    <n v="8"/>
    <n v="1"/>
    <n v="1"/>
    <n v="2"/>
    <n v="1"/>
    <n v="2"/>
    <n v="2"/>
    <n v="2"/>
    <n v="2"/>
    <n v="2"/>
    <n v="2"/>
    <s v="Anemia - Iron deficiency "/>
    <n v="9.1"/>
    <m/>
    <m/>
    <n v="11.93"/>
    <n v="9.4"/>
    <n v="222"/>
    <n v="144.80000000000001"/>
    <n v="51"/>
    <n v="131"/>
    <n v="26"/>
    <n v="1942"/>
    <m/>
    <s v="Ferritin- 9.88, S Iron-21, S UIBC- 345, TIBC- 366, Transferrin saturation-5.73%"/>
    <m/>
    <s v="A/NHI Lt internal watershed and Rt frontal lobe infarct"/>
    <m/>
    <m/>
    <m/>
    <m/>
    <m/>
    <m/>
    <m/>
    <m/>
    <m/>
    <n v="1"/>
    <n v="1"/>
    <n v="2"/>
    <m/>
    <n v="4"/>
    <m/>
    <m/>
    <n v="0"/>
    <n v="95"/>
    <e v="#N/A"/>
    <e v="#N/A"/>
    <e v="#N/A"/>
    <m/>
    <m/>
    <m/>
    <m/>
    <m/>
    <m/>
    <m/>
    <m/>
    <m/>
    <m/>
    <m/>
    <x v="4"/>
    <m/>
    <m/>
    <m/>
  </r>
  <r>
    <s v="LW"/>
    <s v="Nursing S. Shinde"/>
    <x v="138"/>
    <n v="0"/>
    <x v="136"/>
    <x v="144"/>
    <n v="36"/>
    <n v="1"/>
    <d v="2023-08-17T00:00:00"/>
    <m/>
    <d v="2023-08-17T00:00:00"/>
    <d v="2023-08-18T00:00:00"/>
    <n v="7875611954"/>
    <m/>
    <n v="2"/>
    <n v="2"/>
    <n v="1"/>
    <n v="2"/>
    <n v="2"/>
    <n v="2"/>
    <n v="1"/>
    <n v="2"/>
    <n v="2"/>
    <n v="2"/>
    <n v="1"/>
    <m/>
    <n v="17"/>
    <m/>
    <m/>
    <n v="26"/>
    <n v="9.6"/>
    <n v="252"/>
    <n v="163"/>
    <n v="44"/>
    <n v="223"/>
    <n v="44.6"/>
    <n v="148"/>
    <n v="111"/>
    <s v="CSF- glucose-122, protein- 31, cells- 2(L), ESR-2, CPR-"/>
    <m/>
    <s v="Left caudate nucleus, Lt putamen, Lt frontal infract"/>
    <m/>
    <s v="M1 Lt MCA and A1 segment of Lt ACA are irregular paucity of the branches in Lt MCA seen. Left MCA occluded with distal reformation. Hypodense intimal flap seen on postero lateral wall of left ICA dissection."/>
    <m/>
    <m/>
    <m/>
    <m/>
    <m/>
    <m/>
    <m/>
    <n v="1"/>
    <n v="1"/>
    <n v="2"/>
    <m/>
    <n v="4"/>
    <m/>
    <m/>
    <n v="1"/>
    <n v="100"/>
    <n v="0"/>
    <n v="0"/>
    <n v="0"/>
    <n v="0"/>
    <n v="0"/>
    <n v="0"/>
    <n v="0"/>
    <n v="0"/>
    <n v="0"/>
    <n v="0"/>
    <n v="0"/>
    <n v="0"/>
    <n v="0"/>
    <n v="0"/>
    <x v="11"/>
    <n v="0"/>
    <n v="0"/>
    <n v="0"/>
  </r>
  <r>
    <m/>
    <s v="Dhde suman"/>
    <x v="26"/>
    <m/>
    <x v="137"/>
    <x v="26"/>
    <m/>
    <m/>
    <m/>
    <m/>
    <m/>
    <m/>
    <m/>
    <m/>
    <m/>
    <m/>
    <m/>
    <m/>
    <m/>
    <m/>
    <m/>
    <m/>
    <m/>
    <m/>
    <m/>
    <m/>
    <m/>
    <m/>
    <m/>
    <m/>
    <m/>
    <m/>
    <m/>
    <m/>
    <m/>
    <m/>
    <m/>
    <m/>
    <m/>
    <m/>
    <s v="Bilateral (Rt&gt;Lt) internal watershed infarcts"/>
    <s v="R&gt;Lt"/>
    <m/>
    <m/>
    <m/>
    <m/>
    <m/>
    <m/>
    <m/>
    <m/>
    <m/>
    <m/>
    <m/>
    <m/>
    <m/>
    <m/>
    <m/>
    <m/>
    <m/>
    <m/>
    <m/>
    <m/>
    <m/>
    <m/>
    <m/>
    <m/>
    <m/>
    <m/>
    <m/>
    <m/>
    <m/>
    <m/>
    <m/>
    <x v="6"/>
    <m/>
    <m/>
    <m/>
  </r>
  <r>
    <s v="LX"/>
    <s v="Bhagavati Rathod"/>
    <x v="139"/>
    <n v="0"/>
    <x v="138"/>
    <x v="145"/>
    <n v="69"/>
    <n v="2"/>
    <d v="2024-04-14T00:00:00"/>
    <d v="1899-12-30T21:00:00"/>
    <d v="2024-04-27T00:00:00"/>
    <d v="2024-05-01T00:00:00"/>
    <n v="8421477977"/>
    <m/>
    <n v="16"/>
    <n v="2"/>
    <n v="2"/>
    <n v="2"/>
    <n v="2"/>
    <n v="2"/>
    <n v="2"/>
    <n v="2"/>
    <n v="2"/>
    <n v="2"/>
    <n v="2"/>
    <m/>
    <n v="11.5"/>
    <n v="36"/>
    <n v="91.2"/>
    <n v="4.91"/>
    <m/>
    <n v="186"/>
    <m/>
    <m/>
    <m/>
    <m/>
    <n v="2000"/>
    <m/>
    <m/>
    <m/>
    <s v="Sub acute infract left MCA teritory "/>
    <m/>
    <s v="Thrombosis of M2 segment left MCA"/>
    <m/>
    <n v="10"/>
    <n v="3"/>
    <n v="1"/>
    <n v="3"/>
    <n v="5"/>
    <m/>
    <n v="1"/>
    <n v="1"/>
    <n v="2"/>
    <m/>
    <m/>
    <n v="2"/>
    <n v="2"/>
    <n v="0"/>
    <n v="95"/>
    <n v="0"/>
    <n v="0"/>
    <n v="0"/>
    <n v="0"/>
    <n v="0"/>
    <n v="0"/>
    <n v="0"/>
    <n v="0"/>
    <n v="0"/>
    <n v="0"/>
    <n v="0"/>
    <n v="0"/>
    <n v="0"/>
    <n v="0"/>
    <x v="4"/>
    <n v="0"/>
    <n v="0"/>
    <n v="0"/>
  </r>
  <r>
    <s v="BU"/>
    <s v="Y. S Ramamurthy"/>
    <x v="140"/>
    <n v="0"/>
    <x v="139"/>
    <x v="146"/>
    <n v="89"/>
    <n v="1"/>
    <d v="2024-10-10T00:00:00"/>
    <d v="1899-12-30T19:00:00"/>
    <d v="2024-10-11T00:00:00"/>
    <d v="2024-10-14T00:00:00"/>
    <n v="7020380692"/>
    <m/>
    <n v="5"/>
    <n v="1"/>
    <n v="2"/>
    <n v="2"/>
    <n v="2"/>
    <n v="2"/>
    <n v="2"/>
    <n v="2"/>
    <n v="2"/>
    <n v="2"/>
    <n v="2"/>
    <s v="Hypothrodism , BPH, ECG sinus arhythmia "/>
    <n v="13.5"/>
    <m/>
    <m/>
    <n v="13.5"/>
    <m/>
    <n v="131"/>
    <n v="78"/>
    <n v="41"/>
    <n v="60"/>
    <n v="12"/>
    <m/>
    <m/>
    <m/>
    <m/>
    <s v="Rt MCA PCA, rt MCA  ACA watershed infract "/>
    <m/>
    <s v="Rt ICA 99% stenosis, left vertrbral artery origin stenosis "/>
    <m/>
    <m/>
    <m/>
    <m/>
    <m/>
    <m/>
    <m/>
    <n v="1"/>
    <n v="1"/>
    <n v="2"/>
    <m/>
    <n v="4"/>
    <n v="2"/>
    <n v="2"/>
    <m/>
    <m/>
    <n v="0"/>
    <n v="1"/>
    <n v="2"/>
    <n v="2"/>
    <n v="1"/>
    <n v="1"/>
    <n v="1"/>
    <n v="0"/>
    <n v="0"/>
    <n v="0"/>
    <n v="0"/>
    <n v="0"/>
    <n v="0"/>
    <n v="0"/>
    <x v="1"/>
    <n v="1"/>
    <n v="0"/>
    <s v="Rt CCA plaques"/>
  </r>
  <r>
    <s v="DU"/>
    <s v="Sattyawan Taro"/>
    <x v="141"/>
    <n v="1"/>
    <x v="140"/>
    <x v="147"/>
    <n v="56"/>
    <n v="1"/>
    <m/>
    <m/>
    <d v="2023-02-21T00:00:00"/>
    <m/>
    <n v="8975275847"/>
    <m/>
    <n v="2"/>
    <n v="2"/>
    <n v="1"/>
    <n v="2"/>
    <n v="2"/>
    <n v="2"/>
    <n v="2"/>
    <n v="2"/>
    <n v="2"/>
    <n v="2"/>
    <n v="2"/>
    <m/>
    <n v="15.1"/>
    <m/>
    <m/>
    <n v="30.87"/>
    <n v="17.100000000000001"/>
    <m/>
    <m/>
    <m/>
    <m/>
    <m/>
    <n v="183"/>
    <m/>
    <m/>
    <m/>
    <s v="Left centrum semiovale, left coronaradiata, left lentiform nucleus; left parrietal lobe infract with tiny areas of hemorrghic transformation"/>
    <m/>
    <m/>
    <m/>
    <n v="9"/>
    <n v="3"/>
    <n v="1"/>
    <n v="3"/>
    <n v="5"/>
    <m/>
    <n v="1"/>
    <n v="1"/>
    <n v="2"/>
    <m/>
    <m/>
    <n v="2"/>
    <n v="2"/>
    <n v="1"/>
    <n v="85"/>
    <n v="0"/>
    <n v="0"/>
    <n v="0"/>
    <n v="0"/>
    <n v="0"/>
    <n v="0"/>
    <n v="0"/>
    <n v="1"/>
    <n v="1"/>
    <n v="2"/>
    <n v="2"/>
    <n v="1"/>
    <n v="1"/>
    <n v="1"/>
    <x v="2"/>
    <n v="1"/>
    <n v="1"/>
    <n v="0"/>
  </r>
  <r>
    <s v="LY"/>
    <s v="Prakash PAwar"/>
    <x v="142"/>
    <n v="0"/>
    <x v="141"/>
    <x v="148"/>
    <n v="54"/>
    <n v="1"/>
    <d v="2023-04-18T00:00:00"/>
    <d v="1899-12-30T09:00:00"/>
    <d v="2023-04-18T00:00:00"/>
    <d v="2023-04-19T00:00:00"/>
    <n v="8997444447"/>
    <m/>
    <n v="3"/>
    <n v="2"/>
    <n v="1"/>
    <n v="2"/>
    <n v="2"/>
    <n v="2"/>
    <n v="2"/>
    <n v="2"/>
    <n v="2"/>
    <n v="2"/>
    <n v="2"/>
    <m/>
    <n v="15.5"/>
    <n v="45.7"/>
    <n v="86.9"/>
    <n v="13"/>
    <n v="7.6"/>
    <n v="197"/>
    <n v="140"/>
    <n v="26"/>
    <n v="155"/>
    <n v="31"/>
    <n v="213"/>
    <m/>
    <m/>
    <m/>
    <s v="Acute stroke in Rt MCA /PCA watershed area "/>
    <m/>
    <s v="Thrombosis Rt internal carotid artery"/>
    <m/>
    <n v="9"/>
    <n v="3"/>
    <n v="1"/>
    <n v="3"/>
    <n v="5"/>
    <m/>
    <n v="1"/>
    <n v="1"/>
    <n v="2"/>
    <m/>
    <m/>
    <n v="2"/>
    <n v="2"/>
    <n v="0"/>
    <n v="100"/>
    <n v="0"/>
    <n v="0"/>
    <n v="2"/>
    <n v="2"/>
    <n v="1"/>
    <n v="1"/>
    <n v="1"/>
    <m/>
    <m/>
    <m/>
    <m/>
    <m/>
    <m/>
    <m/>
    <x v="0"/>
    <n v="1"/>
    <n v="0"/>
    <n v="1"/>
  </r>
  <r>
    <s v="HS"/>
    <s v="Ajit Shah "/>
    <x v="143"/>
    <n v="1"/>
    <x v="142"/>
    <x v="149"/>
    <n v="73"/>
    <n v="1"/>
    <d v="2023-06-08T00:00:00"/>
    <d v="1899-12-30T20:00:00"/>
    <d v="2023-06-08T00:00:00"/>
    <s v="09-06-0223"/>
    <n v="7506377648"/>
    <m/>
    <n v="0"/>
    <n v="1"/>
    <n v="2"/>
    <n v="2"/>
    <n v="2"/>
    <n v="2"/>
    <n v="2"/>
    <n v="2"/>
    <n v="2"/>
    <n v="2"/>
    <n v="2"/>
    <s v="Afrial fibrillation since 6 months"/>
    <n v="14.3"/>
    <m/>
    <m/>
    <n v="10.85"/>
    <n v="5.4"/>
    <n v="139"/>
    <n v="88"/>
    <n v="41"/>
    <n v="50"/>
    <m/>
    <n v="601"/>
    <m/>
    <m/>
    <m/>
    <s v="Acute NHI in rt temporal lobe, head of rt cautid nucleus and rt middle frontal gyrus, superior temporal gyrus and interior parietal lobe"/>
    <m/>
    <s v="Few calcified atherosclerotic plaque hypodense area in rt temporal lobe"/>
    <m/>
    <m/>
    <m/>
    <m/>
    <m/>
    <m/>
    <m/>
    <n v="1"/>
    <n v="1"/>
    <n v="2"/>
    <m/>
    <n v="4"/>
    <m/>
    <m/>
    <n v="0"/>
    <n v="100"/>
    <n v="1"/>
    <n v="2"/>
    <n v="2"/>
    <n v="2"/>
    <n v="1"/>
    <n v="1"/>
    <n v="1"/>
    <n v="0"/>
    <n v="0"/>
    <n v="0"/>
    <n v="0"/>
    <n v="0"/>
    <n v="0"/>
    <n v="0"/>
    <x v="3"/>
    <n v="1"/>
    <n v="1"/>
    <n v="0"/>
  </r>
  <r>
    <s v="LZ"/>
    <s v="Ashok K Vairal"/>
    <x v="144"/>
    <n v="0"/>
    <x v="143"/>
    <x v="150"/>
    <n v="52"/>
    <n v="1"/>
    <d v="2023-09-03T00:00:00"/>
    <d v="1899-12-30T06:30:00"/>
    <d v="2023-09-06T00:00:00"/>
    <d v="2023-09-07T00:00:00"/>
    <n v="9689123544"/>
    <m/>
    <n v="1"/>
    <n v="1"/>
    <n v="2"/>
    <n v="2"/>
    <n v="1"/>
    <n v="2"/>
    <n v="2"/>
    <n v="2"/>
    <n v="2"/>
    <n v="2"/>
    <n v="2"/>
    <s v=" BIL lower limb elephantiasis"/>
    <n v="11.6"/>
    <n v="36.5"/>
    <n v="76.3"/>
    <n v="23.31"/>
    <n v="6.3"/>
    <n v="169"/>
    <n v="111.2"/>
    <n v="45"/>
    <n v="64"/>
    <n v="12.8"/>
    <n v="148"/>
    <m/>
    <m/>
    <m/>
    <s v="Act left perirolandic NHI Punctate NHI in insular cortex and high frontal lobe white matte"/>
    <m/>
    <s v="NHI in ACA-MCA watershed Lt IJV thrombosis mild  paucity in cortical branches of MN segment of Lt MCA"/>
    <m/>
    <m/>
    <m/>
    <m/>
    <m/>
    <m/>
    <m/>
    <n v="1"/>
    <n v="1"/>
    <n v="2"/>
    <m/>
    <n v="4"/>
    <m/>
    <m/>
    <n v="1"/>
    <n v="100"/>
    <n v="0"/>
    <n v="0"/>
    <n v="0"/>
    <n v="0"/>
    <n v="0"/>
    <n v="0"/>
    <n v="0"/>
    <n v="0"/>
    <n v="0"/>
    <n v="0"/>
    <n v="0"/>
    <n v="0"/>
    <n v="0"/>
    <n v="0"/>
    <x v="4"/>
    <n v="0"/>
    <n v="0"/>
    <n v="0"/>
  </r>
  <r>
    <s v="CZ"/>
    <s v="Shriganesh Dhere "/>
    <x v="145"/>
    <n v="0"/>
    <x v="144"/>
    <x v="151"/>
    <n v="50"/>
    <n v="1"/>
    <d v="2024-11-20T00:00:00"/>
    <d v="1899-12-30T05:00:00"/>
    <d v="2024-11-20T00:00:00"/>
    <d v="2024-11-22T00:00:00"/>
    <n v="9850868611"/>
    <n v="9922941022"/>
    <n v="9"/>
    <n v="1"/>
    <n v="2"/>
    <n v="2"/>
    <n v="2"/>
    <n v="1"/>
    <n v="2"/>
    <n v="2"/>
    <n v="2"/>
    <n v="2"/>
    <n v="2"/>
    <m/>
    <n v="15.8"/>
    <m/>
    <m/>
    <n v="10.83"/>
    <n v="6.2"/>
    <m/>
    <m/>
    <m/>
    <m/>
    <m/>
    <n v="911"/>
    <m/>
    <m/>
    <m/>
    <s v="B/L internal watershed infracts "/>
    <m/>
    <s v="Rt clinoid ICA right stenosis (80-90%)"/>
    <m/>
    <n v="9"/>
    <n v="3"/>
    <n v="1"/>
    <n v="3"/>
    <n v="5"/>
    <m/>
    <n v="1"/>
    <n v="1"/>
    <n v="2"/>
    <m/>
    <n v="4"/>
    <n v="2"/>
    <n v="2"/>
    <n v="0"/>
    <n v="100"/>
    <n v="1"/>
    <n v="1"/>
    <n v="2"/>
    <n v="2"/>
    <n v="1"/>
    <n v="1"/>
    <n v="1"/>
    <n v="0"/>
    <n v="0"/>
    <n v="0"/>
    <n v="0"/>
    <n v="0"/>
    <n v="0"/>
    <n v="0"/>
    <x v="2"/>
    <n v="1"/>
    <n v="1"/>
    <n v="1"/>
  </r>
  <r>
    <s v="AZ"/>
    <s v="Jaydep B Panchal "/>
    <x v="146"/>
    <n v="1"/>
    <x v="145"/>
    <x v="152"/>
    <n v="30"/>
    <n v="1"/>
    <d v="2023-10-21T00:00:00"/>
    <d v="1899-12-30T13:00:00"/>
    <d v="2023-10-21T00:00:00"/>
    <d v="2023-10-21T00:00:00"/>
    <n v="8805207125"/>
    <m/>
    <n v="9"/>
    <n v="2"/>
    <n v="2"/>
    <n v="1"/>
    <n v="2"/>
    <n v="1"/>
    <n v="2"/>
    <n v="2"/>
    <n v="2"/>
    <n v="2"/>
    <n v="1"/>
    <m/>
    <m/>
    <m/>
    <m/>
    <m/>
    <m/>
    <m/>
    <m/>
    <m/>
    <m/>
    <m/>
    <m/>
    <m/>
    <m/>
    <m/>
    <s v="acute stroke in Rt thalamus globus pallidus caudate nucleus and anterior limb internal capsule"/>
    <m/>
    <s v="Right m1 occlusion "/>
    <m/>
    <n v="10"/>
    <n v="2"/>
    <n v="2"/>
    <n v="2"/>
    <n v="4"/>
    <m/>
    <n v="1"/>
    <n v="2"/>
    <n v="1"/>
    <n v="1"/>
    <m/>
    <m/>
    <m/>
    <n v="0"/>
    <n v="95"/>
    <n v="1"/>
    <n v="2"/>
    <n v="0"/>
    <n v="0"/>
    <n v="1"/>
    <n v="1"/>
    <n v="1"/>
    <n v="0"/>
    <n v="0"/>
    <n v="0"/>
    <n v="0"/>
    <n v="0"/>
    <n v="0"/>
    <n v="0"/>
    <x v="8"/>
    <n v="1"/>
    <n v="1"/>
    <n v="0"/>
  </r>
  <r>
    <s v="MA"/>
    <s v="Subhash R Bhagawat"/>
    <x v="147"/>
    <n v="0"/>
    <x v="146"/>
    <x v="153"/>
    <n v="55"/>
    <n v="2"/>
    <d v="2023-10-20T00:00:00"/>
    <d v="1899-12-30T13:00:00"/>
    <d v="2023-10-20T00:00:00"/>
    <d v="2023-10-21T00:00:00"/>
    <n v="7498754557"/>
    <n v="8888410178"/>
    <n v="8"/>
    <n v="1"/>
    <n v="1"/>
    <n v="2"/>
    <n v="2"/>
    <n v="2"/>
    <n v="2"/>
    <n v="2"/>
    <n v="2"/>
    <n v="2"/>
    <n v="2"/>
    <m/>
    <n v="10.4"/>
    <n v="32.4"/>
    <n v="83.5"/>
    <n v="16.39"/>
    <n v="5.8"/>
    <n v="186"/>
    <n v="130.19999999999999"/>
    <n v="34"/>
    <n v="109"/>
    <n v="21.8"/>
    <n v="148"/>
    <m/>
    <m/>
    <m/>
    <s v="Tiny Left internal and posterior watershed infronts"/>
    <m/>
    <s v="Left ICA ulcerated plaque with 90-95% stenosis Rt ICA 50% stenosis "/>
    <m/>
    <n v="10"/>
    <n v="3"/>
    <n v="1"/>
    <n v="3"/>
    <n v="5"/>
    <m/>
    <n v="1"/>
    <n v="1"/>
    <n v="2"/>
    <m/>
    <m/>
    <m/>
    <m/>
    <n v="0"/>
    <m/>
    <n v="0"/>
    <n v="0"/>
    <n v="0"/>
    <n v="0"/>
    <n v="0"/>
    <n v="0"/>
    <n v="0"/>
    <n v="0"/>
    <n v="0"/>
    <n v="0"/>
    <n v="0"/>
    <n v="0"/>
    <n v="0"/>
    <n v="0"/>
    <x v="5"/>
    <n v="0"/>
    <n v="0"/>
    <n v="0"/>
  </r>
  <r>
    <s v="BX"/>
    <s v="Ajit Deshpande "/>
    <x v="148"/>
    <n v="1"/>
    <x v="147"/>
    <x v="154"/>
    <n v="70"/>
    <n v="1"/>
    <d v="2023-11-28T00:00:00"/>
    <d v="1899-12-30T05:15:00"/>
    <d v="2023-11-28T00:00:00"/>
    <d v="2023-12-02T00:00:00"/>
    <n v="9823290374"/>
    <n v="9860937660"/>
    <n v="4"/>
    <n v="1"/>
    <n v="1"/>
    <n v="2"/>
    <n v="2"/>
    <n v="2"/>
    <n v="2"/>
    <n v="2"/>
    <n v="2"/>
    <n v="2"/>
    <n v="2"/>
    <m/>
    <n v="13.5"/>
    <n v="40.6"/>
    <m/>
    <n v="18.600000000000001"/>
    <n v="6.3"/>
    <m/>
    <m/>
    <m/>
    <m/>
    <m/>
    <n v="162"/>
    <m/>
    <m/>
    <m/>
    <s v="MSCT Brain with MR diffusion- 1) Fresh acute infract with patchy areas of blooming in left-frontal lobe. left-centrum semiovale. left insular and left tempero-parietal cortical region. 2) Acute non-haemorrhagic infract involving right pre and post cetral gyrus, right F-P-T lobe and right centrum semiovale "/>
    <m/>
    <s v="Complete occlussion of Rt central ICA and significant narrowing of left CCA over pre existing Rt acute NHI"/>
    <m/>
    <n v="10"/>
    <n v="5"/>
    <n v="1"/>
    <n v="3"/>
    <n v="5"/>
    <m/>
    <n v="2"/>
    <n v="2"/>
    <n v="1"/>
    <n v="1"/>
    <m/>
    <n v="2"/>
    <n v="2"/>
    <n v="6"/>
    <n v="0"/>
    <n v="0"/>
    <n v="0"/>
    <n v="0"/>
    <n v="0"/>
    <n v="0"/>
    <n v="0"/>
    <n v="0"/>
    <n v="0"/>
    <n v="1"/>
    <n v="2"/>
    <n v="2"/>
    <n v="1"/>
    <n v="1"/>
    <n v="1"/>
    <x v="1"/>
    <n v="0"/>
    <n v="0"/>
    <s v="Rt CCA origin thrombus"/>
  </r>
  <r>
    <s v="FL"/>
    <s v="Sainath S Vakode"/>
    <x v="149"/>
    <n v="1"/>
    <x v="148"/>
    <x v="155"/>
    <n v="33"/>
    <n v="1"/>
    <d v="2023-08-23T00:00:00"/>
    <d v="1899-12-30T22:30:00"/>
    <d v="2023-08-23T00:00:00"/>
    <d v="2023-08-29T00:00:00"/>
    <n v="9637311461"/>
    <m/>
    <n v="9"/>
    <n v="1"/>
    <n v="2"/>
    <n v="1"/>
    <n v="2"/>
    <n v="1"/>
    <n v="2"/>
    <n v="2"/>
    <n v="1"/>
    <n v="2"/>
    <n v="1"/>
    <m/>
    <n v="15.9"/>
    <n v="49.5"/>
    <n v="90"/>
    <n v="39.44"/>
    <n v="5.9"/>
    <n v="167"/>
    <n v="107"/>
    <n v="31"/>
    <n v="142"/>
    <n v="28.4"/>
    <n v="207"/>
    <m/>
    <m/>
    <m/>
    <s v="Left MCA infract"/>
    <m/>
    <s v="Hypodense filling defect in distal M1 segment of left MCA S/o thrombosis"/>
    <m/>
    <n v="10"/>
    <n v="3"/>
    <n v="1"/>
    <n v="3"/>
    <n v="4"/>
    <m/>
    <n v="1"/>
    <n v="2"/>
    <n v="1"/>
    <n v="2"/>
    <n v="1"/>
    <m/>
    <m/>
    <n v="1"/>
    <n v="95"/>
    <n v="0"/>
    <n v="0"/>
    <n v="0"/>
    <n v="0"/>
    <n v="0"/>
    <n v="0"/>
    <n v="0"/>
    <n v="1"/>
    <n v="2"/>
    <n v="2"/>
    <n v="2"/>
    <n v="1"/>
    <n v="0"/>
    <n v="1"/>
    <x v="2"/>
    <n v="1"/>
    <n v="1"/>
    <n v="0"/>
  </r>
  <r>
    <s v="MB"/>
    <s v="Achitrao Gaikwad"/>
    <x v="150"/>
    <n v="0"/>
    <x v="149"/>
    <x v="156"/>
    <n v="63"/>
    <n v="1"/>
    <d v="2024-07-05T00:00:00"/>
    <d v="1899-12-30T01:00:00"/>
    <d v="2024-07-05T00:00:00"/>
    <d v="2024-07-05T00:00:00"/>
    <n v="9882472683"/>
    <m/>
    <n v="1"/>
    <n v="1"/>
    <n v="2"/>
    <n v="2"/>
    <n v="2"/>
    <n v="2"/>
    <n v="2"/>
    <n v="2"/>
    <n v="2"/>
    <n v="2"/>
    <n v="2"/>
    <m/>
    <n v="13.8"/>
    <n v="43.2"/>
    <n v="83.9"/>
    <n v="23.18"/>
    <m/>
    <n v="191"/>
    <n v="123.4"/>
    <n v="37"/>
    <n v="153"/>
    <n v="30.6"/>
    <n v="170"/>
    <m/>
    <m/>
    <m/>
    <s v="Left parieto occipital and selenium  of corpus callosum infract"/>
    <m/>
    <m/>
    <m/>
    <n v="9"/>
    <n v="5"/>
    <n v="1"/>
    <n v="3"/>
    <n v="5"/>
    <m/>
    <n v="1"/>
    <n v="1"/>
    <n v="2"/>
    <m/>
    <n v="4"/>
    <n v="2"/>
    <n v="2"/>
    <n v="0"/>
    <n v="100"/>
    <n v="0"/>
    <n v="0"/>
    <n v="0"/>
    <n v="0"/>
    <n v="0"/>
    <n v="0"/>
    <n v="0"/>
    <n v="0"/>
    <n v="2"/>
    <n v="2"/>
    <n v="2"/>
    <n v="1"/>
    <n v="1"/>
    <n v="1"/>
    <x v="2"/>
    <n v="1"/>
    <n v="1"/>
    <n v="0"/>
  </r>
  <r>
    <s v="MC"/>
    <s v="Shakuntala Dhumal"/>
    <x v="151"/>
    <n v="0"/>
    <x v="150"/>
    <x v="157"/>
    <n v="47"/>
    <n v="2"/>
    <d v="2024-05-14T00:00:00"/>
    <d v="1899-12-30T07:00:00"/>
    <d v="2024-05-15T00:00:00"/>
    <d v="2024-05-17T00:00:00"/>
    <n v="9545440049"/>
    <m/>
    <n v="5"/>
    <n v="2"/>
    <n v="1"/>
    <n v="2"/>
    <n v="1"/>
    <n v="2"/>
    <n v="2"/>
    <n v="2"/>
    <n v="2"/>
    <n v="2"/>
    <n v="2"/>
    <m/>
    <n v="12.6"/>
    <n v="38.299999999999997"/>
    <n v="77"/>
    <n v="3.26"/>
    <n v="13"/>
    <m/>
    <m/>
    <m/>
    <m/>
    <m/>
    <n v="2000"/>
    <m/>
    <m/>
    <m/>
    <s v="Patchy infracts in B/L ACA- MCA and left MCA-PCA and left internal watershed infracts old right internal watershed infracts"/>
    <m/>
    <s v="Rt ICA narrowing 50% at origin and cavernous segment of Rt ICA occludeal/tight stenosis"/>
    <m/>
    <n v="9"/>
    <n v="3"/>
    <n v="1"/>
    <n v="3"/>
    <n v="5"/>
    <m/>
    <n v="1"/>
    <n v="1"/>
    <n v="2"/>
    <m/>
    <m/>
    <n v="2"/>
    <n v="2"/>
    <n v="0"/>
    <n v="100"/>
    <n v="0"/>
    <n v="2"/>
    <n v="2"/>
    <n v="2"/>
    <n v="1"/>
    <n v="1"/>
    <n v="1"/>
    <m/>
    <m/>
    <m/>
    <m/>
    <m/>
    <m/>
    <m/>
    <x v="2"/>
    <n v="1"/>
    <n v="0"/>
    <m/>
  </r>
  <r>
    <s v="HU"/>
    <s v="Prakash Kambale "/>
    <x v="152"/>
    <n v="1"/>
    <x v="151"/>
    <x v="158"/>
    <n v="65"/>
    <n v="1"/>
    <d v="2023-01-11T00:00:00"/>
    <m/>
    <d v="2023-01-13T00:00:00"/>
    <d v="2023-01-16T00:00:00"/>
    <n v="8888887372"/>
    <m/>
    <m/>
    <n v="1"/>
    <m/>
    <m/>
    <m/>
    <m/>
    <m/>
    <m/>
    <m/>
    <m/>
    <n v="1"/>
    <m/>
    <n v="13.3"/>
    <n v="42"/>
    <n v="91.2"/>
    <n v="7.35"/>
    <m/>
    <n v="167"/>
    <n v="114"/>
    <n v="33"/>
    <n v="98"/>
    <m/>
    <n v="2000"/>
    <m/>
    <m/>
    <m/>
    <s v="A/c infract Rt MCA and ICA watershed area "/>
    <m/>
    <s v="Eccentric hypodense thrombus with calcified atherosclerotic plaque in right carotid bulb and origin of Rt ICA advised causing 90-95% stenosis Rt ICA segment"/>
    <m/>
    <m/>
    <m/>
    <m/>
    <m/>
    <m/>
    <m/>
    <n v="1"/>
    <n v="2"/>
    <n v="2"/>
    <m/>
    <n v="2"/>
    <m/>
    <m/>
    <n v="1"/>
    <n v="100"/>
    <n v="1"/>
    <n v="2"/>
    <n v="2"/>
    <n v="2"/>
    <n v="1"/>
    <n v="1"/>
    <n v="1"/>
    <n v="0"/>
    <n v="0"/>
    <n v="0"/>
    <n v="0"/>
    <n v="0"/>
    <n v="0"/>
    <n v="0"/>
    <x v="3"/>
    <n v="1"/>
    <n v="0"/>
    <n v="0"/>
  </r>
  <r>
    <s v="MD"/>
    <s v="Ashok Gite"/>
    <x v="153"/>
    <n v="0"/>
    <x v="152"/>
    <x v="159"/>
    <n v="57"/>
    <n v="1"/>
    <d v="2024-05-30T00:00:00"/>
    <d v="1899-12-30T15:30:00"/>
    <d v="2024-05-31T00:00:00"/>
    <d v="2024-06-05T00:00:00"/>
    <n v="997532928"/>
    <n v="9096159020"/>
    <n v="7"/>
    <n v="1"/>
    <n v="1"/>
    <n v="2"/>
    <n v="1"/>
    <n v="2"/>
    <n v="2"/>
    <n v="2"/>
    <n v="1"/>
    <n v="2"/>
    <n v="2"/>
    <m/>
    <n v="14.3"/>
    <n v="44.4"/>
    <n v="81.8"/>
    <n v="20.170000000000002"/>
    <n v="7"/>
    <n v="141"/>
    <n v="88.4"/>
    <n v="29"/>
    <n v="118"/>
    <n v="23.6"/>
    <n v="208"/>
    <m/>
    <m/>
    <m/>
    <s v="Right corona radiata; medical temporal lobe patchy infract in Rt periatrial region and left caudate region "/>
    <m/>
    <s v="Right M1 stenosis, left V4 stenosis"/>
    <m/>
    <n v="7"/>
    <n v="2"/>
    <n v="1"/>
    <n v="2"/>
    <n v="5"/>
    <m/>
    <n v="1"/>
    <n v="1"/>
    <n v="2"/>
    <m/>
    <m/>
    <n v="2"/>
    <n v="2"/>
    <n v="0"/>
    <n v="100"/>
    <n v="0"/>
    <n v="1"/>
    <n v="0"/>
    <n v="1"/>
    <n v="1"/>
    <n v="1"/>
    <n v="1"/>
    <n v="0"/>
    <n v="0"/>
    <n v="0"/>
    <n v="0"/>
    <n v="0"/>
    <n v="0"/>
    <n v="0"/>
    <x v="9"/>
    <n v="1"/>
    <n v="0"/>
    <n v="0"/>
  </r>
  <r>
    <s v="CE"/>
    <s v="Ravindra Maral "/>
    <x v="154"/>
    <n v="1"/>
    <x v="153"/>
    <x v="160"/>
    <n v="50"/>
    <n v="1"/>
    <d v="2024-01-11T00:00:00"/>
    <d v="1899-12-30T16:00:00"/>
    <d v="2024-01-14T00:00:00"/>
    <d v="2024-01-18T00:00:00"/>
    <n v="9881713537"/>
    <m/>
    <m/>
    <n v="1"/>
    <n v="1"/>
    <n v="2"/>
    <n v="2"/>
    <n v="2"/>
    <n v="2"/>
    <n v="2"/>
    <n v="2"/>
    <n v="2"/>
    <n v="2"/>
    <m/>
    <n v="14.6"/>
    <n v="42.4"/>
    <n v="97.1"/>
    <n v="20.97"/>
    <n v="8.6999999999999993"/>
    <n v="145"/>
    <n v="85.2"/>
    <n v="31"/>
    <n v="144"/>
    <n v="28.8"/>
    <n v="324"/>
    <n v="89"/>
    <m/>
    <m/>
    <s v="Left PCA-MCA watershed infract "/>
    <m/>
    <s v="Left internal carotid artery clinoid Partial stenosis (70-75% luminal narrowing)"/>
    <m/>
    <n v="9"/>
    <n v="3"/>
    <n v="1"/>
    <n v="3"/>
    <n v="5"/>
    <m/>
    <n v="1"/>
    <n v="1"/>
    <n v="2"/>
    <m/>
    <m/>
    <n v="2"/>
    <n v="2"/>
    <n v="0"/>
    <n v="100"/>
    <n v="0"/>
    <n v="0"/>
    <n v="0"/>
    <n v="0"/>
    <n v="0"/>
    <n v="0"/>
    <n v="0"/>
    <n v="0"/>
    <n v="1"/>
    <n v="2"/>
    <n v="2"/>
    <n v="1"/>
    <n v="1"/>
    <n v="1"/>
    <x v="1"/>
    <n v="1"/>
    <n v="1"/>
    <n v="0"/>
  </r>
  <r>
    <s v="EM"/>
    <s v="Vijaykumar Biradar"/>
    <x v="155"/>
    <n v="1"/>
    <x v="154"/>
    <x v="161"/>
    <n v="65"/>
    <n v="1"/>
    <d v="2024-02-10T00:00:00"/>
    <d v="1899-12-30T22:00:00"/>
    <d v="2024-02-11T00:00:00"/>
    <m/>
    <n v="8788726932"/>
    <m/>
    <n v="9"/>
    <n v="1"/>
    <n v="1"/>
    <n v="2"/>
    <n v="2"/>
    <n v="2"/>
    <n v="2"/>
    <n v="2"/>
    <n v="1"/>
    <n v="2"/>
    <n v="2"/>
    <m/>
    <n v="9.6"/>
    <n v="30.3"/>
    <n v="70.7"/>
    <n v="9.69"/>
    <n v="8.6"/>
    <n v="101"/>
    <n v="44.8"/>
    <n v="31"/>
    <n v="126"/>
    <n v="25.2"/>
    <n v="363"/>
    <m/>
    <m/>
    <m/>
    <s v="Right MCA patchy infracts and Rt periventricular white matter"/>
    <m/>
    <s v="Right M2 block. Right ICA origin plaque &lt; 50% occlusion. B/L vetebral ostium origin stenosis"/>
    <m/>
    <n v="10"/>
    <n v="5"/>
    <n v="1"/>
    <n v="3"/>
    <n v="5"/>
    <m/>
    <n v="1"/>
    <n v="1"/>
    <m/>
    <m/>
    <m/>
    <n v="2"/>
    <n v="2"/>
    <n v="0"/>
    <n v="100"/>
    <n v="1"/>
    <n v="2"/>
    <n v="2"/>
    <n v="1"/>
    <n v="1"/>
    <n v="1"/>
    <n v="1"/>
    <n v="0"/>
    <n v="0"/>
    <n v="0"/>
    <n v="0"/>
    <n v="0"/>
    <n v="0"/>
    <n v="0"/>
    <x v="2"/>
    <n v="1"/>
    <n v="1"/>
    <s v="Left CCA thrombus"/>
  </r>
  <r>
    <s v="IJ"/>
    <s v="Ranesh T Raut"/>
    <x v="156"/>
    <n v="1"/>
    <x v="155"/>
    <x v="162"/>
    <n v="50"/>
    <n v="1"/>
    <d v="2023-07-28T00:00:00"/>
    <d v="1899-12-30T08:00:00"/>
    <d v="2023-07-29T00:00:00"/>
    <d v="2023-08-03T00:00:00"/>
    <n v="9665061962"/>
    <m/>
    <n v="6"/>
    <n v="1"/>
    <n v="2"/>
    <n v="2"/>
    <n v="2"/>
    <n v="2"/>
    <n v="2"/>
    <n v="2"/>
    <n v="2"/>
    <n v="2"/>
    <n v="2"/>
    <s v="Imaging S/o old cvt"/>
    <n v="14.5"/>
    <n v="43.3"/>
    <n v="97.9"/>
    <n v="10.9"/>
    <n v="5.6"/>
    <n v="183"/>
    <n v="93"/>
    <n v="35"/>
    <n v="274"/>
    <n v="54"/>
    <n v="148"/>
    <m/>
    <m/>
    <m/>
    <s v="Acute infract left parietal and frontal regions area of gliosis in left temporal lobe suggective of old cvt"/>
    <m/>
    <s v="Right M2 distal mirror aneurysm"/>
    <m/>
    <m/>
    <m/>
    <m/>
    <m/>
    <m/>
    <m/>
    <n v="1"/>
    <n v="2"/>
    <n v="1"/>
    <n v="1"/>
    <m/>
    <m/>
    <m/>
    <n v="0"/>
    <n v="100"/>
    <n v="0"/>
    <n v="0"/>
    <n v="0"/>
    <n v="0"/>
    <n v="0"/>
    <n v="0"/>
    <n v="0"/>
    <n v="1"/>
    <n v="2"/>
    <n v="2"/>
    <n v="2"/>
    <n v="1"/>
    <n v="1"/>
    <n v="1"/>
    <x v="3"/>
    <n v="1"/>
    <n v="1"/>
    <n v="0"/>
  </r>
  <r>
    <s v="EN"/>
    <s v="Shobha Sawant"/>
    <x v="157"/>
    <n v="1"/>
    <x v="156"/>
    <x v="163"/>
    <n v="48"/>
    <n v="2"/>
    <d v="2022-09-30T00:00:00"/>
    <d v="1899-12-30T06:00:00"/>
    <d v="2022-09-30T00:00:00"/>
    <d v="2022-10-01T00:00:00"/>
    <n v="9423453622"/>
    <m/>
    <n v="3"/>
    <n v="1"/>
    <n v="2"/>
    <n v="2"/>
    <n v="2"/>
    <n v="2"/>
    <n v="2"/>
    <n v="2"/>
    <n v="2"/>
    <n v="2"/>
    <n v="2"/>
    <m/>
    <n v="10.6"/>
    <n v="32.5"/>
    <n v="75.5"/>
    <n v="6.22"/>
    <m/>
    <m/>
    <m/>
    <m/>
    <m/>
    <m/>
    <n v="494"/>
    <m/>
    <s v="ESR- 9, CRP- 5.1, S T3-1.05,S.T4- 8.04, S. TSH- 2.82"/>
    <m/>
    <s v="Acute Rt parietal lobe infract"/>
    <m/>
    <s v="Paucity of cortical braches Rt MCA poor collabration"/>
    <m/>
    <n v="9"/>
    <n v="4"/>
    <n v="1"/>
    <n v="3"/>
    <n v="5"/>
    <m/>
    <n v="1"/>
    <n v="1"/>
    <n v="2"/>
    <m/>
    <n v="4"/>
    <m/>
    <m/>
    <n v="0"/>
    <n v="100"/>
    <n v="1"/>
    <n v="2"/>
    <n v="1"/>
    <n v="2"/>
    <n v="1"/>
    <n v="1"/>
    <n v="1"/>
    <n v="0"/>
    <n v="0"/>
    <n v="0"/>
    <n v="0"/>
    <n v="0"/>
    <n v="0"/>
    <n v="0"/>
    <x v="2"/>
    <n v="1"/>
    <n v="1"/>
    <n v="0"/>
  </r>
  <r>
    <s v="DW"/>
    <s v="Vitthal S More"/>
    <x v="158"/>
    <n v="1"/>
    <x v="157"/>
    <x v="164"/>
    <n v="88"/>
    <n v="1"/>
    <m/>
    <m/>
    <d v="2023-06-26T00:00:00"/>
    <d v="2023-06-28T00:00:00"/>
    <n v="9423567145"/>
    <m/>
    <n v="5"/>
    <n v="1"/>
    <n v="1"/>
    <n v="2"/>
    <n v="2"/>
    <n v="2"/>
    <n v="2"/>
    <n v="2"/>
    <n v="2"/>
    <n v="2"/>
    <m/>
    <m/>
    <n v="14.2"/>
    <n v="44.3"/>
    <n v="78.599999999999994"/>
    <n v="17"/>
    <n v="9.5"/>
    <n v="146"/>
    <n v="84"/>
    <n v="37"/>
    <n v="123"/>
    <n v="24"/>
    <n v="220"/>
    <m/>
    <m/>
    <m/>
    <s v="A/c infarct in right frontoparietal region,right centrum semiovale and corona radiata and right occipital region"/>
    <m/>
    <s v="Calcified atherodemtic changes in caverous supraclinical  segments of B/l ICA s and  left venetral arteries irregular narrowing involving supraclinicalsegments of Rt ICA"/>
    <m/>
    <m/>
    <m/>
    <m/>
    <m/>
    <m/>
    <m/>
    <n v="1"/>
    <n v="1"/>
    <n v="2"/>
    <m/>
    <m/>
    <m/>
    <m/>
    <n v="0"/>
    <n v="100"/>
    <n v="0"/>
    <n v="2"/>
    <n v="2"/>
    <n v="2"/>
    <n v="1"/>
    <n v="1"/>
    <n v="1"/>
    <n v="0"/>
    <n v="0"/>
    <n v="0"/>
    <n v="0"/>
    <n v="0"/>
    <n v="0"/>
    <n v="0"/>
    <x v="2"/>
    <n v="1"/>
    <n v="1"/>
    <n v="0"/>
  </r>
  <r>
    <s v="JH"/>
    <s v="Dattatray Gaikwad"/>
    <x v="159"/>
    <n v="1"/>
    <x v="158"/>
    <x v="165"/>
    <n v="57"/>
    <n v="1"/>
    <d v="2023-12-25T00:00:00"/>
    <d v="1899-12-30T22:30:00"/>
    <d v="2023-12-26T00:00:00"/>
    <m/>
    <n v="9172734212"/>
    <n v="9822621475"/>
    <n v="6"/>
    <n v="1"/>
    <n v="1"/>
    <n v="2"/>
    <n v="2"/>
    <n v="2"/>
    <n v="2"/>
    <n v="2"/>
    <n v="2"/>
    <n v="2"/>
    <n v="2"/>
    <m/>
    <n v="15"/>
    <n v="46.2"/>
    <n v="84.9"/>
    <m/>
    <n v="9.4"/>
    <m/>
    <n v="146"/>
    <n v="36"/>
    <n v="120"/>
    <n v="24"/>
    <m/>
    <m/>
    <m/>
    <m/>
    <m/>
    <m/>
    <s v="Fronto-parietal acute cerebral infract , calcified atherosclerotic plaques are seen in arch of aorta and at right carotid biforcation, significant stenosis with seen involving the right carvenous and supraclinical ICA, Left supraclinoid shows focal significant stenosis"/>
    <m/>
    <n v="10"/>
    <n v="3"/>
    <n v="1"/>
    <n v="3"/>
    <n v="5"/>
    <m/>
    <n v="2"/>
    <n v="2"/>
    <n v="2"/>
    <m/>
    <m/>
    <n v="2"/>
    <n v="2"/>
    <n v="0"/>
    <n v="100"/>
    <n v="1"/>
    <n v="2"/>
    <n v="2"/>
    <n v="2"/>
    <n v="1"/>
    <n v="1"/>
    <n v="1"/>
    <n v="0"/>
    <n v="0"/>
    <n v="0"/>
    <n v="0"/>
    <n v="0"/>
    <n v="0"/>
    <n v="0"/>
    <x v="3"/>
    <n v="1"/>
    <n v="1"/>
    <n v="0"/>
  </r>
  <r>
    <s v="IP"/>
    <s v="Ovahal  Deepak "/>
    <x v="160"/>
    <n v="0"/>
    <x v="159"/>
    <x v="166"/>
    <n v="55"/>
    <n v="1"/>
    <d v="2024-09-03T00:00:00"/>
    <d v="1899-12-30T09:30:00"/>
    <d v="2024-09-04T00:00:00"/>
    <d v="2024-09-06T00:00:00"/>
    <n v="7767879834"/>
    <m/>
    <n v="4"/>
    <n v="2"/>
    <n v="1"/>
    <n v="1"/>
    <n v="1"/>
    <n v="2"/>
    <n v="2"/>
    <n v="2"/>
    <n v="2"/>
    <n v="2"/>
    <n v="2"/>
    <m/>
    <n v="16.2"/>
    <m/>
    <m/>
    <m/>
    <n v="6"/>
    <n v="154"/>
    <n v="98"/>
    <n v="45"/>
    <n v="60"/>
    <n v="12"/>
    <m/>
    <m/>
    <m/>
    <m/>
    <s v="Rt MCA PCA watershed infract "/>
    <m/>
    <s v="Right ICA thrombus 60% occlusion "/>
    <m/>
    <n v="9"/>
    <n v="3"/>
    <n v="1"/>
    <n v="3"/>
    <n v="5"/>
    <m/>
    <n v="1"/>
    <n v="1"/>
    <n v="2"/>
    <m/>
    <n v="4"/>
    <n v="2"/>
    <n v="2"/>
    <n v="0"/>
    <n v="100"/>
    <n v="1"/>
    <n v="2"/>
    <n v="2"/>
    <n v="2"/>
    <n v="1"/>
    <n v="1"/>
    <n v="1"/>
    <n v="0"/>
    <n v="0"/>
    <n v="0"/>
    <n v="0"/>
    <n v="0"/>
    <n v="0"/>
    <n v="0"/>
    <x v="3"/>
    <n v="0"/>
    <n v="0"/>
    <n v="0"/>
  </r>
  <r>
    <s v="ME"/>
    <s v="Savitra Tambat"/>
    <x v="161"/>
    <n v="0"/>
    <x v="160"/>
    <x v="167"/>
    <n v="72"/>
    <n v="2"/>
    <d v="2024-04-06T00:00:00"/>
    <m/>
    <d v="2024-04-08T00:00:00"/>
    <m/>
    <n v="8788481734"/>
    <m/>
    <n v="6"/>
    <n v="1"/>
    <n v="2"/>
    <n v="2"/>
    <n v="2"/>
    <n v="2"/>
    <n v="2"/>
    <n v="2"/>
    <n v="2"/>
    <n v="2"/>
    <n v="2"/>
    <s v="CND Anemia melena"/>
    <n v="3.5"/>
    <n v="29.2"/>
    <n v="78.400000000000006"/>
    <m/>
    <m/>
    <m/>
    <m/>
    <m/>
    <m/>
    <m/>
    <n v="2000"/>
    <m/>
    <s v="S ferritin-34, S. Iron- 15, SUIBC-263, transferritin saturation 5.34% likely cardio- embolic "/>
    <m/>
    <s v="B/L deep watershed infracts "/>
    <m/>
    <m/>
    <m/>
    <n v="8"/>
    <m/>
    <m/>
    <m/>
    <m/>
    <m/>
    <n v="1"/>
    <n v="1"/>
    <n v="2"/>
    <m/>
    <m/>
    <n v="2"/>
    <n v="2"/>
    <n v="1"/>
    <n v="85"/>
    <n v="0"/>
    <n v="0"/>
    <n v="0"/>
    <n v="0"/>
    <n v="0"/>
    <n v="0"/>
    <n v="0"/>
    <n v="0"/>
    <n v="0"/>
    <n v="0"/>
    <n v="0"/>
    <n v="0"/>
    <n v="0"/>
    <n v="0"/>
    <x v="4"/>
    <n v="0"/>
    <n v="0"/>
    <n v="0"/>
  </r>
  <r>
    <s v="EO"/>
    <s v="Pravin E Ingale"/>
    <x v="162"/>
    <n v="1"/>
    <x v="161"/>
    <x v="168"/>
    <n v="55"/>
    <n v="1"/>
    <d v="2023-06-14T00:00:00"/>
    <d v="1899-12-30T05:00:00"/>
    <d v="2023-06-15T00:00:00"/>
    <d v="2023-06-20T00:00:00"/>
    <n v="7506213289"/>
    <m/>
    <n v="8"/>
    <n v="1"/>
    <n v="2"/>
    <n v="1"/>
    <n v="2"/>
    <n v="2"/>
    <n v="2"/>
    <n v="2"/>
    <n v="1"/>
    <n v="2"/>
    <n v="1"/>
    <m/>
    <n v="15.2"/>
    <n v="46.1"/>
    <n v="72.3"/>
    <n v="24.49"/>
    <m/>
    <n v="125"/>
    <n v="89"/>
    <n v="45"/>
    <n v="54"/>
    <n v="10.8"/>
    <n v="2000"/>
    <m/>
    <m/>
    <m/>
    <s v="Left motor cortex function temporal confant"/>
    <m/>
    <s v="Homorrhagic transformation +"/>
    <m/>
    <m/>
    <m/>
    <m/>
    <m/>
    <m/>
    <m/>
    <n v="1"/>
    <m/>
    <n v="2"/>
    <m/>
    <n v="4"/>
    <m/>
    <m/>
    <n v="0"/>
    <n v="100"/>
    <n v="0"/>
    <n v="0"/>
    <n v="0"/>
    <n v="0"/>
    <n v="0"/>
    <n v="0"/>
    <n v="0"/>
    <n v="1"/>
    <n v="2"/>
    <n v="2"/>
    <n v="1"/>
    <n v="1"/>
    <n v="1"/>
    <n v="1"/>
    <x v="2"/>
    <n v="1"/>
    <n v="1"/>
    <n v="0"/>
  </r>
  <r>
    <s v="BS"/>
    <s v="Ganpat Dabhade"/>
    <x v="163"/>
    <n v="0"/>
    <x v="162"/>
    <x v="169"/>
    <n v="64"/>
    <n v="1"/>
    <d v="2024-10-03T00:00:00"/>
    <m/>
    <d v="2024-10-08T00:00:00"/>
    <d v="2024-10-10T00:00:00"/>
    <n v="9764824294"/>
    <m/>
    <n v="11"/>
    <n v="2"/>
    <n v="2"/>
    <n v="2"/>
    <n v="2"/>
    <n v="1"/>
    <n v="2"/>
    <n v="2"/>
    <n v="2"/>
    <n v="2"/>
    <n v="1"/>
    <s v="Left pontine infract march 2024, onset time unknown "/>
    <n v="14.3"/>
    <m/>
    <m/>
    <n v="6.29"/>
    <n v="6.9"/>
    <n v="174"/>
    <n v="123"/>
    <n v="27"/>
    <n v="116"/>
    <n v="23"/>
    <m/>
    <m/>
    <m/>
    <m/>
    <s v="Rt MCA infract "/>
    <m/>
    <s v="Rt supraclinoid ICA stenosis and thrombosis of A1 segment of Rt ACA "/>
    <m/>
    <n v="9"/>
    <n v="3"/>
    <n v="1"/>
    <n v="3"/>
    <n v="5"/>
    <m/>
    <n v="1"/>
    <n v="1"/>
    <n v="2"/>
    <m/>
    <n v="4"/>
    <n v="2"/>
    <n v="2"/>
    <n v="2"/>
    <n v="60"/>
    <n v="0"/>
    <n v="1"/>
    <n v="2"/>
    <n v="2"/>
    <n v="1"/>
    <n v="1"/>
    <n v="1"/>
    <n v="0"/>
    <n v="0"/>
    <n v="0"/>
    <n v="0"/>
    <n v="0"/>
    <n v="0"/>
    <n v="0"/>
    <x v="1"/>
    <n v="1"/>
    <n v="1"/>
    <n v="1"/>
  </r>
  <r>
    <s v="IZ"/>
    <s v="Sanjay Kamble"/>
    <x v="164"/>
    <n v="0"/>
    <x v="163"/>
    <x v="170"/>
    <n v="48"/>
    <n v="1"/>
    <d v="2024-02-24T00:00:00"/>
    <d v="1899-12-30T18:40:00"/>
    <d v="2024-02-26T00:00:00"/>
    <m/>
    <n v="7447848909"/>
    <m/>
    <n v="1"/>
    <n v="1"/>
    <n v="2"/>
    <n v="2"/>
    <n v="2"/>
    <n v="2"/>
    <n v="2"/>
    <n v="2"/>
    <n v="2"/>
    <n v="2"/>
    <n v="2"/>
    <m/>
    <n v="14.5"/>
    <n v="44"/>
    <n v="92"/>
    <n v="15.29"/>
    <m/>
    <n v="144"/>
    <n v="79.599999999999994"/>
    <n v="39"/>
    <n v="127"/>
    <n v="25.4"/>
    <n v="2000"/>
    <m/>
    <m/>
    <m/>
    <s v="Left Insular region and inferior frontal gyris acute infract"/>
    <m/>
    <s v="Left MCA M2 superior division thrombosis"/>
    <m/>
    <n v="9"/>
    <n v="3"/>
    <n v="1"/>
    <n v="3"/>
    <n v="5"/>
    <m/>
    <n v="2"/>
    <n v="2"/>
    <n v="2"/>
    <m/>
    <m/>
    <n v="2"/>
    <n v="2"/>
    <n v="0"/>
    <n v="100"/>
    <n v="0"/>
    <n v="0"/>
    <n v="0"/>
    <n v="0"/>
    <n v="0"/>
    <n v="0"/>
    <n v="0"/>
    <n v="1"/>
    <n v="2"/>
    <n v="2"/>
    <n v="2"/>
    <n v="1"/>
    <n v="1"/>
    <n v="1"/>
    <x v="3"/>
    <n v="1"/>
    <n v="1"/>
    <n v="0"/>
  </r>
  <r>
    <s v="BN"/>
    <s v="Rekha Bhapkar"/>
    <x v="165"/>
    <n v="0"/>
    <x v="164"/>
    <x v="171"/>
    <n v="67"/>
    <n v="2"/>
    <d v="2024-06-08T00:00:00"/>
    <d v="1899-12-30T12:00:00"/>
    <d v="2024-06-08T00:00:00"/>
    <s v="18-08-2024"/>
    <n v="7767089009"/>
    <m/>
    <n v="23"/>
    <n v="2"/>
    <n v="2"/>
    <n v="2"/>
    <n v="2"/>
    <n v="2"/>
    <n v="2"/>
    <n v="2"/>
    <n v="2"/>
    <n v="1"/>
    <n v="2"/>
    <m/>
    <n v="9.4"/>
    <n v="29.3"/>
    <n v="95.9"/>
    <m/>
    <m/>
    <m/>
    <m/>
    <m/>
    <m/>
    <m/>
    <m/>
    <m/>
    <m/>
    <m/>
    <s v="Rt MCA tertiory infract"/>
    <m/>
    <s v="Rt CCA from origin occluded Left ICA occluded from origin "/>
    <m/>
    <n v="8"/>
    <n v="2"/>
    <n v="2"/>
    <n v="3"/>
    <n v="4"/>
    <m/>
    <n v="1"/>
    <n v="1"/>
    <n v="2"/>
    <m/>
    <m/>
    <n v="2"/>
    <n v="2"/>
    <n v="6"/>
    <m/>
    <n v="0"/>
    <n v="0"/>
    <n v="2"/>
    <n v="2"/>
    <n v="1"/>
    <n v="1"/>
    <n v="1"/>
    <n v="0"/>
    <n v="0"/>
    <n v="0"/>
    <n v="0"/>
    <n v="0"/>
    <n v="0"/>
    <n v="0"/>
    <x v="0"/>
    <n v="1"/>
    <n v="0"/>
    <s v="Right CCA plaque"/>
  </r>
  <r>
    <s v="CX"/>
    <s v="Chandrabhagabai Gite"/>
    <x v="166"/>
    <n v="0"/>
    <x v="165"/>
    <x v="172"/>
    <n v="77"/>
    <n v="2"/>
    <d v="2024-06-29T00:00:00"/>
    <d v="1899-12-30T12:00:00"/>
    <d v="2024-06-30T00:00:00"/>
    <d v="2024-07-03T00:00:00"/>
    <n v="9067454942"/>
    <m/>
    <n v="1"/>
    <n v="1"/>
    <n v="1"/>
    <n v="2"/>
    <n v="2"/>
    <n v="2"/>
    <n v="2"/>
    <n v="2"/>
    <n v="2"/>
    <n v="2"/>
    <n v="2"/>
    <m/>
    <n v="14"/>
    <n v="42.4"/>
    <n v="88.9"/>
    <n v="15.99"/>
    <n v="10.4"/>
    <n v="250"/>
    <n v="126"/>
    <n v="37"/>
    <n v="435"/>
    <n v="87"/>
    <m/>
    <m/>
    <m/>
    <m/>
    <s v="Right ACA MCA; MCA PCA and internal watershed infract"/>
    <m/>
    <s v="Right ICA origin 90% stenosis and right M1 stenosis. freedom stenosis"/>
    <m/>
    <n v="8"/>
    <n v="2"/>
    <n v="1"/>
    <n v="4"/>
    <n v="5"/>
    <m/>
    <n v="1"/>
    <n v="1"/>
    <n v="2"/>
    <m/>
    <m/>
    <n v="2"/>
    <n v="2"/>
    <n v="0"/>
    <n v="100"/>
    <n v="0"/>
    <n v="2"/>
    <n v="2"/>
    <n v="2"/>
    <n v="1"/>
    <n v="1"/>
    <n v="1"/>
    <n v="0"/>
    <n v="0"/>
    <n v="0"/>
    <n v="0"/>
    <n v="0"/>
    <n v="0"/>
    <n v="0"/>
    <x v="2"/>
    <n v="1"/>
    <n v="0"/>
    <s v="Rt CCA Plaque"/>
  </r>
  <r>
    <s v="DG"/>
    <s v="Jannat Shaikh "/>
    <x v="167"/>
    <n v="0"/>
    <x v="166"/>
    <x v="173"/>
    <n v="60"/>
    <n v="2"/>
    <d v="2024-10-10T00:00:00"/>
    <d v="1899-12-30T11:00:00"/>
    <d v="2024-10-10T00:00:00"/>
    <d v="2024-10-12T00:00:00"/>
    <n v="9734059978"/>
    <m/>
    <n v="10"/>
    <n v="1"/>
    <n v="1"/>
    <n v="2"/>
    <n v="2"/>
    <n v="2"/>
    <n v="2"/>
    <n v="2"/>
    <n v="2"/>
    <n v="2"/>
    <n v="2"/>
    <m/>
    <n v="13.2"/>
    <m/>
    <m/>
    <n v="22.7"/>
    <n v="6.7"/>
    <n v="185"/>
    <n v="122"/>
    <n v="50"/>
    <n v="63"/>
    <n v="12.6"/>
    <n v="229"/>
    <m/>
    <m/>
    <m/>
    <s v="Rt MCA PCA watershed infract and Rt internal watershed infract "/>
    <m/>
    <s v="Eccentric plaque in rt carotid bulb extenting to carotid bifurcation and origin of rt ICA. "/>
    <m/>
    <m/>
    <m/>
    <m/>
    <m/>
    <m/>
    <m/>
    <n v="1"/>
    <n v="1"/>
    <n v="2"/>
    <m/>
    <n v="4"/>
    <n v="2"/>
    <n v="2"/>
    <n v="1"/>
    <n v="100"/>
    <n v="0"/>
    <n v="2"/>
    <n v="2"/>
    <n v="2"/>
    <n v="1"/>
    <n v="1"/>
    <n v="1"/>
    <n v="0"/>
    <n v="0"/>
    <n v="0"/>
    <n v="0"/>
    <n v="0"/>
    <n v="0"/>
    <n v="0"/>
    <x v="2"/>
    <n v="1"/>
    <n v="1"/>
    <n v="1"/>
  </r>
  <r>
    <s v="MG"/>
    <s v="Manohar A Zhurekar"/>
    <x v="168"/>
    <n v="0"/>
    <x v="167"/>
    <x v="174"/>
    <n v="37"/>
    <n v="1"/>
    <d v="2023-12-05T00:00:00"/>
    <d v="1899-12-30T08:30:00"/>
    <d v="2023-12-05T00:00:00"/>
    <d v="2023-12-07T00:00:00"/>
    <n v="9637968875"/>
    <m/>
    <n v="1"/>
    <n v="2"/>
    <n v="2"/>
    <n v="2"/>
    <n v="1"/>
    <n v="2"/>
    <n v="2"/>
    <n v="2"/>
    <n v="2"/>
    <n v="2"/>
    <n v="1"/>
    <m/>
    <n v="14.1"/>
    <n v="43.2"/>
    <n v="87.9"/>
    <n v="10.97"/>
    <m/>
    <m/>
    <m/>
    <m/>
    <m/>
    <m/>
    <n v="978"/>
    <n v="99"/>
    <m/>
    <m/>
    <m/>
    <m/>
    <s v="Acute non-hemorrhagic infract in right-fronto, An innitial flap is seen in left carotid bulb with hypodense non enhancing thrombus is seen extending into ICA for a lenght of 2.6cm with approx 50% luminal compromise"/>
    <m/>
    <n v="9"/>
    <n v="3"/>
    <n v="1"/>
    <n v="3"/>
    <n v="5"/>
    <m/>
    <n v="2"/>
    <n v="2"/>
    <n v="2"/>
    <m/>
    <m/>
    <n v="2"/>
    <n v="2"/>
    <n v="1"/>
    <n v="90"/>
    <n v="0"/>
    <n v="0"/>
    <n v="0"/>
    <n v="0"/>
    <n v="0"/>
    <n v="0"/>
    <n v="0"/>
    <n v="0"/>
    <n v="0"/>
    <n v="0"/>
    <n v="0"/>
    <n v="0"/>
    <n v="0"/>
    <n v="0"/>
    <x v="4"/>
    <n v="0"/>
    <n v="0"/>
    <n v="0"/>
  </r>
  <r>
    <s v="MG"/>
    <s v="Manohar A Zhurekar"/>
    <x v="168"/>
    <n v="0"/>
    <x v="167"/>
    <x v="174"/>
    <n v="37"/>
    <n v="1"/>
    <d v="2023-12-05T00:00:00"/>
    <d v="1899-12-30T08:30:00"/>
    <d v="2023-12-05T00:00:00"/>
    <d v="2023-12-07T00:00:00"/>
    <n v="9637968875"/>
    <m/>
    <n v="1"/>
    <n v="2"/>
    <n v="2"/>
    <n v="2"/>
    <n v="1"/>
    <n v="2"/>
    <n v="2"/>
    <n v="2"/>
    <n v="2"/>
    <n v="2"/>
    <n v="1"/>
    <m/>
    <n v="14.1"/>
    <n v="43.2"/>
    <n v="87.9"/>
    <n v="10.97"/>
    <m/>
    <m/>
    <m/>
    <m/>
    <m/>
    <m/>
    <n v="978"/>
    <n v="99"/>
    <m/>
    <m/>
    <m/>
    <m/>
    <s v="Acute non-hemorrhagic infract in right-fronto, An innitial flap is seen in left carotid bulb with hypodense non enhancing thrombus is seen extending into ICA for a lenght of 2.6cm with approx 50% luminal compromise"/>
    <m/>
    <n v="9"/>
    <n v="3"/>
    <n v="1"/>
    <n v="3"/>
    <n v="5"/>
    <m/>
    <n v="2"/>
    <n v="2"/>
    <n v="2"/>
    <m/>
    <m/>
    <n v="2"/>
    <n v="2"/>
    <n v="1"/>
    <n v="90"/>
    <n v="0"/>
    <n v="0"/>
    <n v="0"/>
    <n v="0"/>
    <n v="0"/>
    <n v="0"/>
    <n v="0"/>
    <n v="0"/>
    <n v="0"/>
    <n v="0"/>
    <n v="0"/>
    <n v="0"/>
    <n v="0"/>
    <n v="0"/>
    <x v="12"/>
    <n v="0"/>
    <n v="0"/>
    <n v="0"/>
  </r>
  <r>
    <s v="HV"/>
    <s v="Vinayak Parge"/>
    <x v="169"/>
    <n v="1"/>
    <x v="168"/>
    <x v="175"/>
    <n v="81"/>
    <n v="1"/>
    <d v="2023-11-23T00:00:00"/>
    <m/>
    <d v="2023-11-23T00:00:00"/>
    <d v="2023-11-25T00:00:00"/>
    <m/>
    <m/>
    <n v="2"/>
    <n v="2"/>
    <n v="2"/>
    <n v="2"/>
    <n v="2"/>
    <n v="2"/>
    <n v="2"/>
    <n v="2"/>
    <n v="2"/>
    <n v="2"/>
    <n v="2"/>
    <m/>
    <n v="11.6"/>
    <n v="35.1"/>
    <n v="87.6"/>
    <n v="42.7"/>
    <m/>
    <n v="173"/>
    <n v="112"/>
    <n v="49"/>
    <n v="60"/>
    <n v="12"/>
    <n v="148"/>
    <m/>
    <m/>
    <m/>
    <s v="Left PCA watershed infract and left internal watershed infract "/>
    <m/>
    <s v="left vertebral artery origin stenosis"/>
    <m/>
    <m/>
    <m/>
    <m/>
    <m/>
    <m/>
    <m/>
    <n v="1"/>
    <n v="1"/>
    <n v="2"/>
    <m/>
    <n v="4"/>
    <n v="2"/>
    <n v="2"/>
    <n v="1"/>
    <n v="65"/>
    <n v="0"/>
    <n v="0"/>
    <n v="0"/>
    <n v="0"/>
    <n v="0"/>
    <n v="0"/>
    <n v="0"/>
    <n v="1"/>
    <n v="2"/>
    <n v="2"/>
    <n v="2"/>
    <n v="1"/>
    <n v="1"/>
    <n v="1"/>
    <x v="3"/>
    <n v="0"/>
    <n v="0"/>
    <n v="0"/>
  </r>
  <r>
    <s v="AD"/>
    <s v="Sumit Pawar"/>
    <x v="170"/>
    <n v="1"/>
    <x v="169"/>
    <x v="176"/>
    <n v="35"/>
    <n v="1"/>
    <d v="2024-04-23T00:00:00"/>
    <d v="1899-12-30T10:30:00"/>
    <d v="2024-04-23T00:00:00"/>
    <d v="2024-04-29T00:00:00"/>
    <n v="9881490701"/>
    <n v="9075625071"/>
    <n v="17"/>
    <n v="2"/>
    <n v="2"/>
    <n v="2"/>
    <n v="2"/>
    <n v="2"/>
    <n v="2"/>
    <n v="2"/>
    <n v="2"/>
    <n v="2"/>
    <n v="2"/>
    <s v="accerated atheroscerotic cryptogenic stroke left eye CRAO"/>
    <n v="15.2"/>
    <n v="44.7"/>
    <n v="90.7"/>
    <n v="10.92"/>
    <m/>
    <n v="150"/>
    <n v="101"/>
    <n v="28"/>
    <n v="105"/>
    <n v="21"/>
    <n v="238"/>
    <n v="21"/>
    <m/>
    <m/>
    <s v="Left fronto parietal infract periodontics left post central gyris left nucleus left lentiform nucleus left post limb of internal capsule left insular cortex and left anterior temporal region "/>
    <m/>
    <s v="Left ICA 99% stenosis left M2 occlusion"/>
    <m/>
    <n v="7"/>
    <n v="3"/>
    <n v="1"/>
    <n v="2"/>
    <n v="4"/>
    <m/>
    <n v="1"/>
    <n v="1"/>
    <n v="2"/>
    <m/>
    <m/>
    <n v="1"/>
    <n v="2"/>
    <n v="0"/>
    <n v="100"/>
    <n v="0"/>
    <n v="0"/>
    <n v="0"/>
    <n v="0"/>
    <n v="0"/>
    <n v="0"/>
    <n v="0"/>
    <n v="0"/>
    <n v="0"/>
    <n v="0"/>
    <n v="0"/>
    <n v="1"/>
    <n v="1"/>
    <n v="1"/>
    <x v="13"/>
    <n v="0"/>
    <n v="1"/>
    <s v="Left CCA plaque"/>
  </r>
  <r>
    <s v="HW"/>
    <s v="Raghunath Gaikwad"/>
    <x v="171"/>
    <n v="1"/>
    <x v="170"/>
    <x v="177"/>
    <n v="75"/>
    <n v="1"/>
    <m/>
    <m/>
    <d v="2022-12-31T00:00:00"/>
    <d v="2022-01-02T00:00:00"/>
    <n v="964984448"/>
    <m/>
    <n v="4"/>
    <n v="1"/>
    <n v="2"/>
    <n v="2"/>
    <n v="2"/>
    <n v="2"/>
    <n v="2"/>
    <n v="2"/>
    <n v="2"/>
    <n v="2"/>
    <n v="2"/>
    <m/>
    <n v="15.9"/>
    <n v="46.3"/>
    <n v="87.8"/>
    <n v="29.06"/>
    <m/>
    <m/>
    <m/>
    <m/>
    <m/>
    <m/>
    <n v="665"/>
    <m/>
    <m/>
    <m/>
    <s v="Rt FTP occipital multiple infracts Rt periventrucular andRt with C, infrat in Rt MCA and PCA territorries, Stenosis seen in rt ICA, Left ICA shows non-stenosis plaques, Diffuse stenosis of Rt PCA . focal narrowing of P2 segment"/>
    <m/>
    <s v="Rt large vessel occlusion, Rt ICA 90% stenosis"/>
    <m/>
    <n v="5"/>
    <n v="3"/>
    <n v="1"/>
    <n v="3"/>
    <n v="5"/>
    <m/>
    <n v="1"/>
    <n v="1"/>
    <n v="2"/>
    <m/>
    <n v="4"/>
    <n v="2"/>
    <n v="2"/>
    <n v="0"/>
    <n v="100"/>
    <n v="1"/>
    <n v="2"/>
    <n v="2"/>
    <n v="2"/>
    <n v="1"/>
    <n v="1"/>
    <n v="1"/>
    <n v="0"/>
    <n v="0"/>
    <n v="0"/>
    <n v="0"/>
    <n v="0"/>
    <n v="0"/>
    <n v="0"/>
    <x v="3"/>
    <n v="1"/>
    <n v="1"/>
    <n v="0"/>
  </r>
  <r>
    <s v="MH"/>
    <s v="Vijay Bhilare"/>
    <x v="172"/>
    <n v="0"/>
    <x v="171"/>
    <x v="178"/>
    <n v="71"/>
    <n v="1"/>
    <d v="2024-06-30T00:00:00"/>
    <d v="1899-12-30T08:00:00"/>
    <m/>
    <m/>
    <n v="9850850331"/>
    <m/>
    <n v="2"/>
    <n v="2"/>
    <n v="2"/>
    <n v="2"/>
    <n v="2"/>
    <n v="1"/>
    <n v="2"/>
    <n v="2"/>
    <n v="2"/>
    <n v="2"/>
    <n v="2"/>
    <m/>
    <m/>
    <m/>
    <m/>
    <m/>
    <m/>
    <m/>
    <m/>
    <m/>
    <m/>
    <m/>
    <m/>
    <m/>
    <m/>
    <m/>
    <s v="Left PCA MCA watershed infract "/>
    <m/>
    <s v="Left ICA carvenous, supraclinoid and terminal segments severe luminal narrowing (&gt; 90%)"/>
    <m/>
    <n v="8"/>
    <n v="4"/>
    <n v="1"/>
    <n v="3"/>
    <n v="5"/>
    <m/>
    <n v="1"/>
    <n v="1"/>
    <n v="2"/>
    <m/>
    <m/>
    <n v="2"/>
    <n v="2"/>
    <n v="0"/>
    <n v="95"/>
    <n v="0"/>
    <n v="0"/>
    <n v="0"/>
    <n v="0"/>
    <n v="0"/>
    <n v="0"/>
    <n v="0"/>
    <n v="0"/>
    <n v="2"/>
    <n v="2"/>
    <n v="2"/>
    <n v="1"/>
    <n v="1"/>
    <n v="1"/>
    <x v="2"/>
    <n v="1"/>
    <n v="1"/>
    <n v="1"/>
  </r>
  <r>
    <s v="MI"/>
    <s v="Prakash Deshmukh "/>
    <x v="173"/>
    <n v="0"/>
    <x v="172"/>
    <x v="179"/>
    <n v="72"/>
    <n v="1"/>
    <d v="2024-06-13T00:00:00"/>
    <d v="1899-12-30T17:00:00"/>
    <d v="2024-06-13T00:00:00"/>
    <d v="2024-06-25T00:00:00"/>
    <n v="9766846207"/>
    <m/>
    <n v="22"/>
    <n v="1"/>
    <n v="1"/>
    <n v="2"/>
    <n v="2"/>
    <n v="2"/>
    <n v="2"/>
    <n v="2"/>
    <n v="2"/>
    <n v="2"/>
    <n v="2"/>
    <m/>
    <n v="14.5"/>
    <n v="43.1"/>
    <n v="87.6"/>
    <n v="19.559999999999999"/>
    <n v="5.9"/>
    <m/>
    <m/>
    <m/>
    <m/>
    <m/>
    <n v="186"/>
    <m/>
    <m/>
    <m/>
    <s v="Left MCA infract "/>
    <m/>
    <s v="Left ICA and MCA M1 occlusion paucity of cortical branches of Lt MCA. Mild peripheral opacification of M2 segment and superior division of MCA"/>
    <m/>
    <n v="9"/>
    <n v="1"/>
    <n v="2"/>
    <n v="1"/>
    <n v="4"/>
    <m/>
    <n v="1"/>
    <n v="2"/>
    <n v="1"/>
    <n v="2"/>
    <m/>
    <n v="1"/>
    <n v="2"/>
    <n v="1"/>
    <n v="85"/>
    <n v="0"/>
    <n v="0"/>
    <n v="0"/>
    <n v="0"/>
    <n v="0"/>
    <n v="0"/>
    <n v="0"/>
    <n v="0"/>
    <n v="0"/>
    <n v="0"/>
    <n v="0"/>
    <n v="1"/>
    <n v="1"/>
    <n v="1"/>
    <x v="13"/>
    <n v="0"/>
    <n v="1"/>
    <n v="0"/>
  </r>
  <r>
    <s v="EP"/>
    <s v="Govind  Saliyan "/>
    <x v="174"/>
    <n v="0"/>
    <x v="173"/>
    <x v="180"/>
    <n v="63"/>
    <n v="1"/>
    <d v="2024-01-14T00:00:00"/>
    <d v="1899-12-30T08:00:00"/>
    <d v="2024-01-16T00:00:00"/>
    <m/>
    <n v="8999894488"/>
    <m/>
    <m/>
    <n v="1"/>
    <n v="1"/>
    <n v="2"/>
    <n v="2"/>
    <n v="2"/>
    <n v="2"/>
    <n v="2"/>
    <n v="2"/>
    <n v="2"/>
    <n v="2"/>
    <s v="H/o o/c/o Rt tibia opened rod in situ 4 months back"/>
    <n v="12.8"/>
    <n v="38.9"/>
    <n v="83"/>
    <n v="17.63"/>
    <n v="9.1999999999999993"/>
    <n v="253"/>
    <n v="159.80000000000001"/>
    <n v="41"/>
    <n v="261"/>
    <n v="52.2"/>
    <n v="403"/>
    <m/>
    <m/>
    <m/>
    <s v="AIS in rt GC region, rt cerebral peduncle and Lt frontal region "/>
    <m/>
    <s v="Reports not found"/>
    <m/>
    <n v="8"/>
    <n v="5"/>
    <n v="1"/>
    <n v="3"/>
    <n v="5"/>
    <m/>
    <n v="1"/>
    <n v="2"/>
    <n v="2"/>
    <m/>
    <m/>
    <n v="2"/>
    <n v="2"/>
    <n v="1"/>
    <n v="90"/>
    <n v="0"/>
    <n v="2"/>
    <n v="2"/>
    <n v="2"/>
    <n v="1"/>
    <n v="1"/>
    <n v="1"/>
    <n v="0"/>
    <n v="0"/>
    <n v="0"/>
    <n v="0"/>
    <n v="0"/>
    <n v="0"/>
    <n v="0"/>
    <x v="2"/>
    <n v="1"/>
    <n v="0"/>
    <n v="0"/>
  </r>
  <r>
    <s v="CT"/>
    <s v="Smitha Ajgoankar"/>
    <x v="175"/>
    <n v="1"/>
    <x v="174"/>
    <x v="181"/>
    <n v="77"/>
    <n v="2"/>
    <m/>
    <m/>
    <d v="2023-01-23T00:00:00"/>
    <d v="2023-02-02T00:00:00"/>
    <n v="9730041275"/>
    <m/>
    <n v="14"/>
    <n v="2"/>
    <n v="2"/>
    <n v="2"/>
    <n v="2"/>
    <n v="2"/>
    <n v="2"/>
    <n v="2"/>
    <n v="2"/>
    <n v="2"/>
    <n v="1"/>
    <m/>
    <n v="11.4"/>
    <n v="36"/>
    <n v="77.8"/>
    <n v="16.7"/>
    <n v="9.9"/>
    <n v="169"/>
    <n v="101"/>
    <n v="57"/>
    <n v="55"/>
    <n v="11"/>
    <n v="1202"/>
    <m/>
    <m/>
    <m/>
    <s v="Left pre central (frontal lobe) Rt half of spleen left frontal"/>
    <m/>
    <s v="Paucity of insular grades of left MCA and  Parafalcine area left insular cortex and left post central gyrus"/>
    <m/>
    <n v="10"/>
    <n v="3"/>
    <n v="1"/>
    <n v="3"/>
    <n v="4"/>
    <m/>
    <n v="1"/>
    <m/>
    <n v="2"/>
    <m/>
    <n v="2"/>
    <m/>
    <m/>
    <n v="4"/>
    <n v="20"/>
    <n v="0"/>
    <n v="0"/>
    <n v="0"/>
    <n v="0"/>
    <n v="0"/>
    <n v="0"/>
    <n v="0"/>
    <n v="0"/>
    <n v="1"/>
    <n v="2"/>
    <n v="2"/>
    <n v="1"/>
    <n v="1"/>
    <n v="1"/>
    <x v="1"/>
    <n v="1"/>
    <n v="1"/>
    <n v="0"/>
  </r>
  <r>
    <m/>
    <s v="Pravin Gaikwad "/>
    <x v="11"/>
    <e v="#N/A"/>
    <x v="175"/>
    <x v="182"/>
    <n v="59"/>
    <n v="1"/>
    <d v="2023-09-01T00:00:00"/>
    <d v="1899-12-30T01:09:20"/>
    <d v="2023-09-01T00:00:00"/>
    <d v="2023-09-04T00:00:00"/>
    <n v="8888111011"/>
    <n v="9404233539"/>
    <n v="27"/>
    <n v="1"/>
    <n v="1"/>
    <n v="1"/>
    <n v="1"/>
    <n v="2"/>
    <n v="2"/>
    <n v="2"/>
    <n v="2"/>
    <n v="2"/>
    <n v="1"/>
    <s v="MRS Pvc stroke- 4"/>
    <n v="11.3"/>
    <n v="37"/>
    <n v="81.8"/>
    <n v="6.67"/>
    <n v="8.5"/>
    <n v="85"/>
    <n v="30.8"/>
    <n v="38"/>
    <n v="81"/>
    <m/>
    <n v="883"/>
    <m/>
    <m/>
    <m/>
    <s v="LT MCA massive infront, Rt superior parietal lobule and post central gyrus in front"/>
    <m/>
    <s v="Lt cavernous ICA thrombosis with reformation of Lt MCA. Rt ICA smooth tapering distal to carotid bulb suggestive of old dissection"/>
    <m/>
    <m/>
    <m/>
    <m/>
    <m/>
    <m/>
    <m/>
    <n v="1"/>
    <n v="2"/>
    <n v="2"/>
    <m/>
    <n v="4"/>
    <m/>
    <m/>
    <n v="6"/>
    <n v="0"/>
    <m/>
    <m/>
    <m/>
    <m/>
    <m/>
    <m/>
    <m/>
    <n v="0"/>
    <n v="0"/>
    <n v="2"/>
    <n v="2"/>
    <n v="2"/>
    <n v="1"/>
    <n v="1"/>
    <x v="1"/>
    <n v="0"/>
    <n v="0"/>
    <s v="Bilateral CCA plaque"/>
  </r>
  <r>
    <m/>
    <s v="gade ashok"/>
    <x v="26"/>
    <m/>
    <x v="176"/>
    <x v="26"/>
    <m/>
    <m/>
    <m/>
    <m/>
    <m/>
    <m/>
    <m/>
    <m/>
    <m/>
    <m/>
    <m/>
    <m/>
    <m/>
    <m/>
    <m/>
    <m/>
    <m/>
    <m/>
    <m/>
    <m/>
    <m/>
    <m/>
    <m/>
    <m/>
    <m/>
    <m/>
    <m/>
    <m/>
    <m/>
    <m/>
    <m/>
    <m/>
    <m/>
    <m/>
    <s v="Right MCA ACA, MCA PCA and internal watershed infarct"/>
    <s v="R"/>
    <m/>
    <m/>
    <m/>
    <m/>
    <m/>
    <m/>
    <m/>
    <m/>
    <m/>
    <m/>
    <m/>
    <m/>
    <m/>
    <m/>
    <m/>
    <m/>
    <m/>
    <m/>
    <m/>
    <m/>
    <m/>
    <m/>
    <m/>
    <m/>
    <m/>
    <m/>
    <m/>
    <m/>
    <m/>
    <m/>
    <m/>
    <x v="6"/>
    <m/>
    <m/>
    <m/>
  </r>
  <r>
    <s v="ER"/>
    <s v="Krushnadev Patil "/>
    <x v="176"/>
    <n v="1"/>
    <x v="177"/>
    <x v="183"/>
    <n v="83"/>
    <n v="1"/>
    <d v="2023-09-27T00:00:00"/>
    <d v="1899-12-30T06:00:00"/>
    <d v="2023-09-28T00:00:00"/>
    <d v="2023-10-11T00:00:00"/>
    <n v="7798907861"/>
    <m/>
    <n v="17"/>
    <n v="2"/>
    <n v="2"/>
    <n v="2"/>
    <n v="2"/>
    <n v="2"/>
    <n v="2"/>
    <n v="2"/>
    <n v="2"/>
    <n v="2"/>
    <n v="1"/>
    <m/>
    <n v="13.7"/>
    <n v="40.9"/>
    <n v="91.5"/>
    <n v="22.2"/>
    <n v="5.8"/>
    <n v="145"/>
    <n v="101.4"/>
    <n v="35"/>
    <n v="43"/>
    <n v="8.6"/>
    <n v="148"/>
    <m/>
    <m/>
    <m/>
    <s v="Acute NHI in Lt frontal lobe and Lt GC region "/>
    <m/>
    <m/>
    <m/>
    <n v="7"/>
    <n v="5"/>
    <n v="1"/>
    <n v="3"/>
    <n v="5"/>
    <m/>
    <n v="1"/>
    <n v="1"/>
    <n v="2"/>
    <m/>
    <m/>
    <m/>
    <m/>
    <n v="5"/>
    <n v="5"/>
    <n v="0"/>
    <n v="0"/>
    <n v="0"/>
    <n v="0"/>
    <n v="0"/>
    <n v="0"/>
    <n v="0"/>
    <n v="0"/>
    <n v="2"/>
    <n v="2"/>
    <n v="2"/>
    <n v="1"/>
    <n v="1"/>
    <n v="1"/>
    <x v="2"/>
    <n v="1"/>
    <n v="1"/>
    <s v="left CCA bifurcation plaques"/>
  </r>
  <r>
    <s v="AY"/>
    <s v="Ramesh Kulkarni"/>
    <x v="177"/>
    <n v="1"/>
    <x v="178"/>
    <x v="184"/>
    <n v="53"/>
    <n v="1"/>
    <d v="2023-01-27T00:00:00"/>
    <m/>
    <d v="2023-02-02T00:00:00"/>
    <d v="2023-02-03T00:00:00"/>
    <n v="7875077954"/>
    <m/>
    <m/>
    <n v="2"/>
    <n v="2"/>
    <n v="2"/>
    <n v="2"/>
    <n v="2"/>
    <n v="2"/>
    <n v="2"/>
    <n v="2"/>
    <n v="2"/>
    <n v="2"/>
    <m/>
    <n v="13"/>
    <n v="39.6"/>
    <n v="79"/>
    <n v="10.9"/>
    <n v="6.5"/>
    <n v="191"/>
    <n v="131.80000000000001"/>
    <n v="45"/>
    <n v="71"/>
    <n v="14.2"/>
    <n v="2000"/>
    <m/>
    <m/>
    <m/>
    <s v="A/c infarct left fronto parieto temporo occipital lobes"/>
    <m/>
    <s v="Moderate narrowing in distal segment of Rt MCA. near complete thrombotic occlusion of m1 segment of left MCA with mild peripheral enhancement and f"/>
    <m/>
    <m/>
    <m/>
    <m/>
    <m/>
    <m/>
    <m/>
    <n v="1"/>
    <n v="1"/>
    <n v="2"/>
    <m/>
    <n v="4"/>
    <m/>
    <m/>
    <n v="0"/>
    <n v="100"/>
    <n v="0"/>
    <n v="0"/>
    <n v="0"/>
    <n v="0"/>
    <n v="0"/>
    <n v="0"/>
    <n v="0"/>
    <n v="0"/>
    <n v="1"/>
    <n v="0"/>
    <n v="2"/>
    <n v="1"/>
    <n v="1"/>
    <n v="1"/>
    <x v="8"/>
    <n v="1"/>
    <n v="1"/>
    <n v="0"/>
  </r>
  <r>
    <s v="BQ"/>
    <s v="Balaram kadgi"/>
    <x v="178"/>
    <n v="0"/>
    <x v="179"/>
    <x v="185"/>
    <n v="81"/>
    <n v="1"/>
    <d v="2024-11-07T00:00:00"/>
    <d v="1899-12-30T22:00:00"/>
    <d v="2024-11-08T00:00:00"/>
    <d v="2024-11-09T00:00:00"/>
    <n v="9028206340"/>
    <m/>
    <n v="1"/>
    <n v="1"/>
    <n v="2"/>
    <n v="1"/>
    <n v="2"/>
    <n v="2"/>
    <n v="2"/>
    <n v="2"/>
    <n v="2"/>
    <n v="2"/>
    <n v="2"/>
    <m/>
    <n v="15.2"/>
    <n v="44.4"/>
    <n v="91.2"/>
    <n v="35.69"/>
    <n v="6.4"/>
    <n v="214"/>
    <n v="147"/>
    <n v="32"/>
    <n v="175"/>
    <n v="35"/>
    <n v="176"/>
    <m/>
    <m/>
    <m/>
    <s v="Rt MCA PCA watershed infract "/>
    <m/>
    <s v="Focal narrowing M1 of Rt MCA and mild pausity of my segment fo Rt MCA left ICA 60-70% stenosis Rt ICA 70-80% stenosis"/>
    <m/>
    <n v="8"/>
    <n v="4"/>
    <n v="1"/>
    <n v="2"/>
    <n v="4"/>
    <m/>
    <n v="1"/>
    <n v="1"/>
    <n v="2"/>
    <m/>
    <n v="4"/>
    <n v="2"/>
    <n v="2"/>
    <m/>
    <m/>
    <n v="0"/>
    <n v="1"/>
    <n v="2"/>
    <n v="2"/>
    <n v="1"/>
    <n v="1"/>
    <n v="1"/>
    <n v="0"/>
    <n v="0"/>
    <n v="0"/>
    <n v="0"/>
    <n v="0"/>
    <n v="0"/>
    <n v="0"/>
    <x v="1"/>
    <n v="1"/>
    <n v="0"/>
    <s v="Rt CCA Plaque"/>
  </r>
  <r>
    <s v="ES"/>
    <s v="Dattatray Kulkarni"/>
    <x v="179"/>
    <n v="1"/>
    <x v="180"/>
    <x v="186"/>
    <n v="75"/>
    <n v="1"/>
    <d v="2024-04-04T00:00:00"/>
    <d v="1899-12-30T11:30:00"/>
    <d v="2024-04-05T00:00:00"/>
    <d v="2024-04-12T00:00:00"/>
    <n v="9923064112"/>
    <n v="7972930241"/>
    <n v="18"/>
    <n v="2"/>
    <n v="2"/>
    <n v="2"/>
    <n v="2"/>
    <n v="2"/>
    <n v="2"/>
    <n v="2"/>
    <n v="2"/>
    <n v="2"/>
    <n v="2"/>
    <s v="Anemia with non healing ulcer "/>
    <n v="6.7"/>
    <n v="20.6"/>
    <n v="83.4"/>
    <n v="22.4"/>
    <n v="5.4"/>
    <n v="93"/>
    <n v="33.799999999999997"/>
    <n v="15"/>
    <n v="221"/>
    <n v="44.2"/>
    <n v="148"/>
    <m/>
    <s v="Ferritin 111, S iron- 63, UIBC- 118, TIBC- 181,  transferin saturation-34"/>
    <m/>
    <s v="Acute NHI in the rt fronto parietal temporal lobe paucity of cortical sement of right MCA with dealyed emphying "/>
    <m/>
    <s v="Paucity noted in cortical branches of rt MCA with dealyed emphying "/>
    <m/>
    <n v="8"/>
    <n v="3"/>
    <n v="1"/>
    <n v="3"/>
    <n v="5"/>
    <m/>
    <n v="1"/>
    <n v="1"/>
    <n v="2"/>
    <m/>
    <m/>
    <n v="2"/>
    <n v="2"/>
    <n v="1"/>
    <n v="70"/>
    <n v="0"/>
    <n v="2"/>
    <n v="2"/>
    <n v="2"/>
    <n v="1"/>
    <n v="1"/>
    <n v="1"/>
    <n v="0"/>
    <n v="0"/>
    <n v="0"/>
    <n v="0"/>
    <n v="0"/>
    <n v="0"/>
    <n v="0"/>
    <x v="2"/>
    <n v="1"/>
    <n v="1"/>
    <n v="0"/>
  </r>
  <r>
    <s v="CF"/>
    <s v="Prakash Sharma"/>
    <x v="180"/>
    <n v="1"/>
    <x v="181"/>
    <x v="187"/>
    <n v="58"/>
    <n v="1"/>
    <d v="2023-12-25T00:00:00"/>
    <d v="1899-12-30T10:00:00"/>
    <d v="2023-12-25T00:00:00"/>
    <m/>
    <n v="8320542903"/>
    <m/>
    <n v="10"/>
    <n v="2"/>
    <n v="1"/>
    <n v="2"/>
    <n v="2"/>
    <n v="2"/>
    <n v="2"/>
    <n v="2"/>
    <n v="1"/>
    <n v="2"/>
    <n v="2"/>
    <s v="Cataract surgery, H10 MI in 2014"/>
    <n v="15.4"/>
    <n v="48.5"/>
    <n v="89.1"/>
    <n v="39.299999999999997"/>
    <n v="6.2"/>
    <n v="186"/>
    <n v="111"/>
    <n v="32"/>
    <n v="212"/>
    <n v="42"/>
    <n v="148"/>
    <n v="88"/>
    <m/>
    <m/>
    <s v="Known left MCA teritory infract ventriculomegaly"/>
    <m/>
    <m/>
    <m/>
    <n v="10"/>
    <n v="3"/>
    <n v="1"/>
    <n v="3"/>
    <n v="5"/>
    <m/>
    <n v="1"/>
    <n v="2"/>
    <n v="1"/>
    <n v="2"/>
    <m/>
    <n v="2"/>
    <n v="2"/>
    <n v="0"/>
    <n v="100"/>
    <n v="0"/>
    <n v="0"/>
    <n v="0"/>
    <n v="0"/>
    <n v="0"/>
    <n v="0"/>
    <n v="0"/>
    <n v="1"/>
    <n v="2"/>
    <n v="2"/>
    <n v="2"/>
    <n v="0"/>
    <n v="0"/>
    <n v="1"/>
    <x v="1"/>
    <n v="0"/>
    <n v="0"/>
    <n v="0"/>
  </r>
  <r>
    <s v="CR"/>
    <s v="Indubai Sarang"/>
    <x v="181"/>
    <n v="0"/>
    <x v="182"/>
    <x v="188"/>
    <n v="80"/>
    <n v="2"/>
    <d v="2024-07-23T00:00:00"/>
    <m/>
    <d v="2024-07-25T00:00:00"/>
    <m/>
    <n v="9970695458"/>
    <m/>
    <n v="17"/>
    <n v="1"/>
    <n v="1"/>
    <n v="2"/>
    <n v="2"/>
    <n v="2"/>
    <n v="2"/>
    <n v="2"/>
    <n v="2"/>
    <n v="2"/>
    <n v="2"/>
    <m/>
    <n v="12.9"/>
    <n v="38.5"/>
    <n v="92"/>
    <n v="31.04"/>
    <n v="11.4"/>
    <n v="130"/>
    <n v="68.8"/>
    <n v="31"/>
    <n v="151"/>
    <n v="30.2"/>
    <n v="198"/>
    <m/>
    <m/>
    <m/>
    <s v="Acute infract seen in cortical and subcortical white matter of Lt frontal, parietal and temporal lobe, Lt centrum semiovale, Lt corona radiata and Lt lentiform nucleus"/>
    <m/>
    <s v="Atherosclerotic plaque at Lt carotid bulb narrowing Rt ICA . the plaque extends =10 mm ICA distal narrowing upto 6.4mm causing 50-60%"/>
    <m/>
    <n v="9"/>
    <n v="2"/>
    <n v="2"/>
    <n v="3"/>
    <n v="4"/>
    <m/>
    <n v="1"/>
    <n v="1"/>
    <n v="2"/>
    <m/>
    <m/>
    <n v="2"/>
    <n v="2"/>
    <n v="5"/>
    <n v="100"/>
    <n v="0"/>
    <n v="0"/>
    <n v="0"/>
    <n v="0"/>
    <n v="0"/>
    <n v="0"/>
    <n v="0"/>
    <n v="0"/>
    <n v="2"/>
    <n v="1"/>
    <n v="2"/>
    <n v="1"/>
    <n v="1"/>
    <n v="1"/>
    <x v="1"/>
    <n v="1"/>
    <n v="0"/>
    <n v="0"/>
  </r>
  <r>
    <s v="CS"/>
    <s v="Vishal Pasalkar"/>
    <x v="182"/>
    <n v="0"/>
    <x v="183"/>
    <x v="189"/>
    <n v="43"/>
    <n v="1"/>
    <s v="20-08-2024"/>
    <d v="1899-12-30T20:30:00"/>
    <s v="20-08-2024"/>
    <s v="23-08-2024"/>
    <n v="7066240904"/>
    <m/>
    <n v="16"/>
    <n v="1"/>
    <n v="1"/>
    <n v="1"/>
    <n v="1"/>
    <n v="2"/>
    <n v="2"/>
    <n v="2"/>
    <n v="1"/>
    <n v="2"/>
    <n v="2"/>
    <m/>
    <n v="12.3"/>
    <n v="37.9"/>
    <n v="82.6"/>
    <n v="23.91"/>
    <m/>
    <n v="153"/>
    <n v="105.6"/>
    <n v="29"/>
    <n v="92"/>
    <n v="18.399999999999999"/>
    <m/>
    <m/>
    <m/>
    <m/>
    <s v="Left MCA infract"/>
    <m/>
    <s v="Left ICA floating thrombus and left M2 distal thrombus"/>
    <m/>
    <n v="8"/>
    <n v="3"/>
    <n v="1"/>
    <n v="3"/>
    <n v="4"/>
    <m/>
    <n v="1"/>
    <n v="1"/>
    <n v="1"/>
    <n v="2"/>
    <m/>
    <n v="2"/>
    <n v="2"/>
    <n v="1"/>
    <n v="95"/>
    <n v="0"/>
    <n v="0"/>
    <n v="0"/>
    <n v="0"/>
    <n v="0"/>
    <n v="0"/>
    <n v="0"/>
    <n v="1"/>
    <n v="2"/>
    <n v="2"/>
    <n v="0"/>
    <n v="1"/>
    <n v="1"/>
    <n v="1"/>
    <x v="1"/>
    <n v="0"/>
    <n v="1"/>
    <n v="0"/>
  </r>
  <r>
    <m/>
    <s v="more suresh"/>
    <x v="26"/>
    <m/>
    <x v="184"/>
    <x v="26"/>
    <m/>
    <m/>
    <m/>
    <m/>
    <m/>
    <m/>
    <m/>
    <m/>
    <m/>
    <m/>
    <m/>
    <m/>
    <m/>
    <m/>
    <m/>
    <m/>
    <m/>
    <m/>
    <m/>
    <m/>
    <m/>
    <m/>
    <m/>
    <m/>
    <m/>
    <m/>
    <m/>
    <m/>
    <m/>
    <m/>
    <m/>
    <m/>
    <m/>
    <m/>
    <s v="Rt MCA territory patchy infarct"/>
    <s v="R"/>
    <m/>
    <m/>
    <m/>
    <m/>
    <m/>
    <m/>
    <m/>
    <m/>
    <m/>
    <m/>
    <m/>
    <m/>
    <m/>
    <m/>
    <m/>
    <m/>
    <m/>
    <m/>
    <m/>
    <m/>
    <m/>
    <m/>
    <m/>
    <m/>
    <m/>
    <m/>
    <m/>
    <m/>
    <m/>
    <m/>
    <m/>
    <x v="6"/>
    <m/>
    <m/>
    <m/>
  </r>
  <r>
    <s v="MJ"/>
    <s v="Vandana Dhakad"/>
    <x v="183"/>
    <n v="0"/>
    <x v="185"/>
    <x v="190"/>
    <n v="54"/>
    <n v="2"/>
    <d v="2023-12-14T00:00:00"/>
    <d v="1899-12-30T18:30:00"/>
    <d v="2023-12-14T00:00:00"/>
    <d v="2023-12-24T00:00:00"/>
    <n v="7507244002"/>
    <m/>
    <n v="5"/>
    <n v="1"/>
    <n v="1"/>
    <n v="2"/>
    <n v="2"/>
    <n v="2"/>
    <n v="2"/>
    <n v="2"/>
    <n v="2"/>
    <n v="2"/>
    <n v="2"/>
    <m/>
    <n v="13.8"/>
    <n v="43.3"/>
    <n v="85.2"/>
    <n v="8.39"/>
    <n v="9.3000000000000007"/>
    <n v="131"/>
    <n v="76.400000000000006"/>
    <n v="32"/>
    <n v="113"/>
    <n v="22.6"/>
    <n v="1204"/>
    <m/>
    <m/>
    <m/>
    <s v="Right MCA- RCA watershed infract"/>
    <m/>
    <s v="Normal"/>
    <m/>
    <n v="8"/>
    <m/>
    <n v="1"/>
    <n v="3"/>
    <m/>
    <m/>
    <n v="1"/>
    <m/>
    <n v="1"/>
    <n v="2"/>
    <m/>
    <m/>
    <m/>
    <n v="2"/>
    <n v="65"/>
    <n v="0"/>
    <n v="0"/>
    <n v="0"/>
    <n v="0"/>
    <n v="0"/>
    <n v="0"/>
    <n v="0"/>
    <n v="0"/>
    <n v="0"/>
    <n v="0"/>
    <n v="0"/>
    <n v="0"/>
    <n v="0"/>
    <n v="0"/>
    <x v="4"/>
    <n v="0"/>
    <n v="0"/>
    <n v="0"/>
  </r>
  <r>
    <s v="MK"/>
    <s v="Revansiddha s Birajdar"/>
    <x v="184"/>
    <n v="0"/>
    <x v="186"/>
    <x v="191"/>
    <n v="78"/>
    <n v="1"/>
    <d v="2024-03-08T00:00:00"/>
    <d v="1899-12-30T07:30:00"/>
    <d v="2024-03-08T00:00:00"/>
    <m/>
    <n v="9822117746"/>
    <m/>
    <n v="12"/>
    <n v="2"/>
    <n v="2"/>
    <n v="2"/>
    <n v="1"/>
    <n v="2"/>
    <n v="2"/>
    <n v="2"/>
    <n v="2"/>
    <n v="2"/>
    <n v="2"/>
    <m/>
    <n v="16"/>
    <n v="92"/>
    <n v="46"/>
    <m/>
    <m/>
    <n v="143"/>
    <n v="95"/>
    <n v="32"/>
    <n v="76"/>
    <n v="15"/>
    <m/>
    <m/>
    <m/>
    <m/>
    <s v="Left anterior choroidal artery infract"/>
    <m/>
    <s v="Left terminal ICA thrombosis"/>
    <m/>
    <n v="9"/>
    <n v="4"/>
    <n v="1"/>
    <n v="3"/>
    <n v="5"/>
    <m/>
    <n v="2"/>
    <n v="2"/>
    <n v="1"/>
    <n v="1"/>
    <m/>
    <n v="2"/>
    <n v="2"/>
    <n v="6"/>
    <n v="100"/>
    <n v="0"/>
    <n v="0"/>
    <n v="0"/>
    <n v="0"/>
    <n v="0"/>
    <n v="0"/>
    <n v="0"/>
    <n v="0"/>
    <n v="0"/>
    <n v="0"/>
    <n v="0"/>
    <n v="0"/>
    <n v="0"/>
    <n v="0"/>
    <x v="4"/>
    <n v="0"/>
    <n v="0"/>
    <n v="0"/>
  </r>
  <r>
    <s v="DX"/>
    <s v="Shankar Sondhar"/>
    <x v="185"/>
    <n v="1"/>
    <x v="187"/>
    <x v="192"/>
    <n v="67"/>
    <n v="1"/>
    <m/>
    <m/>
    <d v="2023-05-05T00:00:00"/>
    <d v="2023-05-06T00:00:00"/>
    <n v="9765047875"/>
    <m/>
    <m/>
    <n v="1"/>
    <n v="1"/>
    <n v="2"/>
    <n v="1"/>
    <n v="2"/>
    <n v="2"/>
    <n v="2"/>
    <n v="2"/>
    <n v="2"/>
    <n v="2"/>
    <m/>
    <n v="12.9"/>
    <n v="40.1"/>
    <n v="78.3"/>
    <n v="4.7699999999999996"/>
    <m/>
    <n v="10.4"/>
    <n v="111"/>
    <n v="32"/>
    <n v="294"/>
    <n v="58.8"/>
    <n v="770"/>
    <m/>
    <m/>
    <m/>
    <s v="A/c non hemorghic infract Rt parieto-temporal region. Gliosis in Rt high frontal region"/>
    <m/>
    <s v="Eccentric hypodense plaque Rt carotid bulb without luminal compromise"/>
    <m/>
    <m/>
    <m/>
    <m/>
    <m/>
    <m/>
    <m/>
    <m/>
    <m/>
    <m/>
    <m/>
    <m/>
    <m/>
    <m/>
    <n v="1"/>
    <n v="100"/>
    <n v="1"/>
    <n v="1"/>
    <n v="2"/>
    <n v="2"/>
    <n v="1"/>
    <n v="1"/>
    <n v="1"/>
    <n v="0"/>
    <n v="0"/>
    <n v="0"/>
    <n v="0"/>
    <n v="0"/>
    <n v="0"/>
    <n v="0"/>
    <x v="2"/>
    <n v="1"/>
    <n v="1"/>
    <n v="0"/>
  </r>
  <r>
    <s v="GK"/>
    <s v="NihaL Mane"/>
    <x v="186"/>
    <n v="0"/>
    <x v="188"/>
    <x v="193"/>
    <n v="25"/>
    <n v="1"/>
    <d v="2024-09-30T00:00:00"/>
    <d v="1899-12-30T06:30:00"/>
    <d v="2024-09-30T00:00:00"/>
    <d v="2024-10-05T00:00:00"/>
    <n v="9075487821"/>
    <m/>
    <n v="17"/>
    <n v="2"/>
    <n v="2"/>
    <n v="1"/>
    <n v="2"/>
    <n v="2"/>
    <n v="2"/>
    <n v="2"/>
    <n v="2"/>
    <n v="2"/>
    <n v="2"/>
    <s v="Ganja"/>
    <n v="14.2"/>
    <n v="42.5"/>
    <n v="96"/>
    <n v="12.53"/>
    <m/>
    <m/>
    <m/>
    <m/>
    <m/>
    <m/>
    <n v="186"/>
    <m/>
    <m/>
    <m/>
    <s v="Lt MCA M3 infract"/>
    <m/>
    <s v="Lt CCA origin plaque 90% stenosis (floting thrombosis) with left M3 distal thrombosis"/>
    <m/>
    <n v="8"/>
    <n v="4"/>
    <n v="1"/>
    <n v="3"/>
    <n v="4"/>
    <m/>
    <n v="1"/>
    <n v="2"/>
    <n v="1"/>
    <n v="2"/>
    <n v="3"/>
    <n v="2"/>
    <n v="2"/>
    <m/>
    <m/>
    <n v="0"/>
    <n v="0"/>
    <n v="0"/>
    <n v="0"/>
    <n v="0"/>
    <n v="0"/>
    <n v="0"/>
    <n v="1"/>
    <n v="2"/>
    <n v="2"/>
    <n v="2"/>
    <n v="1"/>
    <n v="1"/>
    <n v="1"/>
    <x v="3"/>
    <n v="0"/>
    <n v="1"/>
    <n v="1"/>
  </r>
  <r>
    <s v="OP"/>
    <s v="Suresh Bobade "/>
    <x v="187"/>
    <n v="0"/>
    <x v="189"/>
    <x v="194"/>
    <n v="74"/>
    <n v="1"/>
    <d v="2024-10-18T00:00:00"/>
    <m/>
    <d v="2024-10-19T00:00:00"/>
    <d v="2024-10-23T00:00:00"/>
    <n v="8668915945"/>
    <n v="8087726384"/>
    <m/>
    <n v="1"/>
    <n v="1"/>
    <n v="2"/>
    <n v="2"/>
    <n v="2"/>
    <n v="2"/>
    <n v="2"/>
    <n v="2"/>
    <n v="2"/>
    <n v="1"/>
    <m/>
    <n v="14.6"/>
    <n v="44.3"/>
    <n v="89.5"/>
    <m/>
    <n v="10.7"/>
    <m/>
    <m/>
    <m/>
    <m/>
    <m/>
    <n v="485"/>
    <m/>
    <m/>
    <m/>
    <s v="Acute non-hemmo lacunar infract in both centrum semiovale "/>
    <m/>
    <s v="Atherosclerotic plaques in petrus cavenous and supraclinoid segment of Left ICA paucity of distal branches of left MCA"/>
    <m/>
    <m/>
    <m/>
    <m/>
    <m/>
    <m/>
    <m/>
    <n v="1"/>
    <n v="2"/>
    <n v="2"/>
    <m/>
    <n v="4"/>
    <n v="2"/>
    <n v="2"/>
    <n v="2"/>
    <n v="75"/>
    <n v="0"/>
    <n v="0"/>
    <n v="0"/>
    <n v="0"/>
    <n v="0"/>
    <n v="0"/>
    <n v="0"/>
    <n v="0"/>
    <n v="0"/>
    <n v="0"/>
    <n v="0"/>
    <n v="0"/>
    <n v="0"/>
    <n v="0"/>
    <x v="4"/>
    <n v="0"/>
    <n v="0"/>
    <n v="0"/>
  </r>
  <r>
    <s v="BA"/>
    <s v="Malusare suresh "/>
    <x v="188"/>
    <n v="1"/>
    <x v="190"/>
    <x v="195"/>
    <n v="70"/>
    <n v="1"/>
    <d v="2023-09-18T00:00:00"/>
    <d v="1899-12-30T11:00:00"/>
    <d v="2023-09-29T00:00:00"/>
    <d v="2023-09-30T00:00:00"/>
    <n v="9168935500"/>
    <m/>
    <m/>
    <n v="2"/>
    <n v="1"/>
    <n v="2"/>
    <n v="1"/>
    <n v="2"/>
    <n v="2"/>
    <n v="2"/>
    <n v="2"/>
    <n v="2"/>
    <n v="2"/>
    <m/>
    <n v="12"/>
    <n v="30.2"/>
    <n v="78.2"/>
    <n v="37.22"/>
    <n v="11"/>
    <n v="137"/>
    <n v="82.4"/>
    <n v="40"/>
    <n v="73"/>
    <n v="14.6"/>
    <n v="7200"/>
    <m/>
    <s v="S. ferritin- 247, S. Iron - 47, S.TIBC- 198, S.UIBC-151, Transferrin Saturation- 23 "/>
    <m/>
    <s v="Lt FPT infract and Lt MCA teritory infract"/>
    <m/>
    <s v="Thrombrosis of Lt MCA distal to M1 segment"/>
    <m/>
    <n v="1"/>
    <n v="2"/>
    <n v="2"/>
    <n v="1"/>
    <n v="2"/>
    <m/>
    <n v="1"/>
    <n v="1"/>
    <n v="2"/>
    <m/>
    <n v="4"/>
    <m/>
    <m/>
    <n v="0"/>
    <n v="85"/>
    <n v="0"/>
    <n v="0"/>
    <n v="0"/>
    <n v="0"/>
    <n v="0"/>
    <n v="0"/>
    <n v="0"/>
    <n v="1"/>
    <n v="2"/>
    <n v="2"/>
    <n v="0"/>
    <n v="0"/>
    <n v="0"/>
    <n v="1"/>
    <x v="8"/>
    <n v="1"/>
    <n v="1"/>
    <n v="0"/>
  </r>
  <r>
    <s v="BB"/>
    <s v="Suman G. Yadav "/>
    <x v="189"/>
    <n v="1"/>
    <x v="191"/>
    <x v="196"/>
    <n v="70"/>
    <n v="2"/>
    <d v="2023-09-19T00:00:00"/>
    <m/>
    <d v="2023-09-19T00:00:00"/>
    <d v="2023-09-26T00:00:00"/>
    <n v="9765292299"/>
    <m/>
    <n v="19"/>
    <n v="1"/>
    <n v="2"/>
    <n v="2"/>
    <n v="2"/>
    <n v="2"/>
    <n v="2"/>
    <n v="2"/>
    <n v="2"/>
    <n v="2"/>
    <n v="2"/>
    <s v="AKI"/>
    <n v="9.8000000000000007"/>
    <n v="30.8"/>
    <n v="96.3"/>
    <n v="7.81"/>
    <n v="6.3"/>
    <n v="128"/>
    <n v="68.8"/>
    <n v="24"/>
    <n v="176"/>
    <n v="35.200000000000003"/>
    <n v="1539"/>
    <m/>
    <m/>
    <m/>
    <s v="NHI in Lt insular cortex is temporal region chronic small changes"/>
    <m/>
    <s v="Thrombosis of distal M1 segment of Lt MCA near complete occlusion. There is filling of the superior is inferior division 2 M2 segments of MCA on diluted scan focal significant sterosis in terminal V4 "/>
    <m/>
    <n v="9"/>
    <n v="2"/>
    <n v="1"/>
    <n v="1"/>
    <n v="4"/>
    <m/>
    <n v="1"/>
    <n v="1"/>
    <n v="1"/>
    <n v="2"/>
    <m/>
    <n v="1"/>
    <n v="2"/>
    <n v="6"/>
    <m/>
    <n v="0"/>
    <n v="0"/>
    <n v="0"/>
    <n v="0"/>
    <n v="0"/>
    <n v="0"/>
    <n v="0"/>
    <n v="1"/>
    <n v="2"/>
    <n v="2"/>
    <n v="0"/>
    <n v="0"/>
    <n v="0"/>
    <n v="1"/>
    <x v="8"/>
    <n v="1"/>
    <n v="1"/>
    <n v="0"/>
  </r>
  <r>
    <s v="ML"/>
    <s v="Anjali Dubey"/>
    <x v="190"/>
    <n v="0"/>
    <x v="192"/>
    <x v="197"/>
    <n v="24"/>
    <n v="2"/>
    <d v="2024-07-02T00:00:00"/>
    <d v="1899-12-30T01:35:00"/>
    <d v="2024-07-02T00:00:00"/>
    <d v="2024-07-07T00:00:00"/>
    <n v="8855997524"/>
    <m/>
    <n v="5"/>
    <n v="1"/>
    <n v="2"/>
    <n v="2"/>
    <n v="2"/>
    <n v="2"/>
    <n v="2"/>
    <n v="2"/>
    <n v="2"/>
    <n v="2"/>
    <n v="1"/>
    <m/>
    <n v="14.4"/>
    <n v="42.6"/>
    <n v="89.9"/>
    <n v="7.87"/>
    <n v="5.2"/>
    <n v="207"/>
    <n v="126.8"/>
    <n v="39"/>
    <n v="206"/>
    <n v="41.2"/>
    <n v="369"/>
    <m/>
    <m/>
    <m/>
    <s v="Right MCA infract old Rt MCA PCA gliosis"/>
    <m/>
    <s v="Right MCA superior division occlusion"/>
    <m/>
    <n v="8"/>
    <n v="4"/>
    <n v="1"/>
    <n v="3"/>
    <n v="5"/>
    <m/>
    <n v="1"/>
    <n v="1"/>
    <n v="2"/>
    <m/>
    <m/>
    <n v="2"/>
    <n v="2"/>
    <n v="0"/>
    <n v="100"/>
    <n v="1"/>
    <n v="2"/>
    <n v="2"/>
    <n v="2"/>
    <n v="1"/>
    <n v="0"/>
    <n v="1"/>
    <n v="0"/>
    <n v="0"/>
    <n v="0"/>
    <n v="0"/>
    <n v="0"/>
    <n v="0"/>
    <n v="0"/>
    <x v="2"/>
    <n v="1"/>
    <n v="1"/>
    <n v="0"/>
  </r>
  <r>
    <s v="MM"/>
    <s v="Suresh Acharehar"/>
    <x v="191"/>
    <n v="0"/>
    <x v="193"/>
    <x v="198"/>
    <n v="45"/>
    <n v="1"/>
    <d v="2024-06-12T00:00:00"/>
    <d v="1899-12-30T20:55:00"/>
    <d v="2024-06-12T00:00:00"/>
    <d v="2024-06-29T00:00:00"/>
    <n v="9764436141"/>
    <n v="9960874913"/>
    <n v="20"/>
    <n v="1"/>
    <n v="1"/>
    <n v="2"/>
    <n v="2"/>
    <n v="2"/>
    <n v="2"/>
    <n v="2"/>
    <n v="2"/>
    <n v="2"/>
    <n v="2"/>
    <m/>
    <n v="13.9"/>
    <n v="43.1"/>
    <n v="91.6"/>
    <n v="12.63"/>
    <n v="13"/>
    <n v="193"/>
    <n v="124.6"/>
    <n v="39"/>
    <n v="147"/>
    <n v="29.4"/>
    <n v="192"/>
    <m/>
    <m/>
    <m/>
    <s v="Right MCA infract"/>
    <m/>
    <s v="Right M3 thombus, occlusion distal to M1 segment of the rt MCA"/>
    <m/>
    <n v="9"/>
    <n v="2"/>
    <n v="1"/>
    <n v="3"/>
    <n v="5"/>
    <m/>
    <n v="1"/>
    <n v="2"/>
    <n v="1"/>
    <n v="1"/>
    <m/>
    <n v="2"/>
    <n v="2"/>
    <n v="0"/>
    <n v="100"/>
    <n v="1"/>
    <n v="2"/>
    <n v="2"/>
    <n v="2"/>
    <n v="0"/>
    <n v="1"/>
    <n v="1"/>
    <n v="0"/>
    <n v="0"/>
    <n v="0"/>
    <n v="0"/>
    <n v="0"/>
    <n v="0"/>
    <n v="0"/>
    <x v="2"/>
    <n v="1"/>
    <n v="1"/>
    <n v="0"/>
  </r>
  <r>
    <s v="ET"/>
    <s v="Ramdas Darwavdkar "/>
    <x v="192"/>
    <n v="1"/>
    <x v="194"/>
    <x v="199"/>
    <n v="57"/>
    <n v="1"/>
    <d v="2023-09-20T00:00:00"/>
    <d v="1899-12-30T10:00:00"/>
    <d v="2023-09-20T00:00:00"/>
    <d v="2023-09-29T00:00:00"/>
    <m/>
    <m/>
    <n v="1"/>
    <n v="1"/>
    <n v="1"/>
    <n v="2"/>
    <n v="2"/>
    <n v="2"/>
    <n v="2"/>
    <n v="2"/>
    <n v="2"/>
    <n v="2"/>
    <n v="2"/>
    <s v="Gerstmann Syndrome"/>
    <n v="12.3"/>
    <m/>
    <m/>
    <n v="77.17"/>
    <n v="8.6"/>
    <n v="180"/>
    <n v="64.8"/>
    <n v="25"/>
    <n v="451"/>
    <n v="90.2"/>
    <n v="148"/>
    <m/>
    <m/>
    <m/>
    <s v="Left PCA MCA watershed infront"/>
    <m/>
    <s v="Left CCA thrombosis causing 60% stenosis"/>
    <m/>
    <n v="10"/>
    <n v="4"/>
    <n v="1"/>
    <n v="3"/>
    <n v="5"/>
    <m/>
    <n v="1"/>
    <n v="1"/>
    <n v="2"/>
    <m/>
    <n v="4"/>
    <m/>
    <m/>
    <n v="0"/>
    <n v="100"/>
    <n v="0"/>
    <n v="0"/>
    <n v="0"/>
    <n v="0"/>
    <n v="0"/>
    <n v="0"/>
    <n v="0"/>
    <n v="1"/>
    <n v="2"/>
    <n v="1"/>
    <n v="2"/>
    <n v="1"/>
    <n v="1"/>
    <n v="1"/>
    <x v="2"/>
    <n v="1"/>
    <n v="1"/>
    <s v="Left CCA thrombus"/>
  </r>
  <r>
    <s v="BI"/>
    <s v="Lalbahadur singh"/>
    <x v="193"/>
    <n v="1"/>
    <x v="195"/>
    <x v="200"/>
    <n v="70"/>
    <n v="1"/>
    <d v="2024-03-29T00:00:00"/>
    <d v="1899-12-30T21:00:00"/>
    <d v="2024-03-30T00:00:00"/>
    <m/>
    <n v="8956146855"/>
    <n v="9699024966"/>
    <n v="14"/>
    <n v="2"/>
    <n v="2"/>
    <n v="1"/>
    <n v="2"/>
    <n v="1"/>
    <n v="2"/>
    <n v="2"/>
    <n v="2"/>
    <n v="2"/>
    <n v="2"/>
    <m/>
    <n v="13.5"/>
    <n v="41.4"/>
    <n v="87.6"/>
    <n v="41.69"/>
    <n v="6.9"/>
    <n v="195"/>
    <n v="125.2"/>
    <n v="50"/>
    <n v="99"/>
    <n v="19.8"/>
    <n v="162"/>
    <m/>
    <m/>
    <m/>
    <s v="Right PCA- MCA watershed and Rt MCA teritory watershed infract"/>
    <m/>
    <s v="Right MCA M2 thrombosis; "/>
    <m/>
    <n v="8"/>
    <n v="2"/>
    <n v="2"/>
    <n v="3"/>
    <n v="4"/>
    <m/>
    <n v="1"/>
    <n v="2"/>
    <n v="2"/>
    <m/>
    <m/>
    <n v="2"/>
    <n v="2"/>
    <n v="0"/>
    <n v="80"/>
    <n v="0"/>
    <n v="2"/>
    <n v="2"/>
    <n v="0"/>
    <n v="1"/>
    <n v="1"/>
    <n v="1"/>
    <n v="0"/>
    <n v="0"/>
    <n v="0"/>
    <n v="0"/>
    <n v="0"/>
    <n v="0"/>
    <n v="0"/>
    <x v="0"/>
    <n v="1"/>
    <n v="1"/>
    <n v="0"/>
  </r>
  <r>
    <s v="BC"/>
    <s v="Audumbar Jadhav"/>
    <x v="194"/>
    <n v="1"/>
    <x v="196"/>
    <x v="201"/>
    <n v="40"/>
    <n v="1"/>
    <d v="2023-10-01T00:00:00"/>
    <d v="1899-12-30T08:45:00"/>
    <d v="2023-10-01T00:00:00"/>
    <d v="2023-10-05T00:00:00"/>
    <n v="9623021212"/>
    <m/>
    <n v="5"/>
    <n v="2"/>
    <n v="2"/>
    <n v="2"/>
    <n v="2"/>
    <n v="2"/>
    <n v="2"/>
    <n v="2"/>
    <n v="2"/>
    <n v="2"/>
    <n v="2"/>
    <m/>
    <n v="15.7"/>
    <n v="46"/>
    <n v="96"/>
    <n v="14.32"/>
    <n v="5.5"/>
    <n v="175"/>
    <n v="120"/>
    <n v="29"/>
    <n v="126"/>
    <n v="25"/>
    <n v="148"/>
    <m/>
    <m/>
    <m/>
    <s v="Right MCA superior division infract"/>
    <m/>
    <s v="Right MCA superior division thrombosis"/>
    <m/>
    <n v="10"/>
    <n v="5"/>
    <n v="1"/>
    <n v="3"/>
    <n v="5"/>
    <m/>
    <n v="1"/>
    <m/>
    <n v="1"/>
    <n v="1"/>
    <m/>
    <m/>
    <m/>
    <n v="0"/>
    <m/>
    <n v="1"/>
    <n v="2"/>
    <n v="2"/>
    <n v="0"/>
    <n v="0"/>
    <n v="0"/>
    <n v="1"/>
    <n v="0"/>
    <n v="0"/>
    <n v="0"/>
    <n v="0"/>
    <n v="0"/>
    <n v="0"/>
    <n v="0"/>
    <x v="8"/>
    <n v="1"/>
    <n v="1"/>
    <n v="0"/>
  </r>
  <r>
    <s v="EU"/>
    <s v="Sunil Sawant"/>
    <x v="195"/>
    <n v="1"/>
    <x v="197"/>
    <x v="202"/>
    <n v="52"/>
    <n v="1"/>
    <m/>
    <m/>
    <d v="2023-01-23T00:00:00"/>
    <d v="2023-01-24T00:00:00"/>
    <n v="9545062949"/>
    <m/>
    <n v="6"/>
    <n v="1"/>
    <n v="2"/>
    <n v="2"/>
    <n v="2"/>
    <n v="2"/>
    <n v="2"/>
    <n v="2"/>
    <n v="2"/>
    <n v="2"/>
    <n v="2"/>
    <s v="Thyroidectomy PODs, Hyperhomo "/>
    <n v="13.4"/>
    <n v="41.5"/>
    <n v="83.6"/>
    <n v="40.79"/>
    <m/>
    <m/>
    <m/>
    <m/>
    <m/>
    <m/>
    <n v="241"/>
    <m/>
    <m/>
    <m/>
    <s v="Infract in left FPO region with "/>
    <m/>
    <s v="M1 stenosis"/>
    <m/>
    <n v="8"/>
    <n v="3"/>
    <n v="1"/>
    <n v="3"/>
    <n v="5"/>
    <m/>
    <n v="1"/>
    <n v="1"/>
    <n v="2"/>
    <m/>
    <n v="4"/>
    <m/>
    <m/>
    <n v="0"/>
    <n v="100"/>
    <n v="0"/>
    <n v="0"/>
    <n v="0"/>
    <n v="0"/>
    <n v="0"/>
    <n v="0"/>
    <n v="0"/>
    <n v="1"/>
    <n v="2"/>
    <n v="2"/>
    <n v="2"/>
    <n v="1"/>
    <n v="0"/>
    <n v="1"/>
    <x v="2"/>
    <n v="1"/>
    <n v="1"/>
    <n v="0"/>
  </r>
  <r>
    <s v="MN"/>
    <s v="Dnyanadev Shinde"/>
    <x v="196"/>
    <n v="0"/>
    <x v="198"/>
    <x v="203"/>
    <n v="41"/>
    <n v="1"/>
    <d v="2024-01-30T00:00:00"/>
    <d v="1899-12-30T08:00:00"/>
    <d v="2024-01-30T00:00:00"/>
    <d v="2024-02-09T00:00:00"/>
    <n v="7020196083"/>
    <m/>
    <n v="12"/>
    <n v="1"/>
    <n v="2"/>
    <n v="1"/>
    <n v="1"/>
    <n v="2"/>
    <n v="2"/>
    <n v="2"/>
    <n v="2"/>
    <n v="2"/>
    <n v="2"/>
    <m/>
    <n v="17"/>
    <n v="52.3"/>
    <n v="85.5"/>
    <n v="14.73"/>
    <n v="5.7"/>
    <m/>
    <m/>
    <m/>
    <m/>
    <m/>
    <n v="296"/>
    <m/>
    <m/>
    <m/>
    <s v="Acute NHI in Rt insula and fronto parietal coetex"/>
    <m/>
    <s v="Diffuse narrowing of M1 portion of Rt MCA with paucity of distal branches"/>
    <m/>
    <n v="8"/>
    <n v="2"/>
    <n v="1"/>
    <n v="3"/>
    <n v="4"/>
    <m/>
    <n v="1"/>
    <n v="1"/>
    <n v="2"/>
    <m/>
    <m/>
    <n v="2"/>
    <n v="2"/>
    <n v="0"/>
    <n v="100"/>
    <n v="0"/>
    <n v="0"/>
    <n v="0"/>
    <n v="0"/>
    <n v="0"/>
    <n v="0"/>
    <n v="0"/>
    <n v="0"/>
    <n v="0"/>
    <n v="0"/>
    <n v="0"/>
    <n v="0"/>
    <n v="0"/>
    <n v="0"/>
    <x v="4"/>
    <n v="0"/>
    <n v="0"/>
    <n v="0"/>
  </r>
  <r>
    <s v="CG"/>
    <s v="Manik Namdar"/>
    <x v="197"/>
    <n v="1"/>
    <x v="199"/>
    <x v="204"/>
    <n v="58"/>
    <n v="1"/>
    <d v="2023-02-23T00:00:00"/>
    <m/>
    <d v="2023-02-27T00:00:00"/>
    <d v="2023-03-03T00:00:00"/>
    <n v="9673959376"/>
    <m/>
    <n v="7"/>
    <n v="2"/>
    <n v="2"/>
    <n v="1"/>
    <n v="2"/>
    <n v="2"/>
    <n v="2"/>
    <n v="2"/>
    <n v="2"/>
    <n v="2"/>
    <n v="2"/>
    <m/>
    <n v="15.4"/>
    <n v="45.8"/>
    <n v="99.8"/>
    <n v="15.67"/>
    <n v="5.6"/>
    <m/>
    <m/>
    <m/>
    <m/>
    <m/>
    <n v="2000"/>
    <m/>
    <m/>
    <m/>
    <s v="A/C infract Rt fronto parieto-temporo"/>
    <m/>
    <s v="Occipital lobes calcified atherosclerotic changes in supraclinoid segments of B/L ICA and mild focal narrowing on night. There is good distal non off. Mild focal narrowing on right. There is good distal non off. Mild focal narrowing at distal portion of M1 segment of Rt MCA. Paucity of cortical branches of MCA on the right "/>
    <m/>
    <m/>
    <m/>
    <m/>
    <m/>
    <m/>
    <m/>
    <n v="1"/>
    <n v="1"/>
    <n v="2"/>
    <m/>
    <m/>
    <n v="2"/>
    <n v="2"/>
    <n v="4"/>
    <n v="65"/>
    <n v="0"/>
    <n v="2"/>
    <n v="1"/>
    <n v="2"/>
    <n v="1"/>
    <n v="1"/>
    <n v="1"/>
    <n v="0"/>
    <n v="0"/>
    <n v="0"/>
    <n v="0"/>
    <n v="0"/>
    <n v="0"/>
    <n v="0"/>
    <x v="1"/>
    <n v="1"/>
    <n v="1"/>
    <n v="0"/>
  </r>
  <r>
    <s v="CI"/>
    <s v="Dnyanoba Dhindale"/>
    <x v="198"/>
    <n v="1"/>
    <x v="200"/>
    <x v="205"/>
    <n v="62"/>
    <n v="1"/>
    <d v="2024-01-10T00:00:00"/>
    <d v="1899-12-30T21:00:00"/>
    <d v="2024-01-11T00:00:00"/>
    <d v="2024-01-11T00:00:00"/>
    <n v="8208224545"/>
    <n v="7744911292"/>
    <n v="5"/>
    <n v="2"/>
    <n v="1"/>
    <n v="2"/>
    <n v="1"/>
    <n v="1"/>
    <n v="2"/>
    <n v="2"/>
    <n v="2"/>
    <n v="2"/>
    <n v="2"/>
    <m/>
    <n v="13.4"/>
    <n v="39.799999999999997"/>
    <n v="90.5"/>
    <n v="10.59"/>
    <m/>
    <n v="209"/>
    <n v="135.4"/>
    <n v="29"/>
    <n v="223"/>
    <n v="44.6"/>
    <n v="217"/>
    <m/>
    <m/>
    <m/>
    <s v="Rt MCA PCA watershed infract"/>
    <m/>
    <s v="90% stenosis of Rt vertebral ostium and stenosis inferior division of right MCA "/>
    <m/>
    <n v="9"/>
    <n v="3"/>
    <n v="1"/>
    <n v="3"/>
    <n v="5"/>
    <m/>
    <n v="2"/>
    <n v="2"/>
    <n v="2"/>
    <m/>
    <m/>
    <n v="2"/>
    <n v="2"/>
    <n v="1"/>
    <n v="80"/>
    <n v="0"/>
    <n v="2"/>
    <n v="2"/>
    <n v="2"/>
    <n v="1"/>
    <n v="0"/>
    <n v="1"/>
    <n v="0"/>
    <n v="0"/>
    <n v="0"/>
    <n v="0"/>
    <n v="0"/>
    <n v="0"/>
    <n v="0"/>
    <x v="1"/>
    <n v="1"/>
    <n v="1"/>
    <n v="0"/>
  </r>
  <r>
    <s v="MP"/>
    <s v="Pralhad Wanuhede"/>
    <x v="199"/>
    <n v="0"/>
    <x v="201"/>
    <x v="206"/>
    <n v="71"/>
    <n v="1"/>
    <m/>
    <m/>
    <d v="2023-02-21T00:00:00"/>
    <d v="2023-02-22T00:00:00"/>
    <n v="9850654519"/>
    <n v="8888447896"/>
    <n v="11"/>
    <n v="1"/>
    <n v="1"/>
    <n v="2"/>
    <n v="2"/>
    <n v="2"/>
    <n v="2"/>
    <n v="2"/>
    <n v="2"/>
    <n v="2"/>
    <n v="2"/>
    <m/>
    <n v="13.7"/>
    <n v="41"/>
    <n v="87"/>
    <n v="19"/>
    <n v="6.6"/>
    <m/>
    <m/>
    <m/>
    <m/>
    <m/>
    <n v="273"/>
    <m/>
    <m/>
    <m/>
    <s v="Right PCA- MCA watershed infract"/>
    <m/>
    <s v="Paucity of Rt MCA cortical branches"/>
    <m/>
    <n v="7"/>
    <m/>
    <m/>
    <m/>
    <m/>
    <m/>
    <n v="1"/>
    <n v="1"/>
    <n v="2"/>
    <m/>
    <m/>
    <n v="2"/>
    <n v="2"/>
    <n v="2"/>
    <n v="60"/>
    <n v="0"/>
    <n v="0"/>
    <n v="0"/>
    <n v="0"/>
    <n v="0"/>
    <n v="0"/>
    <n v="0"/>
    <n v="0"/>
    <n v="0"/>
    <n v="0"/>
    <n v="0"/>
    <n v="0"/>
    <n v="0"/>
    <n v="0"/>
    <x v="4"/>
    <n v="0"/>
    <n v="0"/>
    <n v="0"/>
  </r>
  <r>
    <s v="BD"/>
    <s v="Maruti S Bhise"/>
    <x v="200"/>
    <n v="1"/>
    <x v="202"/>
    <x v="207"/>
    <n v="32"/>
    <n v="1"/>
    <d v="2024-02-24T00:00:00"/>
    <d v="1899-12-30T09:00:00"/>
    <d v="2023-02-24T00:00:00"/>
    <d v="2023-03-03T00:00:00"/>
    <n v="9322008662"/>
    <m/>
    <n v="10"/>
    <n v="2"/>
    <n v="2"/>
    <n v="2"/>
    <n v="2"/>
    <n v="2"/>
    <n v="2"/>
    <n v="2"/>
    <n v="2"/>
    <n v="1"/>
    <n v="2"/>
    <m/>
    <n v="14.5"/>
    <n v="44.6"/>
    <n v="80.2"/>
    <n v="11.6"/>
    <m/>
    <n v="138"/>
    <n v="81"/>
    <n v="34"/>
    <n v="115"/>
    <n v="23"/>
    <n v="313"/>
    <m/>
    <m/>
    <m/>
    <s v="A/c infract Lt MCA terriory M1 occlusion"/>
    <m/>
    <s v="Above Pt cut off M1 segment left MCA S/o thrombosis, Reformation of distal M2 segment with fomint opacification of superior division of left MCA"/>
    <m/>
    <m/>
    <m/>
    <m/>
    <m/>
    <m/>
    <m/>
    <n v="2"/>
    <n v="2"/>
    <n v="2"/>
    <m/>
    <n v="2"/>
    <n v="1"/>
    <n v="2"/>
    <n v="1"/>
    <n v="100"/>
    <n v="0"/>
    <n v="0"/>
    <n v="0"/>
    <n v="0"/>
    <n v="0"/>
    <n v="0"/>
    <n v="0"/>
    <n v="1"/>
    <n v="2"/>
    <n v="0"/>
    <n v="0"/>
    <n v="1"/>
    <n v="1"/>
    <n v="1"/>
    <x v="8"/>
    <n v="1"/>
    <n v="1"/>
    <n v="0"/>
  </r>
  <r>
    <m/>
    <s v="Varsha Patil/ pawar"/>
    <x v="11"/>
    <e v="#N/A"/>
    <x v="203"/>
    <x v="208"/>
    <n v="38"/>
    <n v="2"/>
    <d v="2024-06-19T00:00:00"/>
    <d v="1899-12-30T07:15:00"/>
    <d v="2024-06-19T00:00:00"/>
    <d v="2024-06-25T00:00:00"/>
    <n v="7666761395"/>
    <m/>
    <n v="17"/>
    <n v="2"/>
    <n v="2"/>
    <n v="2"/>
    <n v="2"/>
    <n v="2"/>
    <n v="2"/>
    <n v="2"/>
    <n v="2"/>
    <n v="2"/>
    <n v="2"/>
    <m/>
    <n v="12"/>
    <n v="35.4"/>
    <n v="90"/>
    <n v="12.75"/>
    <n v="5.5"/>
    <m/>
    <m/>
    <m/>
    <m/>
    <m/>
    <n v="166"/>
    <m/>
    <s v="AMA, APLA, ESR-2, CRP-16"/>
    <m/>
    <s v="Acute NHI in left P-T region and left insular cortex occlusion of superior division of left MCA with reconalization of inferior division "/>
    <m/>
    <s v="Left M1 occlusion (superior division)"/>
    <m/>
    <n v="9"/>
    <n v="2"/>
    <n v="2"/>
    <n v="2"/>
    <n v="4"/>
    <m/>
    <n v="1"/>
    <m/>
    <n v="1"/>
    <n v="2"/>
    <m/>
    <n v="2"/>
    <n v="2"/>
    <n v="1"/>
    <n v="100"/>
    <m/>
    <m/>
    <m/>
    <m/>
    <m/>
    <m/>
    <m/>
    <n v="1"/>
    <n v="2"/>
    <n v="0"/>
    <n v="2"/>
    <n v="1"/>
    <n v="1"/>
    <n v="1"/>
    <x v="1"/>
    <n v="1"/>
    <n v="1"/>
    <n v="1"/>
  </r>
  <r>
    <s v="EW"/>
    <s v="Surendra Deshmukh "/>
    <x v="201"/>
    <n v="1"/>
    <x v="204"/>
    <x v="209"/>
    <n v="47"/>
    <n v="1"/>
    <d v="2023-01-13T00:00:00"/>
    <d v="1899-12-30T09:30:00"/>
    <d v="2023-01-13T00:00:00"/>
    <d v="2023-01-17T00:00:00"/>
    <n v="8208708327"/>
    <m/>
    <n v="6"/>
    <m/>
    <m/>
    <m/>
    <m/>
    <m/>
    <m/>
    <m/>
    <m/>
    <m/>
    <m/>
    <s v="B12 def  Hyperhomocysteinemia"/>
    <n v="17.100000000000001"/>
    <n v="50"/>
    <m/>
    <n v="81"/>
    <n v="8.1999999999999993"/>
    <m/>
    <m/>
    <m/>
    <m/>
    <m/>
    <n v="195"/>
    <m/>
    <m/>
    <m/>
    <s v="A/C infract left fronto parrieto occipital  lobe and left centrum semiovale- s/o watershed infract "/>
    <m/>
    <s v="Gpat cut off of left ICA with reformation of supra clinical segment of left ICA s/o thrombosis"/>
    <m/>
    <n v="8"/>
    <n v="4"/>
    <n v="1"/>
    <n v="3"/>
    <n v="5"/>
    <m/>
    <n v="1"/>
    <n v="2"/>
    <n v="1"/>
    <n v="1"/>
    <n v="1"/>
    <m/>
    <m/>
    <n v="0"/>
    <n v="100"/>
    <n v="0"/>
    <n v="0"/>
    <n v="0"/>
    <n v="0"/>
    <n v="0"/>
    <n v="0"/>
    <n v="0"/>
    <n v="0"/>
    <n v="2"/>
    <n v="2"/>
    <n v="2"/>
    <n v="1"/>
    <n v="1"/>
    <n v="1"/>
    <x v="2"/>
    <n v="0"/>
    <n v="1"/>
    <n v="0"/>
  </r>
  <r>
    <s v="EX"/>
    <s v="Vimal Thorave"/>
    <x v="202"/>
    <n v="1"/>
    <x v="205"/>
    <x v="210"/>
    <n v="71"/>
    <n v="2"/>
    <d v="2023-11-23T00:00:00"/>
    <d v="1899-12-30T23:00:00"/>
    <d v="2023-11-24T00:00:00"/>
    <d v="2023-12-15T00:00:00"/>
    <n v="8087680269"/>
    <n v="9850997793"/>
    <n v="10"/>
    <n v="2"/>
    <n v="2"/>
    <n v="2"/>
    <n v="2"/>
    <n v="2"/>
    <n v="2"/>
    <n v="1"/>
    <n v="2"/>
    <n v="2"/>
    <n v="2"/>
    <s v="Hypothyrodism"/>
    <n v="11.4"/>
    <n v="35"/>
    <m/>
    <n v="25.59"/>
    <n v="5.5"/>
    <n v="160"/>
    <n v="83.2"/>
    <n v="37"/>
    <n v="199"/>
    <n v="39.799999999999997"/>
    <m/>
    <m/>
    <m/>
    <m/>
    <s v="Right MCA infract"/>
    <m/>
    <s v="Right M1 occlusion"/>
    <m/>
    <m/>
    <m/>
    <m/>
    <m/>
    <m/>
    <m/>
    <n v="1"/>
    <n v="1"/>
    <n v="2"/>
    <m/>
    <n v="4"/>
    <n v="1"/>
    <n v="2"/>
    <n v="6"/>
    <n v="0"/>
    <n v="1"/>
    <n v="2"/>
    <n v="1"/>
    <n v="2"/>
    <n v="1"/>
    <n v="1"/>
    <n v="1"/>
    <n v="0"/>
    <n v="0"/>
    <n v="0"/>
    <n v="0"/>
    <n v="0"/>
    <n v="0"/>
    <n v="0"/>
    <x v="2"/>
    <n v="1"/>
    <n v="0"/>
    <n v="0"/>
  </r>
  <r>
    <m/>
    <s v="patil dhanraj"/>
    <x v="26"/>
    <m/>
    <x v="206"/>
    <x v="26"/>
    <m/>
    <m/>
    <m/>
    <m/>
    <m/>
    <m/>
    <m/>
    <m/>
    <m/>
    <m/>
    <m/>
    <m/>
    <m/>
    <m/>
    <m/>
    <m/>
    <m/>
    <m/>
    <m/>
    <m/>
    <m/>
    <m/>
    <m/>
    <m/>
    <m/>
    <m/>
    <m/>
    <m/>
    <m/>
    <m/>
    <m/>
    <m/>
    <m/>
    <m/>
    <s v="Rt MCA teritory infarct (sylvian fissure)"/>
    <s v="R"/>
    <m/>
    <m/>
    <m/>
    <m/>
    <m/>
    <m/>
    <m/>
    <m/>
    <m/>
    <m/>
    <m/>
    <m/>
    <m/>
    <m/>
    <m/>
    <m/>
    <m/>
    <m/>
    <m/>
    <m/>
    <m/>
    <m/>
    <m/>
    <m/>
    <m/>
    <m/>
    <m/>
    <m/>
    <m/>
    <m/>
    <m/>
    <x v="6"/>
    <m/>
    <m/>
    <m/>
  </r>
  <r>
    <s v="MQ"/>
    <s v="Vinod Nanaware"/>
    <x v="203"/>
    <n v="0"/>
    <x v="207"/>
    <x v="211"/>
    <n v="61"/>
    <n v="1"/>
    <d v="2024-03-10T00:00:00"/>
    <d v="1899-12-30T05:00:00"/>
    <d v="2024-03-10T00:00:00"/>
    <m/>
    <n v="9850421091"/>
    <n v="9309588805"/>
    <n v="7"/>
    <n v="2"/>
    <n v="1"/>
    <n v="1"/>
    <n v="2"/>
    <n v="2"/>
    <n v="2"/>
    <n v="2"/>
    <n v="2"/>
    <n v="2"/>
    <n v="2"/>
    <s v="P/O thrombeclomy"/>
    <n v="12.9"/>
    <n v="40"/>
    <n v="97.7"/>
    <n v="70.19"/>
    <n v="4.5999999999999996"/>
    <n v="118"/>
    <n v="61.8"/>
    <n v="45"/>
    <n v="56"/>
    <n v="11.2"/>
    <n v="244"/>
    <m/>
    <m/>
    <m/>
    <s v="Right lentiform and superior frontal gyris acute infract"/>
    <m/>
    <s v="Right M1 MCA occlusion"/>
    <m/>
    <n v="6"/>
    <n v="2"/>
    <n v="1"/>
    <n v="2"/>
    <n v="3"/>
    <m/>
    <n v="1"/>
    <n v="2"/>
    <n v="2"/>
    <m/>
    <m/>
    <n v="1"/>
    <n v="2"/>
    <m/>
    <m/>
    <n v="0"/>
    <n v="0"/>
    <n v="0"/>
    <n v="0"/>
    <n v="0"/>
    <n v="0"/>
    <n v="0"/>
    <n v="0"/>
    <n v="0"/>
    <n v="0"/>
    <n v="0"/>
    <n v="0"/>
    <n v="0"/>
    <n v="0"/>
    <x v="4"/>
    <n v="0"/>
    <n v="0"/>
    <n v="0"/>
  </r>
  <r>
    <s v="EY"/>
    <s v="Archana Patil"/>
    <x v="204"/>
    <n v="1"/>
    <x v="208"/>
    <x v="212"/>
    <n v="45"/>
    <n v="2"/>
    <d v="2023-08-25T00:00:00"/>
    <d v="1899-12-30T10:00:00"/>
    <d v="2023-08-25T00:00:00"/>
    <d v="2023-08-28T00:00:00"/>
    <n v="9850715050"/>
    <m/>
    <n v="11"/>
    <n v="1"/>
    <n v="2"/>
    <n v="2"/>
    <n v="2"/>
    <n v="2"/>
    <n v="2"/>
    <n v="2"/>
    <n v="2"/>
    <n v="2"/>
    <n v="2"/>
    <s v="Rheumatoid arthritis"/>
    <n v="13.1"/>
    <n v="43.3"/>
    <n v="70.3"/>
    <n v="22.79"/>
    <m/>
    <n v="186"/>
    <n v="129.19999999999999"/>
    <n v="40"/>
    <n v="84"/>
    <n v="16.8"/>
    <n v="174"/>
    <m/>
    <s v="S ferritin- 30, S iron- 33, TIBC- 370, UIBC-337, transferrin saturation- 8.9"/>
    <m/>
    <s v="Right ACA infract"/>
    <m/>
    <s v="Right A3 cut off left ICA fatty plaque seen but 20% luminal compromise"/>
    <m/>
    <m/>
    <m/>
    <m/>
    <m/>
    <m/>
    <m/>
    <n v="1"/>
    <n v="1"/>
    <n v="2"/>
    <m/>
    <m/>
    <m/>
    <m/>
    <n v="4"/>
    <n v="40"/>
    <n v="1"/>
    <n v="2"/>
    <n v="2"/>
    <n v="2"/>
    <n v="1"/>
    <n v="1"/>
    <n v="0"/>
    <n v="0"/>
    <n v="0"/>
    <n v="0"/>
    <n v="0"/>
    <n v="0"/>
    <n v="0"/>
    <n v="0"/>
    <x v="2"/>
    <n v="1"/>
    <n v="1"/>
    <n v="0"/>
  </r>
  <r>
    <s v="MR"/>
    <s v="Rajesh Shah"/>
    <x v="205"/>
    <n v="0"/>
    <x v="209"/>
    <x v="213"/>
    <n v="62"/>
    <n v="1"/>
    <d v="2024-05-20T00:00:00"/>
    <d v="1899-12-30T20:00:00"/>
    <d v="2024-05-20T00:00:00"/>
    <d v="2024-05-29T00:00:00"/>
    <n v="9890300209"/>
    <m/>
    <n v="17"/>
    <n v="2"/>
    <n v="2"/>
    <n v="2"/>
    <n v="2"/>
    <n v="2"/>
    <n v="2"/>
    <n v="2"/>
    <n v="1"/>
    <n v="2"/>
    <n v="2"/>
    <m/>
    <n v="13"/>
    <n v="40.799999999999997"/>
    <n v="82.9"/>
    <n v="25.09"/>
    <n v="6.3"/>
    <n v="146"/>
    <n v="100"/>
    <n v="30"/>
    <n v="80"/>
    <n v="16"/>
    <n v="148"/>
    <m/>
    <m/>
    <m/>
    <s v="Left anterior chronical and lenticlostriate infracts"/>
    <m/>
    <s v="Left M1 stenosis left ICA terminal occlusion"/>
    <m/>
    <n v="6"/>
    <n v="2"/>
    <n v="2"/>
    <n v="2"/>
    <m/>
    <m/>
    <n v="1"/>
    <m/>
    <n v="1"/>
    <n v="2"/>
    <m/>
    <n v="1"/>
    <n v="2"/>
    <m/>
    <m/>
    <n v="0"/>
    <n v="0"/>
    <n v="0"/>
    <n v="0"/>
    <n v="0"/>
    <n v="0"/>
    <n v="0"/>
    <n v="0"/>
    <n v="0"/>
    <n v="0"/>
    <n v="0"/>
    <n v="0"/>
    <n v="0"/>
    <n v="0"/>
    <x v="4"/>
    <n v="0"/>
    <n v="0"/>
    <n v="0"/>
  </r>
  <r>
    <s v="EZ"/>
    <s v="Utkarsh Kshirsagar"/>
    <x v="206"/>
    <n v="0"/>
    <x v="210"/>
    <x v="214"/>
    <n v="33"/>
    <n v="1"/>
    <d v="2024-05-10T00:00:00"/>
    <d v="1899-12-30T08:00:00"/>
    <d v="2024-05-10T00:00:00"/>
    <d v="2024-05-15T00:00:00"/>
    <n v="7387900224"/>
    <m/>
    <n v="2"/>
    <n v="1"/>
    <n v="2"/>
    <n v="1"/>
    <n v="2"/>
    <n v="1"/>
    <n v="2"/>
    <n v="2"/>
    <n v="2"/>
    <n v="2"/>
    <n v="2"/>
    <m/>
    <n v="12.6"/>
    <n v="37.299999999999997"/>
    <n v="10.72"/>
    <n v="13"/>
    <n v="4.8"/>
    <n v="136"/>
    <n v="95.6"/>
    <n v="27"/>
    <n v="67"/>
    <n v="13.4"/>
    <n v="373"/>
    <m/>
    <m/>
    <m/>
    <s v="Left MCA ; inferior division infract"/>
    <m/>
    <s v="Left MCA M3 occlusion due to thrombus. Floating thrombus has disppeard left ICA small plaque  causing &lt; 30% occlusion "/>
    <m/>
    <n v="9"/>
    <n v="5"/>
    <n v="1"/>
    <n v="3"/>
    <n v="5"/>
    <m/>
    <n v="1"/>
    <m/>
    <n v="1"/>
    <n v="1"/>
    <m/>
    <n v="2"/>
    <n v="2"/>
    <n v="0"/>
    <n v="100"/>
    <n v="0"/>
    <n v="0"/>
    <n v="0"/>
    <n v="0"/>
    <n v="0"/>
    <n v="0"/>
    <n v="0"/>
    <n v="1"/>
    <n v="2"/>
    <n v="2"/>
    <n v="2"/>
    <n v="1"/>
    <n v="0"/>
    <n v="1"/>
    <x v="2"/>
    <n v="0"/>
    <n v="1"/>
    <n v="0"/>
  </r>
  <r>
    <s v="II"/>
    <s v="Utkarsh Kshirsagar"/>
    <x v="207"/>
    <n v="0"/>
    <x v="211"/>
    <x v="26"/>
    <n v="35"/>
    <n v="1"/>
    <d v="2024-05-05T00:00:00"/>
    <d v="1899-12-30T18:30:00"/>
    <d v="2024-05-05T00:00:00"/>
    <d v="2024-05-07T00:00:00"/>
    <n v="7387900224"/>
    <m/>
    <n v="1"/>
    <n v="2"/>
    <n v="2"/>
    <n v="1"/>
    <n v="1"/>
    <n v="2"/>
    <n v="2"/>
    <n v="2"/>
    <n v="2"/>
    <n v="2"/>
    <n v="2"/>
    <m/>
    <n v="11.6"/>
    <n v="33.299999999999997"/>
    <n v="10.71"/>
    <n v="13.05"/>
    <n v="4.8"/>
    <n v="136"/>
    <n v="95.6"/>
    <n v="27"/>
    <n v="67"/>
    <n v="13.4"/>
    <n v="373"/>
    <m/>
    <m/>
    <m/>
    <s v="Left ACA infract"/>
    <m/>
    <s v="CCA plaque ulcerated causing 30-40% stenosis with free floating thrombus . and left ICA thrombus occlusion"/>
    <m/>
    <n v="10"/>
    <n v="3"/>
    <n v="1"/>
    <n v="3"/>
    <n v="5"/>
    <m/>
    <n v="1"/>
    <n v="1"/>
    <n v="2"/>
    <m/>
    <m/>
    <n v="2"/>
    <n v="2"/>
    <n v="0"/>
    <n v="100"/>
    <n v="0"/>
    <n v="0"/>
    <n v="0"/>
    <n v="0"/>
    <n v="0"/>
    <n v="0"/>
    <n v="0"/>
    <n v="1"/>
    <n v="2"/>
    <n v="2"/>
    <n v="2"/>
    <n v="1"/>
    <n v="1"/>
    <n v="1"/>
    <x v="3"/>
    <n v="0"/>
    <n v="1"/>
    <n v="0"/>
  </r>
  <r>
    <s v="DH"/>
    <s v="Shrimantrao Deshmukh "/>
    <x v="208"/>
    <n v="0"/>
    <x v="212"/>
    <x v="215"/>
    <n v="91"/>
    <n v="1"/>
    <d v="2024-10-11T00:00:00"/>
    <d v="1899-12-30T17:30:00"/>
    <d v="2024-10-12T00:00:00"/>
    <m/>
    <n v="9765539777"/>
    <m/>
    <n v="15"/>
    <n v="1"/>
    <n v="2"/>
    <n v="2"/>
    <n v="2"/>
    <n v="2"/>
    <n v="2"/>
    <n v="1"/>
    <n v="1"/>
    <n v="2"/>
    <n v="2"/>
    <m/>
    <n v="13.5"/>
    <n v="38.799999999999997"/>
    <n v="83"/>
    <m/>
    <m/>
    <m/>
    <m/>
    <m/>
    <m/>
    <m/>
    <m/>
    <m/>
    <m/>
    <m/>
    <s v="Rt MCA teritory infract "/>
    <m/>
    <s v="Left MCA distal M1 thrombosis "/>
    <m/>
    <m/>
    <m/>
    <m/>
    <m/>
    <m/>
    <m/>
    <n v="1"/>
    <n v="2"/>
    <n v="1"/>
    <m/>
    <n v="4"/>
    <n v="2"/>
    <n v="2"/>
    <n v="6"/>
    <n v="0"/>
    <n v="0"/>
    <n v="0"/>
    <n v="0"/>
    <n v="0"/>
    <n v="0"/>
    <n v="0"/>
    <n v="0"/>
    <n v="0"/>
    <n v="2"/>
    <n v="2"/>
    <n v="2"/>
    <n v="1"/>
    <n v="1"/>
    <n v="1"/>
    <x v="2"/>
    <n v="1"/>
    <n v="1"/>
    <n v="1"/>
  </r>
  <r>
    <s v="FA"/>
    <s v="Kamal N Satbhai"/>
    <x v="209"/>
    <n v="1"/>
    <x v="213"/>
    <x v="216"/>
    <n v="75"/>
    <n v="2"/>
    <d v="2023-08-15T00:00:00"/>
    <d v="1899-12-30T09:00:00"/>
    <d v="2023-08-17T00:00:00"/>
    <d v="2023-08-25T00:00:00"/>
    <n v="9604718659"/>
    <m/>
    <n v="9"/>
    <n v="1"/>
    <n v="1"/>
    <n v="2"/>
    <n v="1"/>
    <n v="2"/>
    <n v="2"/>
    <n v="2"/>
    <n v="2"/>
    <n v="2"/>
    <n v="1"/>
    <m/>
    <n v="9"/>
    <m/>
    <m/>
    <n v="9.5299999999999994"/>
    <n v="10.1"/>
    <n v="171"/>
    <n v="102"/>
    <n v="39"/>
    <n v="113"/>
    <n v="22.6"/>
    <n v="2000"/>
    <m/>
    <s v="S Ferritin- 14.5, S Iron-24, TIBC- 297, UIBC- 273, Transferrin saturation- 8"/>
    <m/>
    <s v="Acute NHI in Rt fronto-parietal lobe, Rt occipital lobe, Rt centrum semiovale and Rt corona radiation"/>
    <m/>
    <m/>
    <m/>
    <m/>
    <m/>
    <m/>
    <m/>
    <m/>
    <m/>
    <n v="1"/>
    <n v="2"/>
    <m/>
    <n v="1"/>
    <n v="4"/>
    <n v="2"/>
    <n v="2"/>
    <n v="6"/>
    <n v="0"/>
    <n v="1"/>
    <n v="2"/>
    <n v="2"/>
    <n v="1"/>
    <n v="1"/>
    <n v="1"/>
    <n v="1"/>
    <n v="0"/>
    <n v="0"/>
    <n v="0"/>
    <n v="0"/>
    <n v="0"/>
    <n v="0"/>
    <n v="0"/>
    <x v="2"/>
    <n v="1"/>
    <n v="1"/>
    <s v="Lt CCA thrombus"/>
  </r>
  <r>
    <s v="HX"/>
    <s v="Radha Kisan Tolaji Bhojam"/>
    <x v="210"/>
    <n v="1"/>
    <x v="214"/>
    <x v="217"/>
    <n v="75"/>
    <n v="1"/>
    <d v="2023-12-09T00:00:00"/>
    <d v="1899-12-30T15:00:00"/>
    <d v="2023-12-09T00:00:00"/>
    <d v="2023-12-10T00:00:00"/>
    <n v="9604558802"/>
    <m/>
    <n v="20"/>
    <n v="2"/>
    <n v="2"/>
    <n v="2"/>
    <n v="2"/>
    <n v="2"/>
    <n v="2"/>
    <n v="2"/>
    <n v="2"/>
    <n v="2"/>
    <n v="2"/>
    <m/>
    <n v="13.9"/>
    <n v="43.1"/>
    <n v="88.6"/>
    <n v="14.73"/>
    <n v="6.4"/>
    <n v="220"/>
    <n v="146"/>
    <n v="58"/>
    <n v="80"/>
    <n v="16"/>
    <n v="1613"/>
    <n v="232"/>
    <m/>
    <m/>
    <s v="Acute NHI in Lt fronto parietal region, Lt centrum semiovale and in Lt posterior temporal region. focal thrombosis in Lt ECA"/>
    <m/>
    <s v="Significant focal stenosis in the Lt ICA just distal to the bifurcation "/>
    <m/>
    <m/>
    <m/>
    <m/>
    <m/>
    <m/>
    <m/>
    <n v="1"/>
    <n v="2"/>
    <n v="2"/>
    <m/>
    <n v="4"/>
    <m/>
    <m/>
    <m/>
    <m/>
    <n v="0"/>
    <n v="0"/>
    <n v="0"/>
    <n v="0"/>
    <n v="0"/>
    <n v="0"/>
    <n v="0"/>
    <n v="1"/>
    <n v="2"/>
    <n v="2"/>
    <n v="2"/>
    <n v="1"/>
    <n v="1"/>
    <n v="1"/>
    <x v="3"/>
    <n v="1"/>
    <n v="1"/>
    <s v="Lt CCA thrombus"/>
  </r>
  <r>
    <s v="MS"/>
    <s v="Prakash Kadam"/>
    <x v="211"/>
    <n v="0"/>
    <x v="215"/>
    <x v="218"/>
    <n v="68"/>
    <n v="1"/>
    <d v="2024-01-08T00:00:00"/>
    <d v="1899-12-30T23:30:00"/>
    <d v="2024-01-09T00:00:00"/>
    <d v="2024-01-13T00:00:00"/>
    <n v="9960374392"/>
    <m/>
    <n v="7"/>
    <n v="1"/>
    <n v="2"/>
    <n v="2"/>
    <n v="2"/>
    <n v="2"/>
    <n v="2"/>
    <n v="2"/>
    <n v="2"/>
    <n v="2"/>
    <n v="2"/>
    <s v="CHADVAS- 4"/>
    <n v="12.4"/>
    <n v="36.5"/>
    <n v="92.2"/>
    <n v="20.73"/>
    <n v="5.5"/>
    <n v="203"/>
    <n v="136.4"/>
    <n v="36"/>
    <n v="153"/>
    <n v="30.6"/>
    <n v="400"/>
    <m/>
    <m/>
    <m/>
    <s v="Left MCA PCA watershed infract"/>
    <m/>
    <s v="Left vetebral artery hypoplastic left M1 stenosis"/>
    <m/>
    <n v="7"/>
    <n v="3"/>
    <n v="1"/>
    <n v="3"/>
    <n v="5"/>
    <m/>
    <n v="1"/>
    <n v="1"/>
    <n v="2"/>
    <m/>
    <n v="3"/>
    <n v="2"/>
    <n v="2"/>
    <n v="2"/>
    <m/>
    <n v="0"/>
    <n v="0"/>
    <n v="0"/>
    <n v="0"/>
    <n v="0"/>
    <n v="0"/>
    <n v="0"/>
    <n v="1"/>
    <n v="2"/>
    <n v="1"/>
    <n v="2"/>
    <n v="1"/>
    <n v="1"/>
    <n v="1"/>
    <x v="2"/>
    <n v="1"/>
    <n v="1"/>
    <n v="0"/>
  </r>
  <r>
    <s v="JP"/>
    <s v="Pravin Khandekar"/>
    <x v="212"/>
    <n v="0"/>
    <x v="216"/>
    <x v="219"/>
    <n v="38"/>
    <n v="1"/>
    <d v="2024-08-14T00:00:00"/>
    <d v="1899-12-30T20:00:00"/>
    <d v="2024-08-15T00:00:00"/>
    <d v="2024-08-17T00:00:00"/>
    <n v="7499129930"/>
    <m/>
    <n v="16"/>
    <n v="2"/>
    <n v="2"/>
    <n v="2"/>
    <n v="2"/>
    <n v="2"/>
    <n v="2"/>
    <n v="2"/>
    <n v="2"/>
    <n v="2"/>
    <n v="2"/>
    <m/>
    <n v="10.9"/>
    <n v="33.9"/>
    <n v="71.400000000000006"/>
    <n v="17.350000000000001"/>
    <n v="9.8000000000000007"/>
    <n v="128"/>
    <n v="66.2"/>
    <n v="32"/>
    <n v="149"/>
    <n v="29.8"/>
    <n v="2000"/>
    <m/>
    <m/>
    <m/>
    <s v="Left GC region infract with hemorrgic transformation "/>
    <m/>
    <s v="Left ICA origin thrombosis; suspected dissection and left M2 occlusion "/>
    <m/>
    <n v="6"/>
    <n v="3"/>
    <n v="1"/>
    <n v="2"/>
    <n v="4"/>
    <m/>
    <n v="1"/>
    <n v="1"/>
    <n v="2"/>
    <m/>
    <n v="3"/>
    <n v="2"/>
    <n v="2"/>
    <m/>
    <m/>
    <m/>
    <m/>
    <m/>
    <m/>
    <m/>
    <m/>
    <m/>
    <n v="0"/>
    <n v="0"/>
    <n v="0"/>
    <n v="0"/>
    <n v="1"/>
    <n v="1"/>
    <n v="1"/>
    <x v="13"/>
    <n v="0"/>
    <n v="1"/>
    <n v="0"/>
  </r>
  <r>
    <s v="DY"/>
    <s v="Arun Shinde "/>
    <x v="213"/>
    <n v="1"/>
    <x v="217"/>
    <x v="220"/>
    <n v="64"/>
    <n v="1"/>
    <m/>
    <m/>
    <d v="2023-03-23T00:00:00"/>
    <d v="2023-04-17T00:00:00"/>
    <n v="8087047741"/>
    <m/>
    <m/>
    <n v="1"/>
    <n v="2"/>
    <n v="2"/>
    <n v="2"/>
    <n v="2"/>
    <n v="2"/>
    <n v="2"/>
    <n v="1"/>
    <n v="2"/>
    <n v="1"/>
    <m/>
    <n v="13.9"/>
    <n v="43.1"/>
    <n v="95.4"/>
    <n v="26"/>
    <n v="6.3"/>
    <m/>
    <m/>
    <m/>
    <m/>
    <m/>
    <n v="236"/>
    <m/>
    <m/>
    <m/>
    <s v="Left frontal infract "/>
    <m/>
    <s v="Mild narrowing with normal of calcification of distal left CCA, just proximal to its bifuration calcified atherosclerotic plaque causing mild narrowing left ICA just distal to its bifuration "/>
    <m/>
    <m/>
    <m/>
    <m/>
    <m/>
    <m/>
    <m/>
    <n v="1"/>
    <n v="1"/>
    <n v="2"/>
    <m/>
    <n v="4"/>
    <m/>
    <m/>
    <n v="3"/>
    <n v="60"/>
    <n v="0"/>
    <n v="0"/>
    <n v="0"/>
    <n v="0"/>
    <n v="0"/>
    <n v="0"/>
    <n v="0"/>
    <n v="0"/>
    <n v="2"/>
    <n v="2"/>
    <n v="2"/>
    <n v="1"/>
    <n v="1"/>
    <n v="1"/>
    <x v="2"/>
    <n v="0"/>
    <n v="1"/>
    <n v="0"/>
  </r>
  <r>
    <s v="CA"/>
    <s v="Nivruttis Darekar"/>
    <x v="214"/>
    <n v="1"/>
    <x v="218"/>
    <x v="221"/>
    <n v="90"/>
    <n v="1"/>
    <d v="2023-06-26T00:00:00"/>
    <d v="1899-12-30T07:40:00"/>
    <d v="2023-06-26T00:00:00"/>
    <d v="2023-06-27T00:00:00"/>
    <n v="9552409747"/>
    <m/>
    <n v="24"/>
    <n v="1"/>
    <n v="1"/>
    <n v="2"/>
    <n v="2"/>
    <n v="2"/>
    <n v="2"/>
    <n v="2"/>
    <n v="2"/>
    <n v="2"/>
    <n v="2"/>
    <s v="Carotid Artery Disease "/>
    <n v="8.6999999999999993"/>
    <n v="27.7"/>
    <n v="64.2"/>
    <n v="5.0599999999999996"/>
    <n v="5.8"/>
    <n v="98"/>
    <n v="49.6"/>
    <n v="25"/>
    <n v="117"/>
    <n v="23.4"/>
    <n v="2000"/>
    <m/>
    <m/>
    <m/>
    <s v="A/C infract in Lt frontal-pariental lobe and in insular cortex "/>
    <m/>
    <s v="Calcified  atherosclerotic plaque at the carotid bifurcation extending into the lumen of Left ICA with complete occlusion"/>
    <m/>
    <m/>
    <m/>
    <m/>
    <m/>
    <m/>
    <m/>
    <n v="1"/>
    <n v="1"/>
    <n v="2"/>
    <m/>
    <m/>
    <m/>
    <m/>
    <n v="5"/>
    <n v="15"/>
    <n v="0"/>
    <n v="0"/>
    <n v="0"/>
    <n v="0"/>
    <n v="0"/>
    <n v="0"/>
    <n v="0"/>
    <n v="0"/>
    <n v="1"/>
    <n v="2"/>
    <n v="2"/>
    <n v="1"/>
    <n v="1"/>
    <n v="1"/>
    <x v="1"/>
    <n v="0"/>
    <n v="1"/>
    <n v="0"/>
  </r>
  <r>
    <s v="MT"/>
    <s v="Hadpad Basavraj "/>
    <x v="215"/>
    <n v="0"/>
    <x v="219"/>
    <x v="222"/>
    <n v="44"/>
    <n v="1"/>
    <d v="2024-04-27T00:00:00"/>
    <d v="1899-12-30T23:00:00"/>
    <d v="2024-04-28T00:00:00"/>
    <d v="2024-05-02T00:00:00"/>
    <n v="929005740"/>
    <m/>
    <n v="4"/>
    <n v="2"/>
    <n v="2"/>
    <n v="2"/>
    <n v="1"/>
    <n v="2"/>
    <n v="2"/>
    <n v="2"/>
    <n v="2"/>
    <n v="2"/>
    <n v="2"/>
    <s v="Cadsil vs vasculitis"/>
    <n v="12.1"/>
    <n v="35.6"/>
    <n v="11.1"/>
    <n v="82.46"/>
    <n v="5.3"/>
    <n v="144"/>
    <n v="100.8"/>
    <n v="144"/>
    <n v="76"/>
    <n v="15.2"/>
    <n v="220"/>
    <m/>
    <m/>
    <m/>
    <s v="Right inferior division of MCA infract (M1 MCA and inferior division of M2 showing peripheral contrast  enhancer s/o complete thrombosis "/>
    <m/>
    <s v="Right inferior division of MCA thrombosis right CCA bifrucation region small plaque seen not occluding lumen"/>
    <m/>
    <n v="8"/>
    <n v="5"/>
    <n v="1"/>
    <n v="3"/>
    <n v="5"/>
    <m/>
    <n v="1"/>
    <n v="1"/>
    <n v="2"/>
    <m/>
    <m/>
    <n v="2"/>
    <n v="2"/>
    <n v="0"/>
    <n v="100"/>
    <n v="0"/>
    <n v="0"/>
    <n v="0"/>
    <n v="0"/>
    <n v="0"/>
    <n v="0"/>
    <n v="0"/>
    <n v="0"/>
    <n v="0"/>
    <n v="0"/>
    <n v="0"/>
    <n v="0"/>
    <n v="0"/>
    <n v="0"/>
    <x v="4"/>
    <n v="0"/>
    <n v="0"/>
    <n v="0"/>
  </r>
  <r>
    <s v="BJ"/>
    <s v="Bhimrao Lokhande"/>
    <x v="216"/>
    <n v="1"/>
    <x v="220"/>
    <x v="223"/>
    <n v="46"/>
    <n v="1"/>
    <m/>
    <m/>
    <d v="2022-09-15T00:00:00"/>
    <d v="2022-10-12T00:00:00"/>
    <n v="8421096277"/>
    <m/>
    <n v="4"/>
    <n v="1"/>
    <n v="1"/>
    <n v="1"/>
    <n v="1"/>
    <n v="2"/>
    <n v="2"/>
    <n v="2"/>
    <n v="2"/>
    <n v="2"/>
    <n v="2"/>
    <m/>
    <n v="15.2"/>
    <n v="45.1"/>
    <n v="82"/>
    <n v="35.75"/>
    <n v="13.1"/>
    <m/>
    <m/>
    <m/>
    <m/>
    <m/>
    <m/>
    <m/>
    <s v="DSD- Normal"/>
    <m/>
    <s v="Left MCA infract"/>
    <m/>
    <s v="M3 cut off"/>
    <m/>
    <n v="9"/>
    <n v="3"/>
    <n v="1"/>
    <n v="3"/>
    <n v="5"/>
    <m/>
    <n v="1"/>
    <n v="1"/>
    <n v="2"/>
    <m/>
    <n v="1"/>
    <n v="2"/>
    <n v="1"/>
    <n v="3"/>
    <n v="70"/>
    <n v="0"/>
    <n v="0"/>
    <n v="0"/>
    <n v="0"/>
    <n v="0"/>
    <n v="0"/>
    <n v="0"/>
    <n v="0"/>
    <n v="1"/>
    <n v="2"/>
    <n v="2"/>
    <n v="1"/>
    <n v="0"/>
    <n v="1"/>
    <x v="0"/>
    <n v="1"/>
    <n v="1"/>
    <n v="0"/>
  </r>
  <r>
    <s v="AF"/>
    <s v="Balasaheb Washilkar"/>
    <x v="217"/>
    <n v="1"/>
    <x v="221"/>
    <x v="224"/>
    <n v="50"/>
    <n v="1"/>
    <d v="2024-01-03T00:00:00"/>
    <d v="1899-12-30T06:15:00"/>
    <d v="2024-01-03T00:00:00"/>
    <d v="2024-01-15T00:00:00"/>
    <n v="7822843581"/>
    <m/>
    <n v="24"/>
    <n v="1"/>
    <n v="2"/>
    <n v="2"/>
    <n v="1"/>
    <n v="2"/>
    <n v="2"/>
    <n v="2"/>
    <n v="2"/>
    <n v="2"/>
    <n v="2"/>
    <s v="Aspiration pneumonia "/>
    <n v="13.5"/>
    <n v="41"/>
    <n v="97.2"/>
    <n v="33.42"/>
    <n v="5.6"/>
    <n v="115"/>
    <n v="64.400000000000006"/>
    <n v="31"/>
    <n v="98"/>
    <n v="19.600000000000001"/>
    <n v="156"/>
    <m/>
    <m/>
    <m/>
    <m/>
    <m/>
    <s v="Completer non-opacification of Lt ICA from its origin and Lt MCA suggestive of thrombosis"/>
    <m/>
    <n v="8"/>
    <n v="2"/>
    <n v="1"/>
    <n v="1"/>
    <n v="3"/>
    <m/>
    <n v="1"/>
    <n v="2"/>
    <n v="1"/>
    <n v="1"/>
    <m/>
    <n v="2"/>
    <n v="2"/>
    <n v="4"/>
    <n v="25"/>
    <n v="0"/>
    <n v="0"/>
    <n v="0"/>
    <n v="0"/>
    <n v="0"/>
    <n v="0"/>
    <n v="0"/>
    <n v="0"/>
    <n v="0"/>
    <n v="0"/>
    <n v="0"/>
    <n v="0"/>
    <n v="0"/>
    <n v="1"/>
    <x v="14"/>
    <n v="0"/>
    <n v="1"/>
    <n v="0"/>
  </r>
  <r>
    <s v="JB"/>
    <s v="Sagar Bhapkar"/>
    <x v="218"/>
    <n v="0"/>
    <x v="222"/>
    <x v="225"/>
    <n v="45"/>
    <n v="1"/>
    <d v="2024-02-19T00:00:00"/>
    <d v="1899-12-30T16:00:00"/>
    <d v="2024-02-20T00:00:00"/>
    <d v="2024-02-24T00:00:00"/>
    <n v="9921999898"/>
    <m/>
    <n v="5"/>
    <n v="1"/>
    <n v="1"/>
    <n v="2"/>
    <n v="2"/>
    <n v="2"/>
    <n v="2"/>
    <n v="2"/>
    <n v="2"/>
    <n v="2"/>
    <n v="2"/>
    <m/>
    <n v="15"/>
    <m/>
    <m/>
    <n v="17.079999999999998"/>
    <n v="13"/>
    <n v="231"/>
    <n v="137.80000000000001"/>
    <n v="42"/>
    <n v="256"/>
    <n v="51.2"/>
    <n v="166"/>
    <m/>
    <m/>
    <m/>
    <s v="B/L MCA PCA watershed infract right cerebrum tiny infracts "/>
    <m/>
    <s v="Rt ICA origin plaque 60- 705 stenosis"/>
    <m/>
    <n v="8"/>
    <n v="3"/>
    <n v="1"/>
    <n v="3"/>
    <n v="5"/>
    <m/>
    <n v="1"/>
    <n v="1"/>
    <n v="2"/>
    <m/>
    <n v="4"/>
    <n v="2"/>
    <n v="2"/>
    <m/>
    <m/>
    <n v="0"/>
    <n v="0"/>
    <n v="0"/>
    <n v="0"/>
    <n v="0"/>
    <n v="0"/>
    <n v="0"/>
    <n v="1"/>
    <n v="2"/>
    <n v="2"/>
    <n v="2"/>
    <n v="1"/>
    <n v="1"/>
    <n v="1"/>
    <x v="3"/>
    <n v="1"/>
    <n v="0"/>
    <s v="Bilateral CCA plaques"/>
  </r>
  <r>
    <s v="MU"/>
    <s v="Maruti B Waghe"/>
    <x v="219"/>
    <n v="0"/>
    <x v="223"/>
    <x v="226"/>
    <n v="53"/>
    <n v="1"/>
    <d v="2023-08-10T00:00:00"/>
    <d v="1899-12-30T09:00:00"/>
    <d v="2023-08-10T00:00:00"/>
    <d v="2023-08-12T00:00:00"/>
    <n v="7767882395"/>
    <m/>
    <n v="20"/>
    <n v="1"/>
    <n v="1"/>
    <n v="2"/>
    <n v="2"/>
    <n v="2"/>
    <n v="2"/>
    <n v="2"/>
    <n v="2"/>
    <n v="2"/>
    <n v="2"/>
    <m/>
    <n v="15.2"/>
    <n v="15.4"/>
    <m/>
    <n v="18.86"/>
    <n v="9.5"/>
    <n v="200"/>
    <n v="140.80000000000001"/>
    <n v="34"/>
    <n v="126"/>
    <m/>
    <m/>
    <m/>
    <s v="Post lysis bleed"/>
    <m/>
    <s v="Hyper acute to acute infract in lt fronto-parieto-temporal lobes and lt basal ganglia"/>
    <m/>
    <m/>
    <m/>
    <m/>
    <m/>
    <m/>
    <m/>
    <m/>
    <m/>
    <n v="1"/>
    <n v="2"/>
    <n v="1"/>
    <n v="3"/>
    <n v="4"/>
    <n v="2"/>
    <n v="2"/>
    <n v="6"/>
    <n v="0"/>
    <n v="0"/>
    <n v="0"/>
    <n v="0"/>
    <n v="0"/>
    <n v="0"/>
    <n v="0"/>
    <n v="0"/>
    <n v="0"/>
    <n v="0"/>
    <n v="0"/>
    <n v="0"/>
    <n v="0"/>
    <n v="0"/>
    <n v="0"/>
    <x v="4"/>
    <n v="0"/>
    <n v="0"/>
    <n v="0"/>
  </r>
  <r>
    <s v="FB"/>
    <s v="Sunanda renuse"/>
    <x v="220"/>
    <n v="1"/>
    <x v="224"/>
    <x v="227"/>
    <n v="57"/>
    <n v="2"/>
    <d v="2023-02-01T00:00:00"/>
    <d v="1899-12-30T16:15:00"/>
    <d v="2023-02-01T00:00:00"/>
    <d v="2023-02-09T00:00:00"/>
    <n v="8698424544"/>
    <m/>
    <n v="14"/>
    <n v="2"/>
    <n v="2"/>
    <n v="2"/>
    <n v="2"/>
    <n v="2"/>
    <n v="2"/>
    <n v="2"/>
    <n v="2"/>
    <n v="2"/>
    <n v="2"/>
    <s v="Hyperhomocysteinemia"/>
    <n v="11.7"/>
    <n v="33.6"/>
    <n v="10.56"/>
    <n v="81.62"/>
    <m/>
    <m/>
    <m/>
    <m/>
    <m/>
    <m/>
    <n v="219"/>
    <m/>
    <m/>
    <m/>
    <s v="Acute infract right MCA teritory"/>
    <m/>
    <s v="Soft atherosclerotic plaque of bifruation of Rt CCA about cut off superior division of M2 segment of Rt MCA"/>
    <m/>
    <m/>
    <m/>
    <m/>
    <m/>
    <m/>
    <m/>
    <n v="1"/>
    <n v="2"/>
    <n v="1"/>
    <n v="1"/>
    <m/>
    <n v="2"/>
    <n v="2"/>
    <n v="2"/>
    <n v="95"/>
    <n v="1"/>
    <n v="2"/>
    <n v="2"/>
    <n v="1"/>
    <n v="1"/>
    <n v="1"/>
    <n v="1"/>
    <n v="0"/>
    <n v="0"/>
    <n v="0"/>
    <n v="0"/>
    <n v="0"/>
    <n v="0"/>
    <n v="0"/>
    <x v="2"/>
    <n v="1"/>
    <n v="0"/>
    <n v="0"/>
  </r>
  <r>
    <s v="CJ"/>
    <s v="Kamal Bhosale "/>
    <x v="221"/>
    <n v="1"/>
    <x v="225"/>
    <x v="228"/>
    <n v="65"/>
    <n v="2"/>
    <m/>
    <m/>
    <d v="2022-09-23T00:00:00"/>
    <d v="2022-09-25T00:00:00"/>
    <n v="9657788822"/>
    <n v="9112318022"/>
    <n v="24"/>
    <n v="1"/>
    <n v="2"/>
    <n v="2"/>
    <n v="2"/>
    <n v="2"/>
    <n v="2"/>
    <n v="2"/>
    <n v="2"/>
    <n v="2"/>
    <n v="2"/>
    <s v="Pulmonary kochst"/>
    <n v="12"/>
    <n v="38.9"/>
    <n v="79.400000000000006"/>
    <n v="8"/>
    <m/>
    <m/>
    <m/>
    <m/>
    <m/>
    <m/>
    <n v="732"/>
    <m/>
    <m/>
    <m/>
    <s v="Rt FTP , lentiform nucleus Rt insular infract"/>
    <m/>
    <s v="M1 Rt MCA eccentric fully defect distal M1 m2 narrow"/>
    <m/>
    <n v="8"/>
    <n v="3"/>
    <n v="2"/>
    <n v="3"/>
    <n v="4"/>
    <m/>
    <n v="1"/>
    <n v="1"/>
    <n v="2"/>
    <m/>
    <m/>
    <m/>
    <m/>
    <n v="6"/>
    <n v="0"/>
    <n v="1"/>
    <n v="2"/>
    <n v="1"/>
    <n v="1"/>
    <n v="1"/>
    <n v="1"/>
    <n v="1"/>
    <n v="0"/>
    <n v="0"/>
    <n v="0"/>
    <n v="0"/>
    <n v="0"/>
    <n v="0"/>
    <n v="0"/>
    <x v="1"/>
    <n v="1"/>
    <n v="1"/>
    <n v="0"/>
  </r>
  <r>
    <s v="AG"/>
    <s v="Hanumant Lohar "/>
    <x v="222"/>
    <n v="1"/>
    <x v="226"/>
    <x v="229"/>
    <n v="58"/>
    <n v="1"/>
    <d v="2023-07-23T00:00:00"/>
    <d v="1899-12-30T02:00:00"/>
    <d v="2023-07-23T00:00:00"/>
    <d v="2023-08-03T00:00:00"/>
    <n v="7276991493"/>
    <m/>
    <n v="6"/>
    <n v="1"/>
    <n v="1"/>
    <n v="2"/>
    <n v="2"/>
    <n v="2"/>
    <n v="2"/>
    <n v="2"/>
    <n v="2"/>
    <n v="2"/>
    <n v="2"/>
    <s v="Asthma"/>
    <n v="14.9"/>
    <m/>
    <m/>
    <n v="26.58"/>
    <n v="11.2"/>
    <n v="177"/>
    <n v="118.8"/>
    <n v="50"/>
    <n v="41"/>
    <n v="8.1999999999999993"/>
    <n v="267"/>
    <m/>
    <m/>
    <m/>
    <s v="Lt MCA teritory infract"/>
    <m/>
    <s v="Complete occlussion/thrombosis of entire Lt ICA M1, M2 segments of Lt MCAcalcified atherosclerotic plaque in Lt carotid bulb causing approx. 20-30% luminal narrowing "/>
    <m/>
    <m/>
    <m/>
    <m/>
    <m/>
    <m/>
    <m/>
    <n v="1"/>
    <n v="2"/>
    <n v="2"/>
    <m/>
    <m/>
    <m/>
    <m/>
    <n v="2"/>
    <n v="85"/>
    <n v="0"/>
    <n v="0"/>
    <n v="0"/>
    <n v="0"/>
    <n v="0"/>
    <n v="0"/>
    <n v="0"/>
    <n v="0"/>
    <n v="0"/>
    <n v="0"/>
    <n v="0"/>
    <n v="0"/>
    <n v="0"/>
    <n v="1"/>
    <x v="14"/>
    <n v="0"/>
    <n v="1"/>
    <n v="0"/>
  </r>
  <r>
    <s v="MV"/>
    <s v="Tarabai kalaskar  "/>
    <x v="223"/>
    <n v="0"/>
    <x v="227"/>
    <x v="230"/>
    <n v="78"/>
    <n v="2"/>
    <d v="2024-05-10T00:00:00"/>
    <d v="1899-12-30T08:00:00"/>
    <d v="2024-05-24T00:00:00"/>
    <d v="2024-06-01T00:00:00"/>
    <n v="9422740953"/>
    <n v="8856956910"/>
    <m/>
    <n v="1"/>
    <n v="1"/>
    <n v="2"/>
    <n v="2"/>
    <n v="2"/>
    <n v="2"/>
    <n v="2"/>
    <n v="1"/>
    <n v="2"/>
    <n v="2"/>
    <s v="1 HD port- PTCA (10 years back)"/>
    <n v="9.4"/>
    <n v="28.3"/>
    <n v="78.5"/>
    <n v="6.81"/>
    <m/>
    <m/>
    <m/>
    <m/>
    <m/>
    <m/>
    <n v="2000"/>
    <m/>
    <m/>
    <m/>
    <s v="Acute NHI in bilateral ACA teritory "/>
    <m/>
    <m/>
    <m/>
    <m/>
    <m/>
    <m/>
    <m/>
    <m/>
    <m/>
    <n v="1"/>
    <n v="1"/>
    <n v="2"/>
    <m/>
    <m/>
    <n v="2"/>
    <n v="2"/>
    <n v="1"/>
    <n v="70"/>
    <n v="0"/>
    <n v="0"/>
    <n v="0"/>
    <n v="0"/>
    <n v="0"/>
    <n v="0"/>
    <n v="0"/>
    <n v="0"/>
    <n v="0"/>
    <n v="0"/>
    <n v="0"/>
    <n v="0"/>
    <n v="0"/>
    <n v="0"/>
    <x v="4"/>
    <n v="0"/>
    <n v="0"/>
    <n v="0"/>
  </r>
  <r>
    <s v="MV"/>
    <s v="Tarabai kalaskar  "/>
    <x v="223"/>
    <n v="0"/>
    <x v="227"/>
    <x v="230"/>
    <n v="78"/>
    <n v="2"/>
    <d v="2024-05-10T00:00:00"/>
    <d v="1899-12-30T08:00:00"/>
    <d v="2024-05-24T00:00:00"/>
    <d v="2024-06-01T00:00:00"/>
    <n v="9422740953"/>
    <n v="8856956910"/>
    <m/>
    <n v="1"/>
    <n v="1"/>
    <n v="2"/>
    <n v="2"/>
    <n v="2"/>
    <n v="2"/>
    <n v="2"/>
    <n v="1"/>
    <n v="2"/>
    <n v="2"/>
    <s v="1 HD port- PTCA (10 years back)"/>
    <n v="9.4"/>
    <n v="28.3"/>
    <n v="78.5"/>
    <n v="6.81"/>
    <m/>
    <m/>
    <m/>
    <m/>
    <m/>
    <m/>
    <n v="2000"/>
    <m/>
    <m/>
    <m/>
    <s v="Acute NHI in bilateral ACA teritory "/>
    <m/>
    <m/>
    <m/>
    <m/>
    <m/>
    <m/>
    <m/>
    <m/>
    <m/>
    <n v="1"/>
    <n v="1"/>
    <n v="2"/>
    <m/>
    <m/>
    <n v="2"/>
    <n v="2"/>
    <n v="1"/>
    <n v="70"/>
    <n v="0"/>
    <n v="0"/>
    <n v="0"/>
    <n v="0"/>
    <n v="0"/>
    <n v="0"/>
    <n v="0"/>
    <n v="0"/>
    <n v="0"/>
    <n v="0"/>
    <n v="0"/>
    <n v="0"/>
    <n v="0"/>
    <n v="0"/>
    <x v="4"/>
    <n v="0"/>
    <n v="0"/>
    <n v="0"/>
  </r>
  <r>
    <s v="AN"/>
    <s v="Balu Rathod"/>
    <x v="224"/>
    <n v="1"/>
    <x v="228"/>
    <x v="231"/>
    <n v="53"/>
    <n v="1"/>
    <d v="2023-01-31T00:00:00"/>
    <d v="1899-12-30T20:30:00"/>
    <d v="2023-01-31T00:00:00"/>
    <d v="2023-02-06T00:00:00"/>
    <n v="9657461888"/>
    <m/>
    <n v="24"/>
    <n v="2"/>
    <n v="2"/>
    <n v="2"/>
    <n v="2"/>
    <n v="2"/>
    <n v="2"/>
    <n v="2"/>
    <n v="2"/>
    <n v="2"/>
    <n v="2"/>
    <s v="HIV Positive"/>
    <n v="13.4"/>
    <n v="37.9"/>
    <n v="97.1"/>
    <n v="20.57"/>
    <m/>
    <m/>
    <m/>
    <m/>
    <m/>
    <m/>
    <n v="209"/>
    <m/>
    <m/>
    <m/>
    <s v="Left MCA infract"/>
    <m/>
    <s v="M1 segments regular and cut off poor reformation of ML left ICA occlusian from origin "/>
    <m/>
    <n v="7"/>
    <n v="3"/>
    <n v="2"/>
    <n v="1"/>
    <n v="3"/>
    <m/>
    <n v="1"/>
    <n v="2"/>
    <n v="1"/>
    <n v="1"/>
    <m/>
    <m/>
    <m/>
    <n v="3"/>
    <n v="60"/>
    <n v="0"/>
    <n v="0"/>
    <n v="0"/>
    <n v="0"/>
    <n v="0"/>
    <n v="0"/>
    <n v="0"/>
    <n v="0"/>
    <n v="2"/>
    <n v="0"/>
    <n v="0"/>
    <n v="0"/>
    <n v="0"/>
    <n v="1"/>
    <x v="10"/>
    <n v="0"/>
    <n v="1"/>
    <n v="0"/>
  </r>
  <r>
    <s v="OW"/>
    <s v="Chandrabhagabai Gite"/>
    <x v="225"/>
    <n v="0"/>
    <x v="229"/>
    <x v="172"/>
    <n v="77"/>
    <n v="2"/>
    <d v="2024-07-19T00:00:00"/>
    <d v="1899-12-30T09:00:00"/>
    <d v="2024-07-19T00:00:00"/>
    <d v="2024-07-29T00:00:00"/>
    <n v="9067454742"/>
    <m/>
    <n v="14"/>
    <n v="1"/>
    <n v="1"/>
    <n v="2"/>
    <n v="1"/>
    <n v="2"/>
    <n v="1"/>
    <n v="2"/>
    <n v="2"/>
    <n v="2"/>
    <n v="1"/>
    <m/>
    <n v="14"/>
    <m/>
    <m/>
    <n v="18.29"/>
    <n v="9.8000000000000007"/>
    <n v="250"/>
    <n v="126"/>
    <n v="37"/>
    <n v="435"/>
    <n v="87"/>
    <m/>
    <m/>
    <m/>
    <m/>
    <s v="Right ACA infract"/>
    <m/>
    <s v="Right ICA terminal part and petros ICA thrombus Rt ACA thrombosis"/>
    <m/>
    <m/>
    <m/>
    <m/>
    <m/>
    <m/>
    <m/>
    <n v="1"/>
    <n v="1"/>
    <n v="2"/>
    <m/>
    <m/>
    <n v="2"/>
    <n v="2"/>
    <m/>
    <m/>
    <n v="0"/>
    <n v="2"/>
    <n v="1"/>
    <n v="2"/>
    <n v="1"/>
    <n v="1"/>
    <n v="0"/>
    <m/>
    <m/>
    <m/>
    <m/>
    <m/>
    <m/>
    <m/>
    <x v="0"/>
    <n v="1"/>
    <n v="0"/>
    <s v="Rt CCA Plaque"/>
  </r>
  <r>
    <s v="MX"/>
    <s v="Aparna Talathi"/>
    <x v="226"/>
    <n v="0"/>
    <x v="230"/>
    <x v="232"/>
    <n v="76"/>
    <n v="2"/>
    <d v="2024-07-06T00:00:00"/>
    <d v="1899-12-30T22:30:00"/>
    <d v="2024-07-07T00:00:00"/>
    <d v="2024-07-11T00:00:00"/>
    <n v="9822884366"/>
    <m/>
    <n v="16"/>
    <n v="1"/>
    <n v="2"/>
    <n v="2"/>
    <n v="2"/>
    <n v="2"/>
    <n v="2"/>
    <n v="1"/>
    <n v="2"/>
    <n v="2"/>
    <n v="2"/>
    <m/>
    <n v="11.8"/>
    <n v="34.700000000000003"/>
    <n v="94.1"/>
    <n v="15.08"/>
    <n v="5.6"/>
    <n v="122"/>
    <n v="72.2"/>
    <n v="33"/>
    <n v="84"/>
    <n v="16.8"/>
    <n v="366"/>
    <m/>
    <m/>
    <m/>
    <s v="A/C infract Rt MCA teritory "/>
    <m/>
    <s v="Rt MCA distal M2 thrombosis calcified atherosclerotic plaque in B/L CCA origin and carvenous segments of B/L ICAs causing 30-40% luminal compromise"/>
    <m/>
    <n v="7"/>
    <n v="3"/>
    <n v="1"/>
    <n v="3"/>
    <n v="5"/>
    <m/>
    <n v="1"/>
    <n v="1"/>
    <n v="2"/>
    <m/>
    <m/>
    <n v="2"/>
    <n v="2"/>
    <n v="1"/>
    <m/>
    <n v="0"/>
    <n v="1"/>
    <n v="1"/>
    <n v="2"/>
    <n v="1"/>
    <n v="1"/>
    <n v="1"/>
    <n v="0"/>
    <n v="0"/>
    <n v="0"/>
    <n v="0"/>
    <n v="0"/>
    <n v="0"/>
    <n v="0"/>
    <x v="0"/>
    <n v="1"/>
    <n v="1"/>
    <s v="Left CCA plaque"/>
  </r>
  <r>
    <s v="DN"/>
    <s v="Madhuri Kulkarni "/>
    <x v="227"/>
    <n v="0"/>
    <x v="231"/>
    <x v="233"/>
    <n v="55"/>
    <n v="2"/>
    <m/>
    <m/>
    <d v="2023-07-04T00:00:00"/>
    <d v="2023-07-08T00:00:00"/>
    <n v="9595660842"/>
    <m/>
    <m/>
    <n v="2"/>
    <n v="2"/>
    <n v="2"/>
    <n v="2"/>
    <n v="2"/>
    <n v="2"/>
    <n v="2"/>
    <n v="1"/>
    <n v="2"/>
    <n v="2"/>
    <s v="Gouty arthritis superior vein thrombosis "/>
    <n v="12.9"/>
    <n v="39.1"/>
    <n v="88.4"/>
    <n v="11.33"/>
    <m/>
    <n v="201"/>
    <n v="116"/>
    <n v="61"/>
    <n v="120"/>
    <n v="24"/>
    <n v="1392"/>
    <m/>
    <m/>
    <m/>
    <s v="Acute infarct in rt fronto- parietal and temporal cortex and white matter left frontal lobe is also involved the infract hence increased in size as compared to previous scan,no blled,There is diffuse cerebral edema in the form of effacement of sulcal spaces and bilateral lateral ventricles "/>
    <m/>
    <m/>
    <m/>
    <m/>
    <m/>
    <m/>
    <m/>
    <m/>
    <m/>
    <n v="1"/>
    <n v="1"/>
    <n v="2"/>
    <m/>
    <m/>
    <m/>
    <m/>
    <n v="6"/>
    <m/>
    <n v="0"/>
    <n v="2"/>
    <n v="2"/>
    <n v="2"/>
    <n v="1"/>
    <n v="1"/>
    <n v="1"/>
    <n v="0"/>
    <n v="0"/>
    <n v="0"/>
    <n v="0"/>
    <n v="0"/>
    <n v="0"/>
    <n v="0"/>
    <x v="2"/>
    <n v="1"/>
    <n v="1"/>
    <n v="0"/>
  </r>
  <r>
    <s v="MY"/>
    <s v="Nilesh Dhande"/>
    <x v="228"/>
    <n v="0"/>
    <x v="232"/>
    <x v="234"/>
    <n v="46"/>
    <n v="1"/>
    <d v="2024-06-03T00:00:00"/>
    <d v="1899-12-30T07:30:00"/>
    <d v="2024-06-03T00:00:00"/>
    <d v="2024-06-06T00:00:00"/>
    <n v="9822757106"/>
    <m/>
    <n v="3"/>
    <n v="1"/>
    <n v="2"/>
    <n v="2"/>
    <n v="2"/>
    <n v="2"/>
    <n v="2"/>
    <n v="2"/>
    <n v="2"/>
    <n v="2"/>
    <n v="2"/>
    <m/>
    <n v="14.2"/>
    <n v="43.9"/>
    <n v="82.6"/>
    <n v="9"/>
    <n v="5.5"/>
    <n v="161"/>
    <n v="88"/>
    <n v="46"/>
    <n v="132"/>
    <n v="26"/>
    <m/>
    <m/>
    <m/>
    <m/>
    <s v="hypodensity seen in Lt temporo-parietal lobe S/O acute infract "/>
    <m/>
    <s v="Left ICA carvenous, clinoid, supraclinoid 85-90% luminal narrowing. Thrombus in left superior division M2 complete occlusion of inferior division of left MCA"/>
    <m/>
    <n v="6"/>
    <n v="1"/>
    <n v="2"/>
    <n v="2"/>
    <n v="2"/>
    <m/>
    <n v="1"/>
    <n v="1"/>
    <n v="2"/>
    <m/>
    <n v="3"/>
    <n v="2"/>
    <n v="2"/>
    <n v="0"/>
    <n v="100"/>
    <n v="0"/>
    <n v="0"/>
    <n v="0"/>
    <n v="0"/>
    <n v="0"/>
    <n v="0"/>
    <n v="0"/>
    <n v="0"/>
    <n v="0"/>
    <n v="2"/>
    <n v="2"/>
    <n v="1"/>
    <n v="1"/>
    <n v="1"/>
    <x v="0"/>
    <n v="1"/>
    <n v="1"/>
    <n v="0"/>
  </r>
  <r>
    <s v="AO"/>
    <s v="Mahavar Bappa"/>
    <x v="229"/>
    <n v="0"/>
    <x v="233"/>
    <x v="235"/>
    <n v="50"/>
    <n v="1"/>
    <d v="2023-09-14T00:00:00"/>
    <d v="1899-12-30T20:30:00"/>
    <d v="2023-09-15T00:00:00"/>
    <d v="2023-09-22T00:00:00"/>
    <n v="8855061463"/>
    <n v="8010603917"/>
    <n v="13"/>
    <n v="1"/>
    <n v="2"/>
    <n v="1"/>
    <n v="1"/>
    <n v="1"/>
    <n v="2"/>
    <n v="2"/>
    <n v="2"/>
    <n v="2"/>
    <n v="2"/>
    <s v="Dimorphic Anemia"/>
    <n v="11.3"/>
    <n v="32"/>
    <n v="79"/>
    <n v="44.6"/>
    <n v="5.3"/>
    <n v="195"/>
    <n v="116"/>
    <n v="46"/>
    <n v="162"/>
    <n v="32"/>
    <n v="148"/>
    <m/>
    <s v="S Iron -19, S TIBC- 317, S UIBC-298, S Feritin- 28, Transferrin saturation-5.99"/>
    <m/>
    <s v="Right MCA Infarct "/>
    <m/>
    <s v="A/c NHI in rt MCA territory. Thyrmbosis in rt MCA distal to origin Eccentric thrymbos in rt carotid bulb. Sanccular aneurysm noted at junction in left ACA and ACOM measuring6x6.7x5.4mm"/>
    <m/>
    <n v="8"/>
    <n v="2"/>
    <n v="1"/>
    <n v="2"/>
    <n v="4"/>
    <m/>
    <n v="1"/>
    <n v="2"/>
    <n v="2"/>
    <n v="2"/>
    <n v="2"/>
    <n v="2"/>
    <n v="2"/>
    <n v="0"/>
    <n v="100"/>
    <n v="1"/>
    <n v="2"/>
    <n v="0"/>
    <n v="0"/>
    <n v="0"/>
    <n v="0"/>
    <n v="1"/>
    <n v="0"/>
    <n v="0"/>
    <n v="0"/>
    <n v="0"/>
    <n v="0"/>
    <n v="0"/>
    <n v="0"/>
    <x v="10"/>
    <n v="1"/>
    <n v="0"/>
    <n v="0"/>
  </r>
  <r>
    <s v="FK,OU"/>
    <s v="Lahot Krushna"/>
    <x v="11"/>
    <e v="#N/A"/>
    <x v="234"/>
    <x v="236"/>
    <n v="74"/>
    <n v="2"/>
    <d v="2024-09-09T00:00:00"/>
    <d v="1899-12-30T02:30:00"/>
    <d v="2024-09-09T00:00:00"/>
    <d v="2024-09-25T00:00:00"/>
    <n v="7448240702"/>
    <m/>
    <n v="11"/>
    <n v="1"/>
    <n v="1"/>
    <n v="2"/>
    <n v="2"/>
    <n v="2"/>
    <n v="2"/>
    <n v="2"/>
    <n v="1"/>
    <n v="2"/>
    <n v="2"/>
    <m/>
    <n v="11.8"/>
    <n v="36.700000000000003"/>
    <n v="90.4"/>
    <n v="13.29"/>
    <n v="6.7"/>
    <n v="153"/>
    <n v="96"/>
    <n v="34"/>
    <n v="111"/>
    <n v="22"/>
    <n v="397"/>
    <m/>
    <m/>
    <m/>
    <s v="Rt MCA infarct superior division"/>
    <m/>
    <s v="Rt MCA supeiror devision thrombus, atherosclerotic plaque with calcifications in left carotid bulb and origin of left ICA"/>
    <m/>
    <n v="4"/>
    <n v="2"/>
    <n v="2"/>
    <n v="3"/>
    <n v="3"/>
    <m/>
    <n v="1"/>
    <n v="1"/>
    <n v="1"/>
    <n v="1"/>
    <n v="4"/>
    <n v="2"/>
    <n v="2"/>
    <n v="6"/>
    <n v="0"/>
    <e v="#N/A"/>
    <e v="#N/A"/>
    <e v="#N/A"/>
    <e v="#N/A"/>
    <e v="#N/A"/>
    <e v="#N/A"/>
    <e v="#N/A"/>
    <e v="#N/A"/>
    <e v="#N/A"/>
    <e v="#N/A"/>
    <e v="#N/A"/>
    <e v="#N/A"/>
    <e v="#N/A"/>
    <e v="#N/A"/>
    <x v="15"/>
    <e v="#N/A"/>
    <e v="#N/A"/>
    <e v="#N/A"/>
  </r>
  <r>
    <s v="MZ"/>
    <s v="Hira K Salve"/>
    <x v="230"/>
    <n v="0"/>
    <x v="235"/>
    <x v="237"/>
    <n v="82"/>
    <n v="1"/>
    <d v="2023-08-18T00:00:00"/>
    <d v="1899-12-30T02:00:00"/>
    <d v="2023-08-19T00:00:00"/>
    <d v="2023-08-23T00:00:00"/>
    <n v="9881509004"/>
    <m/>
    <n v="13"/>
    <n v="1"/>
    <n v="2"/>
    <n v="1"/>
    <n v="1"/>
    <n v="2"/>
    <n v="2"/>
    <n v="2"/>
    <n v="2"/>
    <n v="2"/>
    <n v="2"/>
    <m/>
    <n v="17.8"/>
    <n v="51.9"/>
    <n v="89.8"/>
    <n v="34.979999999999997"/>
    <n v="7.7"/>
    <n v="139"/>
    <n v="88"/>
    <n v="35"/>
    <n v="80"/>
    <n v="16"/>
    <n v="149"/>
    <m/>
    <m/>
    <m/>
    <s v="Rt MCA infract"/>
    <m/>
    <s v="Focal stenosis extending for a lenght of 4.1mm, m1 segment of rt MCA. there is pacuity of vertical branches of rt MCA rt MCA appears irregular, calcified atheroscleosis plaques in carvernous and supra clinoid segments of both ICAs multiple small atheroscerotic calcified plaque in rt CCA, rt ICA causing 60-70% luminal narrowing"/>
    <m/>
    <n v="7"/>
    <n v="3"/>
    <n v="2"/>
    <n v="2"/>
    <n v="4"/>
    <m/>
    <n v="1"/>
    <n v="2"/>
    <n v="2"/>
    <m/>
    <m/>
    <m/>
    <m/>
    <n v="2"/>
    <n v="85"/>
    <n v="0"/>
    <n v="0"/>
    <n v="0"/>
    <n v="0"/>
    <n v="0"/>
    <n v="0"/>
    <n v="0"/>
    <n v="0"/>
    <n v="0"/>
    <n v="0"/>
    <n v="0"/>
    <n v="0"/>
    <n v="0"/>
    <n v="0"/>
    <x v="11"/>
    <n v="0"/>
    <n v="0"/>
    <n v="0"/>
  </r>
  <r>
    <s v="BK"/>
    <s v="Medha S. Kulkarni"/>
    <x v="231"/>
    <n v="0"/>
    <x v="236"/>
    <x v="238"/>
    <n v="33"/>
    <n v="2"/>
    <d v="2023-08-18T00:00:00"/>
    <d v="1899-12-30T09:00:00"/>
    <d v="2023-08-18T00:00:00"/>
    <d v="2023-08-24T00:00:00"/>
    <n v="9096995588"/>
    <m/>
    <n v="9"/>
    <n v="2"/>
    <n v="2"/>
    <n v="2"/>
    <n v="2"/>
    <n v="2"/>
    <n v="2"/>
    <n v="2"/>
    <n v="2"/>
    <n v="2"/>
    <n v="2"/>
    <s v="Body aches and diffuse my algia since 1 month"/>
    <n v="10.9"/>
    <n v="33.4"/>
    <m/>
    <n v="8.6199999999999992"/>
    <n v="5"/>
    <m/>
    <m/>
    <m/>
    <m/>
    <m/>
    <n v="1099"/>
    <m/>
    <s v="AMA 2+ positive, APCA Neg"/>
    <m/>
    <s v="A/C Rt infracts"/>
    <m/>
    <s v="Rt M1 occlusion and M2 occlusion "/>
    <m/>
    <m/>
    <m/>
    <m/>
    <m/>
    <m/>
    <m/>
    <n v="1"/>
    <m/>
    <n v="2"/>
    <m/>
    <m/>
    <n v="1"/>
    <n v="2"/>
    <n v="6"/>
    <n v="0"/>
    <n v="1"/>
    <n v="2"/>
    <n v="2"/>
    <n v="0"/>
    <n v="0"/>
    <n v="1"/>
    <n v="1"/>
    <n v="0"/>
    <n v="0"/>
    <n v="0"/>
    <n v="0"/>
    <n v="0"/>
    <n v="0"/>
    <n v="0"/>
    <x v="0"/>
    <n v="1"/>
    <n v="1"/>
    <n v="0"/>
  </r>
  <r>
    <s v="AI"/>
    <s v="Anusaya Kharat"/>
    <x v="232"/>
    <n v="0"/>
    <x v="237"/>
    <x v="239"/>
    <n v="85"/>
    <n v="2"/>
    <d v="2024-02-06T00:00:00"/>
    <d v="1899-12-30T05:33:00"/>
    <d v="2024-02-06T00:00:00"/>
    <d v="2024-02-15T00:00:00"/>
    <n v="7058983347"/>
    <m/>
    <n v="21"/>
    <n v="1"/>
    <n v="2"/>
    <n v="2"/>
    <n v="2"/>
    <n v="2"/>
    <n v="2"/>
    <n v="2"/>
    <n v="2"/>
    <n v="2"/>
    <n v="2"/>
    <s v="Generalised weakness since 25 days"/>
    <m/>
    <m/>
    <m/>
    <m/>
    <m/>
    <m/>
    <m/>
    <m/>
    <m/>
    <m/>
    <m/>
    <m/>
    <m/>
    <m/>
    <s v="Large left MCA infract with mass effect and midline shift 2.2mm to right. "/>
    <m/>
    <m/>
    <m/>
    <n v="7"/>
    <n v="2"/>
    <n v="2"/>
    <n v="1"/>
    <n v="3"/>
    <m/>
    <n v="1"/>
    <m/>
    <n v="1"/>
    <n v="1"/>
    <n v="4"/>
    <n v="2"/>
    <n v="2"/>
    <n v="6"/>
    <n v="0"/>
    <n v="0"/>
    <n v="0"/>
    <n v="0"/>
    <n v="0"/>
    <n v="0"/>
    <n v="0"/>
    <n v="0"/>
    <n v="0"/>
    <n v="2"/>
    <n v="0"/>
    <n v="0"/>
    <n v="0"/>
    <n v="0"/>
    <n v="1"/>
    <x v="13"/>
    <n v="0"/>
    <n v="1"/>
    <s v="Bilateral CCA plaques"/>
  </r>
  <r>
    <s v="NA"/>
    <s v="Anita Lokhande"/>
    <x v="233"/>
    <n v="0"/>
    <x v="238"/>
    <x v="240"/>
    <n v="44"/>
    <n v="2"/>
    <d v="2023-08-03T00:00:00"/>
    <d v="1899-12-30T16:15:00"/>
    <d v="2023-08-03T00:00:00"/>
    <d v="2023-08-05T00:00:00"/>
    <n v="9096285704"/>
    <m/>
    <n v="17"/>
    <n v="1"/>
    <n v="1"/>
    <n v="2"/>
    <n v="2"/>
    <n v="2"/>
    <n v="2"/>
    <n v="2"/>
    <n v="1"/>
    <n v="2"/>
    <n v="2"/>
    <s v="Undervent CABG on 03/08/2023 Post CABG stroke"/>
    <n v="11.67"/>
    <n v="22.4"/>
    <n v="73"/>
    <m/>
    <m/>
    <m/>
    <m/>
    <m/>
    <m/>
    <m/>
    <m/>
    <m/>
    <m/>
    <m/>
    <s v="Left MCA infract"/>
    <m/>
    <s v="Left distal M1 occlusion. delayed contrast opacification of M2 segment and its cortical branches"/>
    <m/>
    <m/>
    <m/>
    <m/>
    <m/>
    <m/>
    <m/>
    <n v="1"/>
    <n v="1"/>
    <n v="2"/>
    <m/>
    <m/>
    <m/>
    <m/>
    <n v="2"/>
    <n v="85"/>
    <n v="0"/>
    <n v="0"/>
    <n v="0"/>
    <n v="0"/>
    <n v="0"/>
    <n v="0"/>
    <n v="0"/>
    <n v="0"/>
    <n v="0"/>
    <n v="0"/>
    <n v="0"/>
    <n v="0"/>
    <n v="0"/>
    <n v="0"/>
    <x v="4"/>
    <n v="0"/>
    <n v="0"/>
    <n v="0"/>
  </r>
  <r>
    <s v="NA"/>
    <s v="Anita Lokhande"/>
    <x v="233"/>
    <n v="0"/>
    <x v="238"/>
    <x v="240"/>
    <n v="44"/>
    <n v="2"/>
    <d v="2023-08-03T00:00:00"/>
    <d v="1899-12-30T16:15:00"/>
    <d v="2023-08-03T00:00:00"/>
    <d v="2023-08-05T00:00:00"/>
    <n v="9096285704"/>
    <m/>
    <n v="17"/>
    <n v="1"/>
    <n v="1"/>
    <n v="2"/>
    <n v="2"/>
    <n v="2"/>
    <n v="2"/>
    <n v="2"/>
    <n v="1"/>
    <n v="2"/>
    <n v="2"/>
    <s v="Undervent CABG on 03/08/2023 Post CABG stroke"/>
    <n v="11.67"/>
    <n v="22.4"/>
    <n v="73"/>
    <m/>
    <m/>
    <m/>
    <m/>
    <m/>
    <m/>
    <m/>
    <m/>
    <m/>
    <m/>
    <m/>
    <s v="Left MCA infract"/>
    <m/>
    <s v="Left distal M1 occlusion. delayed contrast opacification of M2 segment and its cortical branches"/>
    <m/>
    <m/>
    <m/>
    <m/>
    <m/>
    <m/>
    <m/>
    <n v="1"/>
    <n v="1"/>
    <n v="2"/>
    <m/>
    <m/>
    <m/>
    <m/>
    <n v="2"/>
    <n v="85"/>
    <n v="0"/>
    <n v="0"/>
    <n v="0"/>
    <n v="0"/>
    <n v="0"/>
    <n v="0"/>
    <n v="0"/>
    <n v="0"/>
    <n v="0"/>
    <n v="0"/>
    <n v="0"/>
    <n v="0"/>
    <n v="0"/>
    <n v="0"/>
    <x v="4"/>
    <n v="0"/>
    <n v="0"/>
    <n v="0"/>
  </r>
  <r>
    <s v="NB"/>
    <s v="Mandakini Shinde"/>
    <x v="234"/>
    <n v="0"/>
    <x v="239"/>
    <x v="241"/>
    <n v="68"/>
    <n v="2"/>
    <d v="2024-06-05T00:00:00"/>
    <d v="1899-12-30T02:00:00"/>
    <d v="2024-06-06T00:00:00"/>
    <d v="2024-06-12T00:00:00"/>
    <n v="7517721567"/>
    <m/>
    <n v="12"/>
    <n v="1"/>
    <n v="1"/>
    <n v="2"/>
    <n v="2"/>
    <n v="2"/>
    <n v="2"/>
    <n v="2"/>
    <n v="2"/>
    <n v="2"/>
    <n v="1"/>
    <m/>
    <n v="14.3"/>
    <n v="42.8"/>
    <n v="91.5"/>
    <m/>
    <n v="11.1"/>
    <n v="196"/>
    <n v="127"/>
    <n v="43"/>
    <n v="130"/>
    <n v="26"/>
    <m/>
    <m/>
    <m/>
    <m/>
    <s v="Left MCA PCA watershed infract"/>
    <m/>
    <s v="Left ICA smooth tapering of distal/end possible dissection"/>
    <m/>
    <n v="9"/>
    <n v="3"/>
    <n v="1"/>
    <n v="3"/>
    <n v="5"/>
    <m/>
    <n v="1"/>
    <n v="2"/>
    <n v="2"/>
    <m/>
    <m/>
    <n v="2"/>
    <n v="2"/>
    <n v="0"/>
    <n v="100"/>
    <n v="0"/>
    <n v="0"/>
    <n v="0"/>
    <n v="0"/>
    <n v="0"/>
    <n v="0"/>
    <n v="0"/>
    <n v="0"/>
    <n v="0"/>
    <n v="1"/>
    <n v="2"/>
    <n v="1"/>
    <n v="1"/>
    <n v="1"/>
    <x v="8"/>
    <n v="0"/>
    <n v="1"/>
    <s v="Rt CCA Plaque"/>
  </r>
  <r>
    <s v="BE"/>
    <s v="Ankush Patil "/>
    <x v="235"/>
    <n v="0"/>
    <x v="240"/>
    <x v="242"/>
    <n v="51"/>
    <n v="1"/>
    <m/>
    <m/>
    <d v="2022-12-21T00:00:00"/>
    <d v="2022-12-26T00:00:00"/>
    <n v="9096943319"/>
    <n v="7028841200"/>
    <n v="12"/>
    <n v="2"/>
    <n v="1"/>
    <n v="2"/>
    <n v="1"/>
    <n v="2"/>
    <n v="2"/>
    <n v="2"/>
    <n v="2"/>
    <n v="2"/>
    <n v="2"/>
    <m/>
    <n v="13.3"/>
    <n v="41.5"/>
    <m/>
    <n v="30.8"/>
    <n v="8"/>
    <m/>
    <m/>
    <m/>
    <m/>
    <m/>
    <n v="153"/>
    <m/>
    <m/>
    <m/>
    <s v="Acute infract Rt fronto-parietal occipital lobes"/>
    <m/>
    <s v="Rt ICA thrombosis distal to origin Rt MCA paucity cortical branch"/>
    <m/>
    <n v="9"/>
    <n v="3"/>
    <n v="1"/>
    <n v="3"/>
    <n v="5"/>
    <m/>
    <n v="1"/>
    <n v="1"/>
    <n v="2"/>
    <m/>
    <n v="3"/>
    <n v="2"/>
    <n v="2"/>
    <n v="4"/>
    <n v="50"/>
    <n v="0"/>
    <n v="0"/>
    <n v="2"/>
    <n v="2"/>
    <n v="0"/>
    <n v="1"/>
    <n v="1"/>
    <n v="0"/>
    <n v="0"/>
    <n v="0"/>
    <n v="0"/>
    <n v="0"/>
    <n v="0"/>
    <n v="0"/>
    <x v="8"/>
    <n v="1"/>
    <n v="0"/>
    <n v="0"/>
  </r>
  <r>
    <s v="FC"/>
    <s v="Bhausaheb Gavali"/>
    <x v="236"/>
    <n v="1"/>
    <x v="241"/>
    <x v="243"/>
    <n v="42"/>
    <n v="1"/>
    <m/>
    <m/>
    <d v="2022-07-19T00:00:00"/>
    <d v="2022-08-20T00:00:00"/>
    <n v="8149566554"/>
    <m/>
    <n v="22"/>
    <n v="1"/>
    <n v="2"/>
    <n v="1"/>
    <n v="2"/>
    <n v="2"/>
    <n v="2"/>
    <n v="2"/>
    <n v="1"/>
    <n v="2"/>
    <n v="1"/>
    <m/>
    <n v="12.9"/>
    <n v="34.6"/>
    <m/>
    <n v="29.76"/>
    <m/>
    <n v="5.8"/>
    <n v="111.6"/>
    <n v="25"/>
    <n v="147"/>
    <m/>
    <n v="176"/>
    <m/>
    <m/>
    <m/>
    <s v="Left MCA infract"/>
    <m/>
    <s v="M2 cut off"/>
    <m/>
    <n v="7"/>
    <n v="3"/>
    <n v="2"/>
    <n v="2"/>
    <n v="4"/>
    <m/>
    <n v="1"/>
    <n v="2"/>
    <n v="1"/>
    <n v="1"/>
    <n v="4"/>
    <n v="2"/>
    <n v="1"/>
    <n v="1"/>
    <n v="100"/>
    <n v="0"/>
    <n v="0"/>
    <n v="0"/>
    <n v="0"/>
    <n v="0"/>
    <n v="0"/>
    <n v="0"/>
    <n v="1"/>
    <n v="2"/>
    <n v="2"/>
    <n v="2"/>
    <n v="0"/>
    <n v="1"/>
    <n v="1"/>
    <x v="2"/>
    <n v="1"/>
    <n v="1"/>
    <n v="0"/>
  </r>
  <r>
    <s v="AU"/>
    <s v="Fulabai S Gaikwad"/>
    <x v="237"/>
    <n v="1"/>
    <x v="242"/>
    <x v="244"/>
    <n v="75"/>
    <n v="2"/>
    <d v="2023-08-13T00:00:00"/>
    <d v="1899-12-30T13:30:00"/>
    <d v="2023-08-13T00:00:00"/>
    <d v="2023-08-14T00:00:00"/>
    <n v="9421802120"/>
    <m/>
    <n v="11"/>
    <n v="2"/>
    <n v="2"/>
    <n v="2"/>
    <n v="1"/>
    <n v="2"/>
    <n v="2"/>
    <n v="2"/>
    <n v="2"/>
    <n v="2"/>
    <n v="2"/>
    <m/>
    <n v="12.3"/>
    <m/>
    <m/>
    <n v="20.72"/>
    <n v="6.1"/>
    <n v="236"/>
    <n v="153.4"/>
    <n v="37"/>
    <n v="228"/>
    <n v="45"/>
    <n v="2000"/>
    <m/>
    <s v="ESR-11, CRP-1.2"/>
    <m/>
    <s v="A/c infract Rt LTP lobes, Rt corona radiata, Rt centrum semiovale, Rt periventricular white, Rt insular cortex, Rt  lentiform nucleus, Rt head of caudate    "/>
    <m/>
    <s v="Right ICA thrombosis and Rt M1 MCA occlusion"/>
    <m/>
    <m/>
    <m/>
    <m/>
    <m/>
    <m/>
    <m/>
    <n v="1"/>
    <n v="2"/>
    <n v="1"/>
    <n v="1"/>
    <m/>
    <m/>
    <m/>
    <n v="6"/>
    <m/>
    <n v="0"/>
    <n v="2"/>
    <n v="2"/>
    <n v="0"/>
    <n v="0"/>
    <n v="0"/>
    <n v="1"/>
    <n v="0"/>
    <n v="0"/>
    <n v="0"/>
    <n v="0"/>
    <n v="0"/>
    <n v="0"/>
    <n v="0"/>
    <x v="9"/>
    <n v="1"/>
    <n v="0"/>
    <n v="0"/>
  </r>
  <r>
    <s v="NC"/>
    <s v="Sunil R Nawale"/>
    <x v="238"/>
    <n v="0"/>
    <x v="243"/>
    <x v="245"/>
    <n v="57"/>
    <n v="1"/>
    <d v="2023-07-29T00:00:00"/>
    <d v="1899-12-30T02:00:00"/>
    <d v="2023-07-29T00:00:00"/>
    <d v="2023-08-08T00:00:00"/>
    <n v="7387679974"/>
    <m/>
    <n v="21"/>
    <n v="1"/>
    <n v="1"/>
    <n v="2"/>
    <n v="2"/>
    <n v="2"/>
    <n v="2"/>
    <n v="2"/>
    <n v="2"/>
    <n v="2"/>
    <n v="2"/>
    <m/>
    <n v="14.7"/>
    <n v="42.5"/>
    <n v="82.3"/>
    <n v="25.67"/>
    <n v="139"/>
    <n v="149"/>
    <n v="96"/>
    <n v="37"/>
    <n v="76"/>
    <n v="15.2"/>
    <n v="2000"/>
    <m/>
    <m/>
    <m/>
    <s v="Right MCA infract with M1 occlusion. NHI in right ft lope , rt GC region and rt periventricular region "/>
    <m/>
    <s v="Right M1 occlusion "/>
    <m/>
    <m/>
    <m/>
    <m/>
    <m/>
    <m/>
    <m/>
    <n v="1"/>
    <n v="2"/>
    <n v="2"/>
    <m/>
    <n v="4"/>
    <m/>
    <m/>
    <n v="4"/>
    <n v="40"/>
    <n v="0"/>
    <n v="0"/>
    <n v="0"/>
    <n v="0"/>
    <n v="0"/>
    <n v="0"/>
    <n v="0"/>
    <n v="0"/>
    <n v="0"/>
    <n v="0"/>
    <n v="0"/>
    <n v="0"/>
    <n v="0"/>
    <n v="0"/>
    <x v="4"/>
    <n v="0"/>
    <n v="0"/>
    <n v="0"/>
  </r>
  <r>
    <s v="ND"/>
    <s v="Sunil Dhone"/>
    <x v="239"/>
    <n v="0"/>
    <x v="244"/>
    <x v="246"/>
    <n v="50"/>
    <n v="1"/>
    <d v="2024-07-08T00:00:00"/>
    <d v="1899-12-30T04:00:00"/>
    <d v="2024-07-08T00:00:00"/>
    <d v="2024-07-14T00:00:00"/>
    <n v="9922075213"/>
    <m/>
    <n v="17"/>
    <n v="2"/>
    <n v="2"/>
    <n v="1"/>
    <n v="2"/>
    <n v="2"/>
    <n v="2"/>
    <n v="2"/>
    <n v="2"/>
    <n v="2"/>
    <n v="2"/>
    <m/>
    <n v="12.1"/>
    <n v="35.200000000000003"/>
    <n v="95.6"/>
    <n v="16.89"/>
    <m/>
    <n v="193"/>
    <n v="132.19999999999999"/>
    <n v="40"/>
    <n v="104"/>
    <n v="20.8"/>
    <m/>
    <m/>
    <m/>
    <m/>
    <s v="Left distal MCA infract"/>
    <m/>
    <s v="Left M2 distal thrombosis"/>
    <m/>
    <n v="8"/>
    <n v="3"/>
    <n v="1"/>
    <n v="2"/>
    <n v="5"/>
    <m/>
    <n v="1"/>
    <n v="2"/>
    <n v="2"/>
    <m/>
    <m/>
    <n v="2"/>
    <n v="2"/>
    <n v="6"/>
    <m/>
    <n v="0"/>
    <n v="0"/>
    <n v="0"/>
    <n v="0"/>
    <n v="0"/>
    <n v="0"/>
    <n v="0"/>
    <n v="1"/>
    <n v="2"/>
    <n v="2"/>
    <n v="1"/>
    <n v="1"/>
    <n v="1"/>
    <n v="1"/>
    <x v="2"/>
    <n v="1"/>
    <n v="1"/>
    <n v="0"/>
  </r>
  <r>
    <s v="JC"/>
    <s v="Suraj Jadhav"/>
    <x v="240"/>
    <n v="0"/>
    <x v="245"/>
    <x v="247"/>
    <n v="28"/>
    <n v="1"/>
    <s v="31-08-2024"/>
    <d v="1899-12-30T09:30:00"/>
    <d v="2024-01-09T00:00:00"/>
    <d v="2024-05-09T00:00:00"/>
    <n v="7768986124"/>
    <m/>
    <n v="14"/>
    <n v="2"/>
    <n v="2"/>
    <n v="2"/>
    <n v="2"/>
    <n v="1"/>
    <n v="2"/>
    <n v="2"/>
    <n v="2"/>
    <n v="2"/>
    <n v="2"/>
    <m/>
    <n v="14.9"/>
    <n v="43.6"/>
    <n v="10.77"/>
    <n v="20"/>
    <m/>
    <n v="149"/>
    <n v="109"/>
    <n v="22"/>
    <n v="90"/>
    <n v="18"/>
    <n v="725"/>
    <m/>
    <m/>
    <m/>
    <s v="Left MCA M1 division infract"/>
    <m/>
    <s v="Left ICA plaque at origin, left M1 inferior division thrombus"/>
    <m/>
    <n v="8"/>
    <n v="2"/>
    <n v="1"/>
    <n v="3"/>
    <n v="4"/>
    <m/>
    <n v="1"/>
    <n v="1"/>
    <n v="2"/>
    <m/>
    <m/>
    <n v="2"/>
    <n v="2"/>
    <m/>
    <m/>
    <n v="0"/>
    <n v="0"/>
    <n v="0"/>
    <n v="0"/>
    <n v="0"/>
    <n v="0"/>
    <n v="0"/>
    <n v="1"/>
    <n v="2"/>
    <n v="2"/>
    <n v="2"/>
    <n v="1"/>
    <n v="1"/>
    <n v="1"/>
    <x v="3"/>
    <n v="0"/>
    <n v="1"/>
    <n v="0"/>
  </r>
  <r>
    <s v="FD"/>
    <s v="Sunil Kalbhor"/>
    <x v="241"/>
    <n v="0"/>
    <x v="246"/>
    <x v="248"/>
    <n v="50"/>
    <n v="1"/>
    <d v="2022-12-07T00:00:00"/>
    <d v="1899-12-30T07:00:00"/>
    <d v="2022-12-08T00:00:00"/>
    <d v="2022-12-12T00:00:00"/>
    <n v="9834148137"/>
    <m/>
    <n v="11"/>
    <n v="1"/>
    <n v="2"/>
    <n v="2"/>
    <n v="1"/>
    <n v="2"/>
    <n v="2"/>
    <n v="2"/>
    <n v="2"/>
    <n v="2"/>
    <n v="2"/>
    <m/>
    <n v="14.7"/>
    <m/>
    <m/>
    <n v="15.16"/>
    <n v="5.2"/>
    <n v="165"/>
    <n v="99.6"/>
    <n v="43"/>
    <n v="111"/>
    <n v="22.2"/>
    <n v="2000"/>
    <m/>
    <m/>
    <m/>
    <s v="Rt MCA infract"/>
    <m/>
    <s v="M2 segment thrombosis"/>
    <m/>
    <n v="6"/>
    <n v="5"/>
    <n v="1"/>
    <n v="3"/>
    <n v="5"/>
    <m/>
    <n v="1"/>
    <n v="2"/>
    <n v="1"/>
    <n v="3"/>
    <n v="4"/>
    <n v="2"/>
    <n v="2"/>
    <n v="1"/>
    <n v="70"/>
    <n v="1"/>
    <n v="2"/>
    <n v="2"/>
    <n v="1"/>
    <n v="1"/>
    <n v="1"/>
    <n v="1"/>
    <n v="0"/>
    <n v="0"/>
    <n v="0"/>
    <n v="0"/>
    <n v="0"/>
    <n v="0"/>
    <n v="0"/>
    <x v="2"/>
    <n v="1"/>
    <n v="1"/>
    <n v="0"/>
  </r>
  <r>
    <s v="DC"/>
    <s v="Wilson terez"/>
    <x v="242"/>
    <n v="0"/>
    <x v="247"/>
    <x v="249"/>
    <n v="75"/>
    <n v="2"/>
    <d v="2024-11-25T00:00:00"/>
    <m/>
    <d v="2024-11-26T00:00:00"/>
    <d v="2024-12-09T00:00:00"/>
    <n v="7028498899"/>
    <m/>
    <n v="22"/>
    <n v="1"/>
    <n v="1"/>
    <n v="2"/>
    <n v="2"/>
    <n v="2"/>
    <n v="2"/>
    <n v="2"/>
    <n v="2"/>
    <n v="2"/>
    <n v="2"/>
    <m/>
    <n v="10.7"/>
    <n v="32.700000000000003"/>
    <n v="82.6"/>
    <n v="13.7"/>
    <m/>
    <m/>
    <m/>
    <m/>
    <m/>
    <m/>
    <n v="1136"/>
    <m/>
    <m/>
    <m/>
    <s v="Lect MCA territory infarct"/>
    <m/>
    <s v="Left MCA distal to M1 occlusion with reformation of cortical branches likely due to collateral circulation"/>
    <m/>
    <n v="3"/>
    <n v="2"/>
    <n v="2"/>
    <n v="1"/>
    <n v="4"/>
    <m/>
    <n v="1"/>
    <n v="1"/>
    <n v="2"/>
    <m/>
    <n v="4"/>
    <n v="2"/>
    <n v="2"/>
    <n v="6"/>
    <m/>
    <n v="1"/>
    <n v="2"/>
    <n v="1"/>
    <n v="2"/>
    <n v="1"/>
    <n v="1"/>
    <n v="1"/>
    <n v="0"/>
    <n v="0"/>
    <n v="0"/>
    <n v="0"/>
    <n v="0"/>
    <n v="0"/>
    <n v="0"/>
    <x v="2"/>
    <n v="1"/>
    <n v="1"/>
    <n v="1"/>
  </r>
  <r>
    <s v="FX"/>
    <s v="Narul Sharma"/>
    <x v="243"/>
    <n v="0"/>
    <x v="248"/>
    <x v="250"/>
    <n v="26"/>
    <n v="1"/>
    <m/>
    <m/>
    <d v="2022-11-25T00:00:00"/>
    <d v="2022-12-10T00:00:00"/>
    <n v="7507493561"/>
    <m/>
    <n v="20"/>
    <n v="2"/>
    <n v="2"/>
    <n v="1"/>
    <n v="1"/>
    <n v="1"/>
    <n v="2"/>
    <n v="2"/>
    <n v="2"/>
    <n v="2"/>
    <n v="2"/>
    <m/>
    <n v="15.7"/>
    <n v="45.2"/>
    <n v="11.76"/>
    <n v="17.3"/>
    <n v="4.5"/>
    <n v="120"/>
    <n v="66.2"/>
    <n v="36"/>
    <n v="89"/>
    <n v="17.8"/>
    <n v="148"/>
    <m/>
    <m/>
    <m/>
    <s v="Rt MCA infract"/>
    <m/>
    <m/>
    <m/>
    <n v="8"/>
    <n v="2"/>
    <n v="1"/>
    <n v="3"/>
    <n v="4"/>
    <m/>
    <n v="1"/>
    <n v="2"/>
    <n v="1"/>
    <n v="1"/>
    <n v="1"/>
    <n v="2"/>
    <n v="2"/>
    <n v="1"/>
    <n v="90"/>
    <n v="0"/>
    <n v="0"/>
    <n v="0"/>
    <n v="0"/>
    <n v="0"/>
    <n v="0"/>
    <n v="0"/>
    <n v="1"/>
    <n v="2"/>
    <n v="2"/>
    <n v="2"/>
    <n v="1"/>
    <n v="1"/>
    <n v="1"/>
    <x v="3"/>
    <n v="1"/>
    <n v="0"/>
    <s v="Rt CCA thrombus"/>
  </r>
  <r>
    <s v="NE"/>
    <s v="Satish Deshmukh"/>
    <x v="244"/>
    <n v="0"/>
    <x v="249"/>
    <x v="251"/>
    <n v="65"/>
    <n v="1"/>
    <d v="2023-04-29T00:00:00"/>
    <m/>
    <d v="2023-04-30T00:00:00"/>
    <d v="2023-05-13T00:00:00"/>
    <n v="9028568923"/>
    <m/>
    <m/>
    <n v="2"/>
    <n v="1"/>
    <n v="2"/>
    <n v="2"/>
    <n v="2"/>
    <n v="2"/>
    <n v="2"/>
    <n v="2"/>
    <n v="2"/>
    <n v="2"/>
    <m/>
    <n v="9.9"/>
    <n v="29.1"/>
    <n v="90.2"/>
    <m/>
    <m/>
    <m/>
    <m/>
    <m/>
    <m/>
    <m/>
    <m/>
    <m/>
    <m/>
    <m/>
    <s v="Mild hemorrahagic changes in infracts in B/L frontal, Lt parieto-temporal and Left lentiform nucleus. Acute NHI in posterior limbs of Lt internal capsule, left mild brain Lt temporal lobe and occipital lobe"/>
    <m/>
    <m/>
    <m/>
    <n v="4"/>
    <m/>
    <m/>
    <m/>
    <m/>
    <m/>
    <n v="1"/>
    <n v="1"/>
    <n v="1"/>
    <n v="2"/>
    <n v="4"/>
    <n v="2"/>
    <n v="2"/>
    <n v="6"/>
    <n v="0"/>
    <n v="0"/>
    <n v="0"/>
    <n v="0"/>
    <n v="0"/>
    <n v="0"/>
    <n v="0"/>
    <n v="0"/>
    <n v="0"/>
    <n v="0"/>
    <n v="0"/>
    <n v="0"/>
    <n v="0"/>
    <n v="0"/>
    <n v="0"/>
    <x v="4"/>
    <n v="0"/>
    <n v="0"/>
    <n v="0"/>
  </r>
  <r>
    <s v="IE"/>
    <s v="Satish Bhalerao"/>
    <x v="245"/>
    <n v="0"/>
    <x v="250"/>
    <x v="252"/>
    <n v="41"/>
    <n v="1"/>
    <d v="2024-05-12T00:00:00"/>
    <d v="1899-12-30T11:15:00"/>
    <d v="2024-05-12T00:00:00"/>
    <d v="2024-05-25T00:00:00"/>
    <n v="8600702229"/>
    <m/>
    <n v="9"/>
    <n v="1"/>
    <n v="1"/>
    <n v="2"/>
    <n v="1"/>
    <n v="2"/>
    <n v="2"/>
    <n v="2"/>
    <n v="2"/>
    <n v="2"/>
    <n v="2"/>
    <m/>
    <n v="15.4"/>
    <n v="43.8"/>
    <n v="90.6"/>
    <n v="32.46"/>
    <n v="6.1"/>
    <n v="229"/>
    <m/>
    <n v="34"/>
    <n v="553"/>
    <m/>
    <n v="213"/>
    <m/>
    <m/>
    <m/>
    <s v="Right MCA inferior division infract"/>
    <m/>
    <s v="Right MCA inferior division occlusion"/>
    <m/>
    <n v="8"/>
    <n v="2"/>
    <n v="1"/>
    <n v="2"/>
    <n v="5"/>
    <m/>
    <n v="1"/>
    <n v="1"/>
    <n v="1"/>
    <n v="1"/>
    <n v="4"/>
    <n v="2"/>
    <n v="1"/>
    <n v="0"/>
    <n v="100"/>
    <n v="1"/>
    <n v="2"/>
    <n v="2"/>
    <n v="2"/>
    <n v="1"/>
    <n v="1"/>
    <n v="1"/>
    <n v="0"/>
    <n v="0"/>
    <n v="0"/>
    <n v="0"/>
    <n v="0"/>
    <n v="0"/>
    <n v="0"/>
    <x v="3"/>
    <n v="1"/>
    <n v="1"/>
    <n v="0"/>
  </r>
  <r>
    <s v="AA"/>
    <s v="kamble mahadev"/>
    <x v="246"/>
    <n v="0"/>
    <x v="251"/>
    <x v="253"/>
    <n v="65"/>
    <n v="1"/>
    <d v="2024-11-25T00:00:00"/>
    <d v="1899-12-30T05:30:00"/>
    <d v="2024-11-25T00:00:00"/>
    <m/>
    <m/>
    <m/>
    <n v="14"/>
    <n v="1"/>
    <n v="2"/>
    <n v="1"/>
    <n v="1"/>
    <n v="2"/>
    <n v="2"/>
    <n v="2"/>
    <n v="2"/>
    <n v="2"/>
    <n v="2"/>
    <m/>
    <m/>
    <m/>
    <m/>
    <m/>
    <m/>
    <m/>
    <m/>
    <m/>
    <m/>
    <m/>
    <m/>
    <m/>
    <m/>
    <m/>
    <s v="Left MCA infarct"/>
    <m/>
    <s v="Left ICA occluded from origin and Left MCA occluded"/>
    <m/>
    <n v="9"/>
    <n v="1"/>
    <n v="2"/>
    <n v="2"/>
    <n v="4"/>
    <m/>
    <n v="1"/>
    <n v="2"/>
    <n v="2"/>
    <m/>
    <n v="4"/>
    <n v="2"/>
    <n v="2"/>
    <m/>
    <m/>
    <m/>
    <m/>
    <m/>
    <m/>
    <m/>
    <m/>
    <m/>
    <n v="0"/>
    <n v="0"/>
    <n v="0"/>
    <n v="0"/>
    <n v="1"/>
    <n v="1"/>
    <n v="1"/>
    <x v="13"/>
    <n v="0"/>
    <n v="1"/>
    <s v="Lt CCA plaque"/>
  </r>
  <r>
    <s v="BO"/>
    <s v="Abhishek Bhadale"/>
    <x v="247"/>
    <n v="1"/>
    <x v="252"/>
    <x v="254"/>
    <n v="25"/>
    <n v="1"/>
    <m/>
    <m/>
    <d v="2022-11-07T00:00:00"/>
    <d v="2022-11-08T00:00:00"/>
    <n v="9762043447"/>
    <m/>
    <n v="8"/>
    <n v="2"/>
    <n v="2"/>
    <n v="2"/>
    <n v="2"/>
    <n v="2"/>
    <n v="2"/>
    <n v="2"/>
    <n v="2"/>
    <n v="2"/>
    <n v="2"/>
    <m/>
    <n v="13.6"/>
    <n v="43.7"/>
    <n v="74.3"/>
    <n v="8.5299999999999994"/>
    <m/>
    <n v="166"/>
    <n v="101.4"/>
    <n v="29"/>
    <n v="178"/>
    <n v="35.6"/>
    <n v="406"/>
    <m/>
    <m/>
    <m/>
    <s v="Rt MCA infract"/>
    <m/>
    <s v="M1 segment, Proximal A1 Rt ACA, Terminal Rt ICA thrombus"/>
    <m/>
    <n v="9"/>
    <n v="3"/>
    <n v="1"/>
    <n v="3"/>
    <n v="5"/>
    <m/>
    <n v="1"/>
    <n v="2"/>
    <n v="1"/>
    <n v="1"/>
    <n v="4"/>
    <n v="2"/>
    <n v="2"/>
    <n v="0"/>
    <n v="100"/>
    <n v="1"/>
    <n v="2"/>
    <n v="0"/>
    <n v="1"/>
    <n v="1"/>
    <n v="1"/>
    <n v="1"/>
    <n v="0"/>
    <n v="0"/>
    <n v="0"/>
    <n v="0"/>
    <n v="0"/>
    <n v="0"/>
    <n v="0"/>
    <x v="0"/>
    <n v="1"/>
    <n v="1"/>
    <n v="0"/>
  </r>
  <r>
    <s v="NF"/>
    <s v="Ratnamala V Shinde"/>
    <x v="248"/>
    <n v="0"/>
    <x v="253"/>
    <x v="255"/>
    <n v="70"/>
    <n v="2"/>
    <d v="2023-10-28T00:00:00"/>
    <m/>
    <d v="2023-10-30T00:00:00"/>
    <d v="2023-11-06T00:00:00"/>
    <n v="8788445371"/>
    <m/>
    <m/>
    <n v="1"/>
    <n v="2"/>
    <n v="2"/>
    <n v="2"/>
    <n v="2"/>
    <n v="2"/>
    <n v="2"/>
    <n v="1"/>
    <n v="2"/>
    <n v="1"/>
    <s v="Pyelonephritis ,S,ADH, Iron deficiency"/>
    <n v="8.8000000000000007"/>
    <n v="26.9"/>
    <n v="86.7"/>
    <n v="9.48"/>
    <n v="6.2"/>
    <n v="143"/>
    <n v="90"/>
    <n v="23"/>
    <n v="150"/>
    <n v="30"/>
    <n v="2000"/>
    <m/>
    <s v="Ferritin- 862, S. Iron-20, UIBC- 146, TIBC- 166, transferrin saturation- 12"/>
    <m/>
    <s v="Right MCA massive infract"/>
    <m/>
    <s v="Right MCA hyperdense sign"/>
    <m/>
    <n v="3"/>
    <n v="2"/>
    <n v="1"/>
    <n v="1"/>
    <n v="1"/>
    <m/>
    <n v="1"/>
    <n v="2"/>
    <n v="2"/>
    <m/>
    <m/>
    <m/>
    <m/>
    <n v="6"/>
    <m/>
    <n v="0"/>
    <n v="0"/>
    <n v="0"/>
    <n v="0"/>
    <n v="0"/>
    <n v="0"/>
    <n v="0"/>
    <n v="0"/>
    <n v="0"/>
    <n v="0"/>
    <n v="0"/>
    <n v="0"/>
    <n v="0"/>
    <n v="0"/>
    <x v="4"/>
    <n v="0"/>
    <n v="0"/>
    <n v="0"/>
  </r>
  <r>
    <s v="DA"/>
    <s v="sangita musande"/>
    <x v="249"/>
    <n v="0"/>
    <x v="254"/>
    <x v="256"/>
    <n v="53"/>
    <n v="2"/>
    <d v="2024-11-19T00:00:00"/>
    <d v="1899-12-30T11:00:00"/>
    <d v="2024-11-19T00:00:00"/>
    <d v="2024-11-26T00:00:00"/>
    <n v="9325380795"/>
    <m/>
    <n v="7"/>
    <n v="1"/>
    <n v="1"/>
    <n v="2"/>
    <n v="2"/>
    <n v="2"/>
    <n v="2"/>
    <n v="2"/>
    <n v="2"/>
    <n v="2"/>
    <n v="1"/>
    <s v="Left PCA MCA watershed infarct 1.5 years ago"/>
    <n v="13.9"/>
    <n v="41.8"/>
    <n v="87.6"/>
    <n v="10"/>
    <n v="12.4"/>
    <n v="195"/>
    <n v="138"/>
    <n v="35"/>
    <n v="109"/>
    <n v="21.8"/>
    <n v="148"/>
    <m/>
    <m/>
    <m/>
    <s v="Right inferior division of MCA infarct"/>
    <m/>
    <s v="Rt M3 division of MCA occluded, Left M1 stenosis and left cavernous segment of ICA stenosis"/>
    <m/>
    <n v="8"/>
    <n v="3"/>
    <n v="1"/>
    <n v="3"/>
    <n v="4"/>
    <m/>
    <n v="1"/>
    <n v="2"/>
    <n v="2"/>
    <m/>
    <n v="4"/>
    <n v="2"/>
    <n v="2"/>
    <n v="1"/>
    <n v="100"/>
    <n v="1"/>
    <n v="2"/>
    <n v="2"/>
    <n v="2"/>
    <n v="1"/>
    <n v="0"/>
    <n v="1"/>
    <n v="0"/>
    <n v="0"/>
    <n v="0"/>
    <n v="0"/>
    <n v="0"/>
    <n v="0"/>
    <n v="0"/>
    <x v="2"/>
    <n v="1"/>
    <n v="1"/>
    <n v="1"/>
  </r>
  <r>
    <s v="JD"/>
    <s v="Sandeep Sharma"/>
    <x v="250"/>
    <n v="0"/>
    <x v="255"/>
    <x v="257"/>
    <n v="42"/>
    <n v="1"/>
    <d v="2024-03-01T00:00:00"/>
    <d v="1899-12-30T16:30:00"/>
    <d v="2024-03-01T00:00:00"/>
    <d v="2024-03-11T00:00:00"/>
    <m/>
    <m/>
    <n v="17"/>
    <n v="2"/>
    <n v="2"/>
    <n v="2"/>
    <n v="2"/>
    <n v="2"/>
    <n v="2"/>
    <n v="2"/>
    <n v="2"/>
    <n v="2"/>
    <n v="2"/>
    <m/>
    <n v="16.2"/>
    <n v="49.3"/>
    <n v="89.9"/>
    <n v="24.54"/>
    <n v="5.4"/>
    <n v="173"/>
    <n v="101.8"/>
    <n v="43"/>
    <n v="141"/>
    <n v="28.2"/>
    <n v="221"/>
    <m/>
    <s v="ANA Neg  ESR 11 CRP 4.1"/>
    <m/>
    <s v="Left ACA infract"/>
    <m/>
    <s v="Abrupt cut off A2 segment of Left ACA likely suggestive of complete occlusion "/>
    <m/>
    <n v="10"/>
    <n v="3"/>
    <n v="1"/>
    <n v="2"/>
    <n v="5"/>
    <m/>
    <n v="1"/>
    <n v="2"/>
    <n v="1"/>
    <n v="1"/>
    <m/>
    <n v="2"/>
    <n v="2"/>
    <n v="0"/>
    <n v="100"/>
    <n v="0"/>
    <n v="0"/>
    <n v="0"/>
    <n v="0"/>
    <n v="0"/>
    <n v="0"/>
    <n v="0"/>
    <n v="1"/>
    <n v="2"/>
    <n v="2"/>
    <n v="2"/>
    <n v="1"/>
    <n v="1"/>
    <n v="1"/>
    <x v="3"/>
    <n v="1"/>
    <n v="1"/>
    <n v="0"/>
  </r>
  <r>
    <s v="CK"/>
    <s v="Chandrakant Khopade"/>
    <x v="251"/>
    <n v="0"/>
    <x v="256"/>
    <x v="258"/>
    <n v="60"/>
    <n v="1"/>
    <d v="2023-01-15T00:00:00"/>
    <d v="1899-12-30T07:30:00"/>
    <d v="2023-01-15T00:00:00"/>
    <d v="2023-02-03T00:00:00"/>
    <n v="9067030236"/>
    <m/>
    <n v="18"/>
    <n v="2"/>
    <n v="2"/>
    <n v="2"/>
    <n v="2"/>
    <n v="2"/>
    <n v="2"/>
    <n v="1"/>
    <n v="2"/>
    <n v="2"/>
    <n v="2"/>
    <m/>
    <n v="14"/>
    <n v="32"/>
    <n v="95"/>
    <n v="22"/>
    <n v="5.5"/>
    <m/>
    <m/>
    <m/>
    <m/>
    <m/>
    <n v="171"/>
    <m/>
    <m/>
    <m/>
    <s v="Right MCA infract"/>
    <m/>
    <s v="Non opacification of left ICA from its origin s/o occlusional thrombosis. non-opacification of M1, M2 and proximal M2 segments of right MCA "/>
    <m/>
    <n v="3"/>
    <n v="2"/>
    <n v="2"/>
    <n v="1"/>
    <n v="3"/>
    <m/>
    <n v="1"/>
    <n v="2"/>
    <n v="1"/>
    <n v="1"/>
    <n v="3"/>
    <m/>
    <m/>
    <n v="4"/>
    <n v="30"/>
    <n v="1"/>
    <n v="2"/>
    <n v="2"/>
    <n v="0"/>
    <n v="1"/>
    <n v="1"/>
    <n v="1"/>
    <n v="0"/>
    <n v="0"/>
    <n v="0"/>
    <n v="0"/>
    <n v="0"/>
    <n v="0"/>
    <n v="0"/>
    <x v="1"/>
    <n v="1"/>
    <n v="1"/>
    <n v="0"/>
  </r>
  <r>
    <s v="NG"/>
    <s v="Madhukar Khangute"/>
    <x v="252"/>
    <n v="0"/>
    <x v="257"/>
    <x v="259"/>
    <n v="82"/>
    <n v="1"/>
    <d v="2024-06-09T00:00:00"/>
    <d v="1899-12-30T10:00:00"/>
    <d v="2024-06-09T00:00:00"/>
    <m/>
    <n v="7058587361"/>
    <m/>
    <n v="22"/>
    <n v="1"/>
    <n v="1"/>
    <n v="2"/>
    <n v="2"/>
    <n v="2"/>
    <n v="2"/>
    <n v="2"/>
    <n v="1"/>
    <n v="2"/>
    <n v="2"/>
    <s v="Hypothyrodism"/>
    <n v="15.6"/>
    <n v="45.9"/>
    <n v="89.4"/>
    <n v="9.93"/>
    <n v="8.1999999999999993"/>
    <m/>
    <m/>
    <m/>
    <m/>
    <m/>
    <n v="1335"/>
    <m/>
    <m/>
    <m/>
    <s v="Hyperacute to acute NHI in the Lt MCA and PCA teritory"/>
    <m/>
    <s v="Complete non-opacification of Lt ICA origin atherosclerotic plaque at origin of Lt ICA and carvenous segment of B/L ICAs M1 segment Lt MCA and ACA show opacification"/>
    <m/>
    <n v="9"/>
    <n v="1"/>
    <n v="2"/>
    <n v="1"/>
    <n v="1"/>
    <m/>
    <n v="1"/>
    <n v="2"/>
    <n v="1"/>
    <n v="2"/>
    <m/>
    <n v="2"/>
    <n v="2"/>
    <n v="6"/>
    <n v="0"/>
    <n v="0"/>
    <n v="0"/>
    <n v="0"/>
    <n v="0"/>
    <n v="0"/>
    <n v="0"/>
    <n v="0"/>
    <n v="1"/>
    <n v="2"/>
    <n v="0"/>
    <n v="0"/>
    <n v="0"/>
    <n v="0"/>
    <n v="0"/>
    <x v="13"/>
    <n v="1"/>
    <n v="1"/>
    <n v="0"/>
  </r>
  <r>
    <s v="FY"/>
    <s v="Kiran shinde "/>
    <x v="253"/>
    <n v="0"/>
    <x v="258"/>
    <x v="260"/>
    <n v="45"/>
    <n v="1"/>
    <d v="2024-07-28T00:00:00"/>
    <d v="1899-12-30T14:00:00"/>
    <d v="2024-07-28T00:00:00"/>
    <d v="2024-08-14T00:00:00"/>
    <n v="8518971856"/>
    <m/>
    <n v="12"/>
    <n v="2"/>
    <n v="2"/>
    <n v="1"/>
    <n v="1"/>
    <n v="2"/>
    <n v="2"/>
    <n v="2"/>
    <n v="2"/>
    <n v="2"/>
    <n v="2"/>
    <s v="Hyperhomocystiemia"/>
    <n v="16"/>
    <n v="48.3"/>
    <n v="99.6"/>
    <n v="16.739999999999998"/>
    <n v="4.5"/>
    <n v="125"/>
    <n v="66.8"/>
    <n v="48"/>
    <n v="51"/>
    <n v="10.199999999999999"/>
    <n v="151"/>
    <m/>
    <m/>
    <m/>
    <s v="Rt ACA and Rt MCA superior division infract with hemorrhagic conversion "/>
    <m/>
    <s v="Right ICA occlusion and Rt MCA M1 occlusion"/>
    <m/>
    <n v="8"/>
    <n v="2"/>
    <n v="2"/>
    <n v="2"/>
    <n v="2"/>
    <m/>
    <n v="1"/>
    <n v="1"/>
    <n v="1"/>
    <n v="1"/>
    <m/>
    <n v="1"/>
    <n v="1"/>
    <n v="4"/>
    <n v="45"/>
    <n v="0"/>
    <n v="0"/>
    <n v="0"/>
    <n v="0"/>
    <n v="1"/>
    <n v="1"/>
    <n v="1"/>
    <n v="0"/>
    <n v="0"/>
    <n v="0"/>
    <n v="0"/>
    <n v="0"/>
    <n v="0"/>
    <n v="0"/>
    <x v="13"/>
    <n v="1"/>
    <n v="0"/>
    <n v="0"/>
  </r>
  <r>
    <s v="CB"/>
    <s v="Shantai Jamdar"/>
    <x v="254"/>
    <n v="1"/>
    <x v="259"/>
    <x v="261"/>
    <n v="65"/>
    <n v="2"/>
    <d v="2024-03-14T00:00:00"/>
    <d v="1899-12-30T22:00:00"/>
    <d v="2024-03-16T00:00:00"/>
    <d v="2024-03-19T00:00:00"/>
    <n v="8668549830"/>
    <m/>
    <n v="23"/>
    <n v="1"/>
    <n v="2"/>
    <n v="2"/>
    <n v="1"/>
    <n v="2"/>
    <n v="2"/>
    <n v="2"/>
    <n v="2"/>
    <n v="2"/>
    <n v="2"/>
    <m/>
    <n v="13.2"/>
    <n v="38.700000000000003"/>
    <n v="87.8"/>
    <n v="26.6"/>
    <n v="5.3"/>
    <n v="128"/>
    <n v="60.4"/>
    <n v="44"/>
    <n v="118"/>
    <n v="23.6"/>
    <m/>
    <m/>
    <m/>
    <m/>
    <s v="Teritory patchy infracts left MCA; Lt MCA ACA watershed ; left MCA PCA watershed infract"/>
    <m/>
    <s v="Left ICA thrombus from origin 100% left MCA normal "/>
    <m/>
    <n v="8"/>
    <n v="2"/>
    <n v="1"/>
    <n v="3"/>
    <n v="5"/>
    <m/>
    <n v="1"/>
    <n v="2"/>
    <n v="2"/>
    <m/>
    <m/>
    <n v="2"/>
    <n v="2"/>
    <m/>
    <m/>
    <n v="0"/>
    <n v="0"/>
    <n v="0"/>
    <n v="0"/>
    <n v="0"/>
    <n v="0"/>
    <n v="0"/>
    <n v="0"/>
    <n v="1"/>
    <n v="2"/>
    <n v="1"/>
    <n v="2"/>
    <n v="1"/>
    <n v="1"/>
    <x v="1"/>
    <n v="0"/>
    <n v="1"/>
    <n v="0"/>
  </r>
  <r>
    <s v="HY"/>
    <s v="Seema Dalvi "/>
    <x v="255"/>
    <n v="1"/>
    <x v="260"/>
    <x v="262"/>
    <n v="45"/>
    <n v="2"/>
    <d v="2023-10-30T00:00:00"/>
    <d v="1899-12-30T08:00:00"/>
    <d v="2023-10-30T00:00:00"/>
    <d v="2023-11-23T00:00:00"/>
    <n v="9960643811"/>
    <n v="8888434416"/>
    <n v="17"/>
    <n v="2"/>
    <n v="1"/>
    <n v="2"/>
    <n v="2"/>
    <n v="2"/>
    <n v="2"/>
    <n v="2"/>
    <n v="2"/>
    <n v="2"/>
    <n v="2"/>
    <s v="Iron deficiency Anemia"/>
    <n v="7.7"/>
    <n v="8.66"/>
    <n v="53.4"/>
    <n v="8.66"/>
    <n v="9.9"/>
    <n v="197"/>
    <n v="139.80000000000001"/>
    <n v="33"/>
    <n v="121"/>
    <n v="24.2"/>
    <n v="2000"/>
    <m/>
    <s v="S.Ferritin- 5.4, S. Iron- 17, UIBC-443, TIBC- 460, transferrin saturation- 3.69"/>
    <m/>
    <s v="Left MCA- PCA watershed infract"/>
    <m/>
    <s v="Left ICA plaque with thrombosis &gt;90% occlusion "/>
    <m/>
    <n v="7"/>
    <n v="3"/>
    <n v="1"/>
    <n v="3"/>
    <n v="4"/>
    <m/>
    <n v="1"/>
    <n v="2"/>
    <n v="2"/>
    <m/>
    <m/>
    <n v="2"/>
    <n v="1"/>
    <n v="4"/>
    <n v="15"/>
    <n v="0"/>
    <n v="0"/>
    <n v="0"/>
    <n v="0"/>
    <n v="0"/>
    <n v="0"/>
    <n v="0"/>
    <n v="1"/>
    <n v="2"/>
    <n v="2"/>
    <n v="2"/>
    <n v="1"/>
    <n v="1"/>
    <n v="1"/>
    <x v="3"/>
    <n v="0"/>
    <n v="1"/>
    <n v="0"/>
  </r>
  <r>
    <s v="BP"/>
    <s v="Dagadubai Walung"/>
    <x v="256"/>
    <n v="0"/>
    <x v="261"/>
    <x v="263"/>
    <n v="77"/>
    <n v="2"/>
    <d v="2024-06-03T00:00:00"/>
    <d v="1899-12-30T15:00:00"/>
    <d v="2024-06-04T00:00:00"/>
    <d v="2024-06-25T00:00:00"/>
    <n v="9422987475"/>
    <m/>
    <n v="19"/>
    <n v="1"/>
    <n v="2"/>
    <n v="1"/>
    <n v="2"/>
    <n v="2"/>
    <n v="2"/>
    <n v="2"/>
    <n v="2"/>
    <n v="2"/>
    <n v="2"/>
    <m/>
    <n v="11.9"/>
    <n v="36"/>
    <n v="97.4"/>
    <m/>
    <m/>
    <m/>
    <m/>
    <m/>
    <m/>
    <m/>
    <m/>
    <m/>
    <m/>
    <m/>
    <s v="Left MCA infract massive "/>
    <m/>
    <s v="Left M1 occlusion B/L ICA non-occlusive plaques Rt vetebral artery hypoplastic"/>
    <m/>
    <n v="3"/>
    <n v="3"/>
    <n v="1"/>
    <n v="5"/>
    <n v="5"/>
    <m/>
    <n v="1"/>
    <m/>
    <n v="2"/>
    <m/>
    <n v="1"/>
    <n v="2"/>
    <n v="2"/>
    <n v="2"/>
    <n v="60"/>
    <n v="0"/>
    <n v="0"/>
    <n v="0"/>
    <n v="0"/>
    <n v="0"/>
    <n v="0"/>
    <n v="0"/>
    <n v="0"/>
    <n v="2"/>
    <n v="1"/>
    <n v="2"/>
    <n v="1"/>
    <n v="1"/>
    <n v="1"/>
    <x v="1"/>
    <n v="0"/>
    <n v="1"/>
    <s v="Lt CCA plaque"/>
  </r>
  <r>
    <s v="NI"/>
    <s v="Ajay Shiode"/>
    <x v="257"/>
    <n v="0"/>
    <x v="262"/>
    <x v="264"/>
    <n v="49"/>
    <n v="1"/>
    <m/>
    <m/>
    <d v="2023-04-20T00:00:00"/>
    <m/>
    <n v="9822295937"/>
    <n v="9270122135"/>
    <n v="12"/>
    <n v="2"/>
    <n v="2"/>
    <n v="1"/>
    <n v="2"/>
    <n v="2"/>
    <n v="2"/>
    <n v="2"/>
    <n v="2"/>
    <n v="2"/>
    <n v="2"/>
    <m/>
    <n v="14.4"/>
    <n v="42.9"/>
    <m/>
    <n v="33.700000000000003"/>
    <n v="6.8"/>
    <m/>
    <m/>
    <m/>
    <m/>
    <m/>
    <m/>
    <m/>
    <m/>
    <m/>
    <s v="Rt MCA M2 infract"/>
    <m/>
    <m/>
    <m/>
    <n v="2"/>
    <m/>
    <m/>
    <m/>
    <m/>
    <m/>
    <n v="1"/>
    <n v="2"/>
    <n v="2"/>
    <m/>
    <m/>
    <n v="2"/>
    <n v="1"/>
    <n v="2"/>
    <n v="75"/>
    <n v="0"/>
    <n v="0"/>
    <n v="0"/>
    <n v="0"/>
    <n v="0"/>
    <n v="0"/>
    <n v="0"/>
    <n v="0"/>
    <n v="0"/>
    <n v="0"/>
    <n v="0"/>
    <n v="0"/>
    <n v="0"/>
    <n v="0"/>
    <x v="4"/>
    <n v="0"/>
    <n v="0"/>
    <n v="0"/>
  </r>
  <r>
    <s v="BH"/>
    <s v="Bhalchandra govande"/>
    <x v="258"/>
    <n v="0"/>
    <x v="263"/>
    <x v="265"/>
    <n v="83"/>
    <n v="1"/>
    <d v="2024-09-14T00:00:00"/>
    <d v="1899-12-30T18:20:00"/>
    <d v="2024-09-14T00:00:00"/>
    <d v="2024-09-17T00:00:00"/>
    <n v="9766054422"/>
    <m/>
    <m/>
    <n v="1"/>
    <n v="1"/>
    <n v="2"/>
    <n v="2"/>
    <n v="2"/>
    <n v="2"/>
    <n v="1"/>
    <n v="2"/>
    <n v="2"/>
    <n v="1"/>
    <s v="Parkinsons disease, CVA 2023"/>
    <n v="11.8"/>
    <n v="42"/>
    <m/>
    <m/>
    <n v="9.1"/>
    <n v="120"/>
    <n v="62"/>
    <n v="25"/>
    <n v="165"/>
    <n v="33"/>
    <m/>
    <m/>
    <m/>
    <m/>
    <s v="Rt malignat MCA teritory infract"/>
    <m/>
    <s v="Rt M1 Occlusion"/>
    <m/>
    <n v="7"/>
    <n v="1"/>
    <n v="2"/>
    <n v="1"/>
    <n v="1"/>
    <m/>
    <n v="1"/>
    <n v="2"/>
    <n v="2"/>
    <m/>
    <n v="4"/>
    <n v="2"/>
    <n v="2"/>
    <n v="6"/>
    <n v="0"/>
    <n v="0"/>
    <n v="2"/>
    <n v="2"/>
    <n v="0"/>
    <n v="1"/>
    <n v="1"/>
    <n v="1"/>
    <n v="0"/>
    <n v="0"/>
    <n v="0"/>
    <n v="0"/>
    <n v="0"/>
    <n v="0"/>
    <n v="0"/>
    <x v="0"/>
    <n v="1"/>
    <n v="1"/>
    <s v="Rt CCA Plaque"/>
  </r>
  <r>
    <s v="FE"/>
    <s v="Shivkumar Berole "/>
    <x v="259"/>
    <n v="1"/>
    <x v="264"/>
    <x v="266"/>
    <n v="38"/>
    <n v="1"/>
    <d v="2024-03-24T00:00:00"/>
    <d v="1899-12-30T06:30:00"/>
    <d v="2024-03-24T00:00:00"/>
    <d v="2024-04-02T00:00:00"/>
    <n v="9850178326"/>
    <n v="9763879893"/>
    <n v="16"/>
    <n v="2"/>
    <n v="1"/>
    <n v="2"/>
    <n v="2"/>
    <n v="2"/>
    <n v="2"/>
    <n v="2"/>
    <n v="1"/>
    <n v="2"/>
    <n v="2"/>
    <m/>
    <n v="12.7"/>
    <n v="40.4"/>
    <n v="72.900000000000006"/>
    <n v="10.33"/>
    <n v="12.7"/>
    <n v="159"/>
    <n v="106.4"/>
    <n v="34"/>
    <n v="93"/>
    <n v="18.600000000000001"/>
    <n v="248"/>
    <m/>
    <s v="ANA neg CRP 1.5 ESR 12"/>
    <m/>
    <s v="A/C Rt MCA infract"/>
    <m/>
    <s v="Complete occlision of distal M1 segment of Rt MCA and inferior division of M2 segment of Rt MCA"/>
    <m/>
    <n v="5"/>
    <n v="4"/>
    <n v="1"/>
    <n v="3"/>
    <n v="5"/>
    <m/>
    <n v="1"/>
    <n v="2"/>
    <n v="2"/>
    <m/>
    <m/>
    <n v="2"/>
    <n v="1"/>
    <n v="1"/>
    <n v="80"/>
    <n v="1"/>
    <n v="2"/>
    <n v="2"/>
    <n v="1"/>
    <n v="1"/>
    <n v="1"/>
    <n v="1"/>
    <n v="0"/>
    <n v="0"/>
    <n v="0"/>
    <n v="0"/>
    <n v="0"/>
    <n v="0"/>
    <n v="0"/>
    <x v="2"/>
    <n v="1"/>
    <n v="1"/>
    <n v="0"/>
  </r>
  <r>
    <m/>
    <s v="Kamal Kulkarni"/>
    <x v="11"/>
    <e v="#N/A"/>
    <x v="265"/>
    <x v="267"/>
    <n v="69"/>
    <n v="2"/>
    <d v="2023-11-04T00:00:00"/>
    <d v="1899-12-30T09:00:00"/>
    <d v="2023-11-06T00:00:00"/>
    <d v="2023-11-09T00:00:00"/>
    <n v="9421240186"/>
    <n v="9421250424"/>
    <m/>
    <n v="1"/>
    <n v="2"/>
    <n v="2"/>
    <n v="2"/>
    <n v="2"/>
    <n v="2"/>
    <n v="2"/>
    <n v="2"/>
    <n v="2"/>
    <n v="2"/>
    <m/>
    <n v="13"/>
    <n v="39.5"/>
    <n v="83.3"/>
    <n v="18.13"/>
    <n v="10.6"/>
    <n v="158"/>
    <n v="108.2"/>
    <n v="40"/>
    <n v="49"/>
    <n v="9.8000000000000007"/>
    <n v="2000"/>
    <m/>
    <m/>
    <m/>
    <m/>
    <m/>
    <s v="S/o Lt M1 occlusion of Lt MCA with good referuation of distal of M1 segment and paucity of its cortical braches. Calcified atherosclerotic plaques at Lt carotid bulb causing mild luminal narrowing , Poor opcification of Lt ICP"/>
    <m/>
    <m/>
    <m/>
    <m/>
    <m/>
    <m/>
    <m/>
    <n v="1"/>
    <n v="1"/>
    <n v="2"/>
    <m/>
    <n v="1"/>
    <n v="2"/>
    <n v="2"/>
    <n v="6"/>
    <n v="0"/>
    <m/>
    <m/>
    <m/>
    <m/>
    <m/>
    <m/>
    <m/>
    <n v="0"/>
    <n v="2"/>
    <n v="0"/>
    <n v="1"/>
    <n v="1"/>
    <n v="1"/>
    <n v="1"/>
    <x v="8"/>
    <n v="0"/>
    <n v="1"/>
    <s v="Left CCA plaque"/>
  </r>
  <r>
    <s v="CY"/>
    <s v="Parvati Saste"/>
    <x v="260"/>
    <n v="0"/>
    <x v="266"/>
    <x v="268"/>
    <n v="57"/>
    <n v="2"/>
    <d v="2024-06-25T00:00:00"/>
    <d v="1899-12-30T11:30:00"/>
    <d v="2024-06-26T00:00:00"/>
    <d v="2024-06-29T00:00:00"/>
    <n v="9881968945"/>
    <m/>
    <n v="21"/>
    <n v="2"/>
    <n v="2"/>
    <n v="2"/>
    <n v="2"/>
    <n v="2"/>
    <n v="2"/>
    <n v="1"/>
    <n v="2"/>
    <n v="2"/>
    <n v="2"/>
    <m/>
    <n v="14.4"/>
    <n v="43"/>
    <n v="97.3"/>
    <m/>
    <m/>
    <m/>
    <m/>
    <m/>
    <m/>
    <m/>
    <m/>
    <m/>
    <m/>
    <m/>
    <s v="Left MCA infract with hemorhagic transformation and mild line shift "/>
    <m/>
    <s v="Left distal M1 block"/>
    <m/>
    <n v="3"/>
    <n v="2"/>
    <n v="1"/>
    <n v="3"/>
    <n v="4"/>
    <m/>
    <n v="1"/>
    <n v="2"/>
    <n v="2"/>
    <m/>
    <m/>
    <n v="2"/>
    <n v="2"/>
    <n v="6"/>
    <n v="0"/>
    <n v="0"/>
    <n v="0"/>
    <n v="0"/>
    <n v="0"/>
    <n v="0"/>
    <n v="0"/>
    <n v="0"/>
    <n v="1"/>
    <n v="2"/>
    <n v="2"/>
    <n v="1"/>
    <n v="1"/>
    <n v="1"/>
    <n v="1"/>
    <x v="2"/>
    <n v="0"/>
    <n v="1"/>
    <s v="Lt CCA plaque"/>
  </r>
  <r>
    <s v="NJ"/>
    <s v="Pravin Dhumal "/>
    <x v="261"/>
    <n v="0"/>
    <x v="267"/>
    <x v="269"/>
    <n v="48"/>
    <n v="1"/>
    <d v="2022-07-15T00:00:00"/>
    <d v="1899-12-30T13:15:00"/>
    <d v="2022-07-15T00:00:00"/>
    <d v="2022-07-29T00:00:00"/>
    <n v="9373056764"/>
    <m/>
    <n v="21"/>
    <n v="2"/>
    <n v="2"/>
    <n v="1"/>
    <n v="1"/>
    <n v="1"/>
    <n v="2"/>
    <n v="2"/>
    <n v="2"/>
    <n v="2"/>
    <n v="2"/>
    <m/>
    <n v="13.4"/>
    <m/>
    <m/>
    <n v="17.12"/>
    <n v="5.3"/>
    <n v="90"/>
    <n v="43"/>
    <n v="43"/>
    <n v="87"/>
    <m/>
    <n v="298"/>
    <m/>
    <m/>
    <m/>
    <s v="Left FPT infract "/>
    <m/>
    <s v="Left MCA Left ACA "/>
    <m/>
    <n v="2"/>
    <n v="2"/>
    <n v="2"/>
    <n v="1"/>
    <n v="2"/>
    <m/>
    <n v="1"/>
    <n v="2"/>
    <n v="2"/>
    <m/>
    <n v="4"/>
    <n v="2"/>
    <n v="1"/>
    <n v="2"/>
    <n v="80"/>
    <n v="0"/>
    <n v="0"/>
    <n v="0"/>
    <n v="0"/>
    <n v="0"/>
    <n v="0"/>
    <n v="0"/>
    <n v="0"/>
    <n v="0"/>
    <n v="0"/>
    <n v="0"/>
    <n v="0"/>
    <n v="0"/>
    <n v="0"/>
    <x v="11"/>
    <n v="0"/>
    <n v="0"/>
    <n v="0"/>
  </r>
  <r>
    <s v="OK"/>
    <s v="Vishwas Chakke "/>
    <x v="262"/>
    <n v="0"/>
    <x v="268"/>
    <x v="270"/>
    <n v="69"/>
    <n v="1"/>
    <d v="2024-11-05T00:00:00"/>
    <m/>
    <d v="2024-11-08T00:00:00"/>
    <d v="2024-11-23T00:00:00"/>
    <n v="7058090310"/>
    <m/>
    <m/>
    <n v="1"/>
    <n v="1"/>
    <n v="2"/>
    <n v="2"/>
    <n v="2"/>
    <n v="2"/>
    <n v="2"/>
    <n v="2"/>
    <n v="2"/>
    <n v="2"/>
    <s v="Cardiorepiratory failure "/>
    <m/>
    <m/>
    <m/>
    <m/>
    <m/>
    <m/>
    <m/>
    <m/>
    <m/>
    <m/>
    <m/>
    <m/>
    <m/>
    <m/>
    <s v="Rt MCA infract "/>
    <m/>
    <m/>
    <m/>
    <n v="1"/>
    <m/>
    <m/>
    <m/>
    <m/>
    <m/>
    <n v="1"/>
    <n v="2"/>
    <n v="2"/>
    <m/>
    <n v="4"/>
    <n v="2"/>
    <n v="1"/>
    <n v="6"/>
    <n v="0"/>
    <n v="0"/>
    <n v="0"/>
    <n v="0"/>
    <n v="0"/>
    <n v="0"/>
    <n v="0"/>
    <n v="0"/>
    <n v="0"/>
    <n v="0"/>
    <n v="0"/>
    <n v="0"/>
    <n v="0"/>
    <n v="0"/>
    <n v="0"/>
    <x v="4"/>
    <n v="0"/>
    <n v="0"/>
    <n v="0"/>
  </r>
  <r>
    <s v="AH"/>
    <s v="Lilabai Bhosale "/>
    <x v="263"/>
    <n v="0"/>
    <x v="269"/>
    <x v="271"/>
    <n v="88"/>
    <n v="2"/>
    <d v="2024-10-06T00:00:00"/>
    <d v="1899-12-30T06:00:00"/>
    <d v="2024-10-06T00:00:00"/>
    <d v="2024-10-07T00:00:00"/>
    <n v="7058113899"/>
    <m/>
    <n v="24"/>
    <n v="1"/>
    <n v="2"/>
    <n v="2"/>
    <n v="2"/>
    <n v="2"/>
    <n v="2"/>
    <n v="1"/>
    <n v="2"/>
    <n v="2"/>
    <n v="2"/>
    <s v="wake up stroke, DAMA"/>
    <n v="11.6"/>
    <n v="35.4"/>
    <n v="86.4"/>
    <n v="7.9"/>
    <m/>
    <m/>
    <m/>
    <m/>
    <m/>
    <m/>
    <n v="189"/>
    <m/>
    <m/>
    <m/>
    <s v="Right MCA massive infract right PCA infract with hemorrhagic transformation and 5.7mm midline shift "/>
    <m/>
    <s v="Rt MCA M1 stenosis"/>
    <m/>
    <m/>
    <m/>
    <m/>
    <m/>
    <m/>
    <m/>
    <n v="1"/>
    <n v="2"/>
    <n v="2"/>
    <m/>
    <n v="4"/>
    <n v="2"/>
    <n v="2"/>
    <n v="6"/>
    <n v="0"/>
    <n v="0"/>
    <n v="1"/>
    <n v="0"/>
    <n v="0"/>
    <n v="0"/>
    <n v="0"/>
    <n v="1"/>
    <n v="0"/>
    <n v="0"/>
    <n v="0"/>
    <n v="0"/>
    <n v="0"/>
    <n v="0"/>
    <n v="0"/>
    <x v="16"/>
    <n v="1"/>
    <n v="0"/>
    <n v="0"/>
  </r>
  <r>
    <s v="IO"/>
    <s v="Dnyaneshwar Kumbhar "/>
    <x v="264"/>
    <n v="0"/>
    <x v="270"/>
    <x v="272"/>
    <n v="60"/>
    <n v="1"/>
    <m/>
    <m/>
    <d v="2024-05-20T00:00:00"/>
    <d v="2024-05-22T00:00:00"/>
    <n v="7058123525"/>
    <m/>
    <n v="2"/>
    <n v="1"/>
    <n v="1"/>
    <n v="1"/>
    <n v="1"/>
    <n v="2"/>
    <n v="1"/>
    <n v="2"/>
    <n v="2"/>
    <n v="2"/>
    <n v="2"/>
    <m/>
    <n v="13.1"/>
    <n v="39"/>
    <n v="97"/>
    <n v="11.32"/>
    <n v="8.6999999999999993"/>
    <n v="299"/>
    <m/>
    <n v="39"/>
    <n v="463"/>
    <m/>
    <n v="2000"/>
    <m/>
    <m/>
    <m/>
    <s v="Right corona radiata infract and internal capsule "/>
    <m/>
    <s v="Right M1 MCA infract left CCA plaque causing 40-50% stenosis"/>
    <m/>
    <n v="9"/>
    <n v="3"/>
    <n v="1"/>
    <n v="3"/>
    <n v="5"/>
    <m/>
    <n v="1"/>
    <n v="1"/>
    <n v="2"/>
    <m/>
    <m/>
    <n v="2"/>
    <n v="2"/>
    <n v="0"/>
    <n v="100"/>
    <n v="1"/>
    <n v="2"/>
    <n v="2"/>
    <n v="2"/>
    <n v="1"/>
    <n v="1"/>
    <n v="1"/>
    <n v="0"/>
    <n v="0"/>
    <n v="0"/>
    <n v="0"/>
    <n v="0"/>
    <n v="0"/>
    <n v="0"/>
    <x v="3"/>
    <n v="1"/>
    <n v="1"/>
    <s v="Left CCA thrombus"/>
  </r>
  <r>
    <s v="NN"/>
    <s v="Santosh Dal"/>
    <x v="265"/>
    <n v="0"/>
    <x v="271"/>
    <x v="273"/>
    <n v="42"/>
    <n v="1"/>
    <d v="2023-10-18T00:00:00"/>
    <d v="1899-12-30T17:00:00"/>
    <d v="2023-10-19T00:00:00"/>
    <d v="2023-10-20T00:00:00"/>
    <n v="9067939067"/>
    <m/>
    <m/>
    <n v="1"/>
    <n v="1"/>
    <n v="2"/>
    <n v="1"/>
    <n v="2"/>
    <n v="2"/>
    <n v="2"/>
    <n v="2"/>
    <n v="2"/>
    <n v="1"/>
    <m/>
    <n v="14.1"/>
    <n v="43.2"/>
    <n v="88.9"/>
    <n v="11.23"/>
    <n v="9.4"/>
    <n v="159"/>
    <n v="93.6"/>
    <n v="35"/>
    <n v="152"/>
    <n v="30.4"/>
    <n v="2000"/>
    <m/>
    <m/>
    <m/>
    <s v=" Left Corona radiata + Left centrum semiovale and right "/>
    <m/>
    <s v="Normal "/>
    <m/>
    <n v="9"/>
    <n v="5"/>
    <n v="1"/>
    <n v="3"/>
    <m/>
    <m/>
    <n v="1"/>
    <n v="1"/>
    <n v="2"/>
    <m/>
    <m/>
    <m/>
    <m/>
    <n v="2"/>
    <m/>
    <n v="0"/>
    <n v="0"/>
    <n v="0"/>
    <n v="0"/>
    <n v="0"/>
    <n v="0"/>
    <n v="0"/>
    <n v="0"/>
    <n v="0"/>
    <n v="0"/>
    <n v="0"/>
    <n v="0"/>
    <n v="0"/>
    <n v="0"/>
    <x v="4"/>
    <n v="0"/>
    <n v="0"/>
    <n v="0"/>
  </r>
  <r>
    <s v="AX"/>
    <s v="Anand Gaikwad "/>
    <x v="266"/>
    <n v="0"/>
    <x v="272"/>
    <x v="274"/>
    <n v="62"/>
    <n v="1"/>
    <d v="2024-10-06T00:00:00"/>
    <d v="1899-12-30T11:30:00"/>
    <d v="2024-10-06T00:00:00"/>
    <d v="2024-10-08T00:00:00"/>
    <n v="9028443206"/>
    <m/>
    <n v="0"/>
    <n v="1"/>
    <n v="1"/>
    <n v="1"/>
    <n v="1"/>
    <n v="2"/>
    <n v="2"/>
    <n v="2"/>
    <n v="2"/>
    <n v="2"/>
    <n v="2"/>
    <m/>
    <n v="14.1"/>
    <n v="42.9"/>
    <n v="94.9"/>
    <n v="25.45"/>
    <n v="6.8"/>
    <n v="189"/>
    <n v="124.4"/>
    <n v="36"/>
    <n v="143"/>
    <n v="28.6"/>
    <n v="148"/>
    <m/>
    <m/>
    <m/>
    <s v="Left MCA lacunar infract "/>
    <m/>
    <s v="Left ICA stenosis N80% thrombosis in arota left CCA free floating plaque. Left M1 MCA stenosis "/>
    <m/>
    <m/>
    <m/>
    <m/>
    <m/>
    <m/>
    <m/>
    <n v="1"/>
    <n v="1"/>
    <n v="2"/>
    <m/>
    <n v="4"/>
    <n v="2"/>
    <n v="2"/>
    <n v="0"/>
    <n v="100"/>
    <n v="0"/>
    <n v="0"/>
    <n v="0"/>
    <n v="0"/>
    <n v="0"/>
    <n v="0"/>
    <n v="0"/>
    <n v="0"/>
    <n v="2"/>
    <n v="0"/>
    <n v="1"/>
    <n v="1"/>
    <n v="1"/>
    <n v="1"/>
    <x v="8"/>
    <n v="1"/>
    <n v="1"/>
    <n v="1"/>
  </r>
  <r>
    <s v="PB"/>
    <s v="Pankaj Soni "/>
    <x v="267"/>
    <n v="0"/>
    <x v="272"/>
    <x v="275"/>
    <n v="38"/>
    <n v="1"/>
    <d v="2024-10-19T00:00:00"/>
    <d v="1899-12-30T17:00:00"/>
    <d v="2024-10-20T00:00:00"/>
    <d v="2024-10-21T00:00:00"/>
    <n v="9975649580"/>
    <m/>
    <n v="0"/>
    <n v="2"/>
    <n v="1"/>
    <n v="2"/>
    <n v="2"/>
    <n v="2"/>
    <n v="2"/>
    <n v="2"/>
    <n v="2"/>
    <n v="2"/>
    <n v="2"/>
    <m/>
    <n v="13.9"/>
    <n v="41.6"/>
    <n v="83.7"/>
    <m/>
    <n v="7.1"/>
    <m/>
    <m/>
    <m/>
    <m/>
    <m/>
    <n v="154"/>
    <m/>
    <m/>
    <m/>
    <s v="Acute NHI in Rt caudate nucleus and Rt lentiform nucleus "/>
    <m/>
    <s v="Calcified atherosclerotic calcified plaque in petrous segment of Rt ICA "/>
    <m/>
    <m/>
    <m/>
    <m/>
    <m/>
    <m/>
    <m/>
    <n v="1"/>
    <n v="1"/>
    <n v="2"/>
    <m/>
    <n v="4"/>
    <n v="2"/>
    <n v="2"/>
    <n v="0"/>
    <n v="100"/>
    <n v="1"/>
    <n v="1"/>
    <n v="2"/>
    <n v="2"/>
    <n v="1"/>
    <n v="1"/>
    <n v="1"/>
    <m/>
    <m/>
    <m/>
    <m/>
    <m/>
    <m/>
    <m/>
    <x v="2"/>
    <n v="1"/>
    <n v="1"/>
    <n v="1"/>
  </r>
  <r>
    <s v="PC"/>
    <s v="Sopan Jambhale"/>
    <x v="268"/>
    <n v="0"/>
    <x v="272"/>
    <x v="276"/>
    <n v="83"/>
    <n v="1"/>
    <d v="2024-09-27T00:00:00"/>
    <d v="1899-12-30T17:00:00"/>
    <d v="2024-09-27T00:00:00"/>
    <m/>
    <n v="9881885949"/>
    <m/>
    <n v="4"/>
    <n v="2"/>
    <n v="2"/>
    <n v="2"/>
    <n v="2"/>
    <n v="2"/>
    <n v="2"/>
    <n v="2"/>
    <n v="2"/>
    <n v="2"/>
    <n v="1"/>
    <s v="TIA right sided weakness "/>
    <n v="14.8"/>
    <n v="44.1"/>
    <n v="95"/>
    <m/>
    <m/>
    <n v="167"/>
    <n v="104"/>
    <n v="45"/>
    <n v="88"/>
    <n v="17.600000000000001"/>
    <m/>
    <m/>
    <m/>
    <m/>
    <s v="Acute infract left corona radiata and insular cortex "/>
    <m/>
    <s v="Normal"/>
    <m/>
    <n v="10"/>
    <n v="3"/>
    <n v="1"/>
    <n v="3"/>
    <n v="5"/>
    <m/>
    <n v="1"/>
    <n v="1"/>
    <n v="2"/>
    <m/>
    <n v="4"/>
    <n v="2"/>
    <n v="2"/>
    <n v="6"/>
    <n v="0"/>
    <n v="0"/>
    <n v="0"/>
    <n v="0"/>
    <n v="0"/>
    <n v="0"/>
    <n v="0"/>
    <n v="0"/>
    <n v="0"/>
    <n v="0"/>
    <n v="0"/>
    <n v="0"/>
    <n v="0"/>
    <n v="0"/>
    <n v="0"/>
    <x v="7"/>
    <n v="0"/>
    <n v="0"/>
    <n v="0"/>
  </r>
  <r>
    <s v="NO"/>
    <s v="Subhadra Mali"/>
    <x v="269"/>
    <n v="0"/>
    <x v="273"/>
    <x v="277"/>
    <n v="75"/>
    <n v="2"/>
    <d v="2024-04-16T00:00:00"/>
    <d v="1899-12-30T07:30:00"/>
    <d v="2024-04-16T00:00:00"/>
    <m/>
    <n v="9890084283"/>
    <n v="9970150799"/>
    <n v="26"/>
    <n v="1"/>
    <n v="2"/>
    <n v="2"/>
    <n v="2"/>
    <n v="2"/>
    <n v="2"/>
    <n v="2"/>
    <n v="2"/>
    <n v="2"/>
    <n v="2"/>
    <m/>
    <n v="12.7"/>
    <n v="39"/>
    <n v="88.7"/>
    <n v="14.48"/>
    <m/>
    <m/>
    <m/>
    <m/>
    <m/>
    <m/>
    <n v="711"/>
    <m/>
    <m/>
    <m/>
    <s v="Right MCA(inferior division)  old left PICA infract "/>
    <m/>
    <s v="Right MCA inferior division occlusion"/>
    <m/>
    <n v="6"/>
    <n v="3"/>
    <n v="1"/>
    <n v="3"/>
    <n v="4"/>
    <m/>
    <n v="1"/>
    <n v="2"/>
    <n v="2"/>
    <n v="2"/>
    <m/>
    <n v="2"/>
    <n v="2"/>
    <n v="6"/>
    <n v="0"/>
    <n v="1"/>
    <n v="2"/>
    <n v="2"/>
    <n v="2"/>
    <n v="1"/>
    <n v="0"/>
    <n v="1"/>
    <n v="0"/>
    <n v="0"/>
    <n v="0"/>
    <n v="0"/>
    <n v="0"/>
    <n v="0"/>
    <n v="0"/>
    <x v="2"/>
    <n v="0"/>
    <n v="0"/>
    <s v="Left CCA plaque"/>
  </r>
  <r>
    <s v="AJ"/>
    <s v="Sandip Bhopale"/>
    <x v="270"/>
    <n v="0"/>
    <x v="274"/>
    <x v="278"/>
    <n v="37"/>
    <n v="1"/>
    <m/>
    <m/>
    <d v="2022-12-16T00:00:00"/>
    <d v="2023-01-05T00:00:00"/>
    <n v="9307220071"/>
    <m/>
    <n v="17"/>
    <n v="2"/>
    <n v="2"/>
    <n v="2"/>
    <n v="2"/>
    <n v="2"/>
    <n v="2"/>
    <n v="2"/>
    <n v="2"/>
    <n v="2"/>
    <n v="2"/>
    <m/>
    <n v="12.6"/>
    <n v="38.299999999999997"/>
    <n v="92.1"/>
    <n v="23.02"/>
    <m/>
    <n v="143"/>
    <n v="90.6"/>
    <n v="32"/>
    <n v="102"/>
    <n v="20.399999999999999"/>
    <n v="2000"/>
    <m/>
    <m/>
    <m/>
    <s v="Left malignant MCA, ACA infarct"/>
    <m/>
    <m/>
    <m/>
    <n v="4"/>
    <n v="3"/>
    <n v="2"/>
    <n v="1"/>
    <m/>
    <m/>
    <n v="1"/>
    <n v="2"/>
    <n v="2"/>
    <m/>
    <n v="3"/>
    <m/>
    <m/>
    <n v="4"/>
    <n v="40"/>
    <n v="0"/>
    <n v="0"/>
    <n v="0"/>
    <n v="0"/>
    <n v="0"/>
    <n v="0"/>
    <n v="0"/>
    <n v="1"/>
    <n v="2"/>
    <n v="0"/>
    <n v="0"/>
    <n v="0"/>
    <n v="0"/>
    <n v="0"/>
    <x v="13"/>
    <n v="0"/>
    <n v="1"/>
    <n v="0"/>
  </r>
  <r>
    <m/>
    <s v="Hrushikesh Shah "/>
    <x v="11"/>
    <e v="#N/A"/>
    <x v="275"/>
    <x v="279"/>
    <n v="44"/>
    <n v="1"/>
    <d v="2024-11-14T00:00:00"/>
    <d v="1899-12-30T15:00:00"/>
    <d v="2024-11-14T00:00:00"/>
    <m/>
    <n v="9821157770"/>
    <m/>
    <n v="14"/>
    <n v="1"/>
    <n v="2"/>
    <n v="2"/>
    <n v="2"/>
    <n v="2"/>
    <n v="2"/>
    <n v="2"/>
    <n v="2"/>
    <n v="2"/>
    <n v="1"/>
    <m/>
    <m/>
    <m/>
    <m/>
    <m/>
    <m/>
    <m/>
    <m/>
    <m/>
    <m/>
    <m/>
    <m/>
    <m/>
    <m/>
    <m/>
    <s v="Left MCA infract"/>
    <m/>
    <s v="Left M3 occlusion "/>
    <m/>
    <n v="10"/>
    <n v="3"/>
    <n v="1"/>
    <n v="2"/>
    <n v="5"/>
    <m/>
    <n v="1"/>
    <n v="2"/>
    <n v="1"/>
    <n v="2"/>
    <n v="4"/>
    <n v="2"/>
    <n v="2"/>
    <n v="1"/>
    <n v="100"/>
    <e v="#N/A"/>
    <e v="#N/A"/>
    <e v="#N/A"/>
    <m/>
    <m/>
    <m/>
    <m/>
    <m/>
    <m/>
    <m/>
    <m/>
    <m/>
    <m/>
    <m/>
    <x v="6"/>
    <m/>
    <m/>
    <m/>
  </r>
  <r>
    <s v="JS"/>
    <s v="Vasant Ranje"/>
    <x v="271"/>
    <n v="0"/>
    <x v="276"/>
    <x v="280"/>
    <n v="69"/>
    <n v="1"/>
    <d v="2023-05-21T00:00:00"/>
    <d v="1899-12-30T04:00:00"/>
    <d v="2023-05-22T00:00:00"/>
    <d v="2023-05-23T00:00:00"/>
    <n v="9689841621"/>
    <m/>
    <m/>
    <n v="1"/>
    <n v="1"/>
    <n v="2"/>
    <n v="2"/>
    <n v="2"/>
    <n v="2"/>
    <n v="2"/>
    <n v="2"/>
    <n v="2"/>
    <n v="2"/>
    <m/>
    <n v="12.6"/>
    <n v="38"/>
    <n v="82.4"/>
    <n v="16.25"/>
    <n v="6"/>
    <n v="197"/>
    <n v="137.4"/>
    <n v="37"/>
    <n v="113"/>
    <n v="22.6"/>
    <n v="252"/>
    <m/>
    <m/>
    <m/>
    <m/>
    <m/>
    <s v="Calcified atherosclerotic plaque in Rt ICA, proximately 1.5cm from hte bifurcation causing mild luminal narrowing. Calcified atherosclerotic changes in b/C CCAS proximal to the bifurcation and in cavernous petrous segments of b/c ICA's 20-30% luminal compromise is seen involving Lt carotid bulb"/>
    <m/>
    <m/>
    <m/>
    <m/>
    <m/>
    <m/>
    <m/>
    <n v="1"/>
    <n v="1"/>
    <n v="2"/>
    <m/>
    <m/>
    <n v="2"/>
    <n v="2"/>
    <n v="0"/>
    <n v="100"/>
    <n v="0"/>
    <n v="2"/>
    <n v="2"/>
    <n v="2"/>
    <n v="1"/>
    <n v="1"/>
    <n v="1"/>
    <m/>
    <m/>
    <m/>
    <m/>
    <m/>
    <m/>
    <m/>
    <x v="2"/>
    <n v="0"/>
    <n v="0"/>
    <n v="0"/>
  </r>
  <r>
    <s v="JE"/>
    <s v="Shivaji Jadhav"/>
    <x v="272"/>
    <n v="1"/>
    <x v="276"/>
    <x v="281"/>
    <n v="66"/>
    <n v="1"/>
    <d v="2024-03-25T00:00:00"/>
    <d v="1899-12-30T14:30:00"/>
    <d v="2024-03-25T00:00:00"/>
    <d v="2024-03-29T00:00:00"/>
    <n v="9767366400"/>
    <n v="9850714691"/>
    <n v="3"/>
    <n v="1"/>
    <n v="1"/>
    <n v="2"/>
    <n v="2"/>
    <n v="2"/>
    <n v="2"/>
    <n v="2"/>
    <n v="1"/>
    <n v="2"/>
    <n v="2"/>
    <s v="HF with pocemater in situ"/>
    <n v="12.2"/>
    <n v="38.799999999999997"/>
    <n v="96"/>
    <m/>
    <n v="13"/>
    <m/>
    <m/>
    <m/>
    <m/>
    <m/>
    <n v="304"/>
    <m/>
    <m/>
    <m/>
    <s v="A/c infract Rt post central gyris, left posterior parietal region, letiform nucleus and Rt occipital region"/>
    <m/>
    <s v="Calcified plaque at origin of both vetebral arteries eccentric plaque in Rt cervical ICA, without artery significant luminal narrowing"/>
    <m/>
    <n v="9"/>
    <n v="4"/>
    <n v="1"/>
    <n v="3"/>
    <n v="5"/>
    <m/>
    <n v="1"/>
    <n v="2"/>
    <n v="1"/>
    <n v="1"/>
    <n v="4"/>
    <n v="2"/>
    <n v="2"/>
    <n v="4"/>
    <n v="35"/>
    <n v="1"/>
    <n v="2"/>
    <n v="2"/>
    <n v="2"/>
    <n v="1"/>
    <n v="1"/>
    <n v="1"/>
    <n v="0"/>
    <n v="0"/>
    <n v="0"/>
    <n v="0"/>
    <n v="0"/>
    <n v="0"/>
    <n v="0"/>
    <x v="3"/>
    <n v="1"/>
    <n v="1"/>
    <n v="0"/>
  </r>
  <r>
    <s v="JT"/>
    <s v="Chandrakant Shinde"/>
    <x v="273"/>
    <n v="0"/>
    <x v="276"/>
    <x v="282"/>
    <n v="68"/>
    <n v="1"/>
    <d v="2023-05-21T00:00:00"/>
    <d v="1899-12-30T07:30:00"/>
    <d v="2023-05-21T00:00:00"/>
    <d v="2023-05-22T00:00:00"/>
    <n v="9764492766"/>
    <m/>
    <n v="2"/>
    <n v="1"/>
    <n v="2"/>
    <n v="2"/>
    <n v="2"/>
    <n v="2"/>
    <n v="2"/>
    <n v="2"/>
    <n v="2"/>
    <n v="2"/>
    <n v="2"/>
    <s v="Congental gase defect Lt eye refinoparry"/>
    <n v="14.2"/>
    <n v="41.6"/>
    <n v="78.400000000000006"/>
    <n v="48.94"/>
    <n v="4.8"/>
    <n v="165"/>
    <n v="119.6"/>
    <n v="34"/>
    <n v="57"/>
    <n v="11.4"/>
    <n v="148"/>
    <m/>
    <m/>
    <m/>
    <m/>
    <m/>
    <s v="Atherosclerotic changes involving arch of aorta, origin of left of ICA and carvenous segments of both ICAs. Calcific atherosclerotic changesin M1 segment of right MCA causing short segment mild stenosis. Left vertebral artery shows ostial narrowing"/>
    <m/>
    <m/>
    <m/>
    <m/>
    <m/>
    <m/>
    <m/>
    <n v="1"/>
    <n v="1"/>
    <n v="2"/>
    <m/>
    <m/>
    <n v="2"/>
    <n v="2"/>
    <n v="0"/>
    <n v="100"/>
    <n v="1"/>
    <n v="2"/>
    <n v="2"/>
    <n v="2"/>
    <n v="1"/>
    <n v="1"/>
    <n v="1"/>
    <m/>
    <m/>
    <m/>
    <m/>
    <m/>
    <m/>
    <m/>
    <x v="3"/>
    <n v="1"/>
    <n v="1"/>
    <n v="0"/>
  </r>
  <r>
    <s v="IF"/>
    <s v="Vaishali Deshpande"/>
    <x v="274"/>
    <n v="0"/>
    <x v="277"/>
    <x v="283"/>
    <n v="69"/>
    <n v="2"/>
    <d v="2024-05-25T00:00:00"/>
    <d v="1899-12-30T07:30:00"/>
    <d v="2024-05-25T00:00:00"/>
    <d v="2024-05-28T00:00:00"/>
    <n v="9850146471"/>
    <m/>
    <n v="1"/>
    <n v="2"/>
    <n v="1"/>
    <n v="2"/>
    <n v="2"/>
    <n v="2"/>
    <n v="2"/>
    <n v="2"/>
    <n v="2"/>
    <n v="2"/>
    <n v="2"/>
    <m/>
    <n v="10.3"/>
    <n v="31"/>
    <n v="85.2"/>
    <n v="11.88"/>
    <m/>
    <n v="176"/>
    <m/>
    <n v="5"/>
    <n v="446"/>
    <n v="89.2"/>
    <n v="504"/>
    <m/>
    <m/>
    <m/>
    <s v="Left PCA- MCA tiny watershed infract Lt frontal cavernous "/>
    <m/>
    <m/>
    <m/>
    <n v="10"/>
    <n v="3"/>
    <n v="1"/>
    <n v="3"/>
    <n v="5"/>
    <m/>
    <n v="1"/>
    <n v="1"/>
    <n v="2"/>
    <m/>
    <m/>
    <n v="2"/>
    <n v="2"/>
    <n v="0"/>
    <n v="100"/>
    <n v="0"/>
    <n v="0"/>
    <n v="0"/>
    <n v="0"/>
    <n v="0"/>
    <n v="0"/>
    <n v="0"/>
    <n v="1"/>
    <n v="2"/>
    <n v="2"/>
    <n v="2"/>
    <n v="1"/>
    <n v="1"/>
    <n v="1"/>
    <x v="3"/>
    <n v="1"/>
    <n v="1"/>
    <n v="0"/>
  </r>
  <r>
    <m/>
    <s v="Rajkumar Shinde"/>
    <x v="11"/>
    <e v="#N/A"/>
    <x v="278"/>
    <x v="284"/>
    <n v="32"/>
    <n v="1"/>
    <d v="2024-05-18T00:00:00"/>
    <d v="1899-12-30T15:00:00"/>
    <d v="2024-05-19T00:00:00"/>
    <d v="2024-05-21T00:00:00"/>
    <n v="9164331863"/>
    <m/>
    <n v="0"/>
    <n v="1"/>
    <n v="2"/>
    <n v="1"/>
    <n v="2"/>
    <n v="2"/>
    <n v="2"/>
    <n v="2"/>
    <n v="2"/>
    <n v="2"/>
    <n v="2"/>
    <m/>
    <n v="17.3"/>
    <n v="52.1"/>
    <n v="86.9"/>
    <n v="24.67"/>
    <n v="5.3"/>
    <n v="203"/>
    <n v="131.6"/>
    <n v="43"/>
    <n v="142"/>
    <n v="28.4"/>
    <n v="2000"/>
    <m/>
    <m/>
    <m/>
    <s v="Left frontal periventricular infract"/>
    <m/>
    <m/>
    <m/>
    <n v="9"/>
    <n v="3"/>
    <n v="1"/>
    <n v="3"/>
    <m/>
    <m/>
    <n v="1"/>
    <n v="1"/>
    <n v="2"/>
    <m/>
    <m/>
    <n v="2"/>
    <n v="2"/>
    <n v="0"/>
    <n v="100"/>
    <e v="#N/A"/>
    <e v="#N/A"/>
    <e v="#N/A"/>
    <m/>
    <m/>
    <m/>
    <m/>
    <m/>
    <m/>
    <m/>
    <m/>
    <m/>
    <m/>
    <m/>
    <x v="4"/>
    <m/>
    <m/>
    <m/>
  </r>
  <r>
    <s v="NU"/>
    <s v="Vitthal Yadav"/>
    <x v="275"/>
    <n v="0"/>
    <x v="279"/>
    <x v="285"/>
    <n v="52"/>
    <n v="1"/>
    <d v="2023-08-19T00:00:00"/>
    <d v="1899-12-30T13:30:00"/>
    <d v="2023-08-21T00:00:00"/>
    <d v="2023-08-23T00:00:00"/>
    <n v="9860187127"/>
    <m/>
    <n v="16"/>
    <n v="1"/>
    <n v="2"/>
    <n v="2"/>
    <n v="2"/>
    <n v="1"/>
    <n v="2"/>
    <n v="2"/>
    <n v="2"/>
    <n v="2"/>
    <n v="2"/>
    <m/>
    <m/>
    <m/>
    <m/>
    <n v="21.37"/>
    <n v="5.6"/>
    <n v="171"/>
    <n v="96.2"/>
    <n v="31"/>
    <n v="219"/>
    <n v="43.8"/>
    <n v="2000"/>
    <n v="155"/>
    <m/>
    <m/>
    <s v="Left ACA infract and watershed area"/>
    <m/>
    <s v="Left ACA pericallosal branch occlusion"/>
    <m/>
    <m/>
    <m/>
    <m/>
    <m/>
    <m/>
    <m/>
    <n v="1"/>
    <n v="1"/>
    <n v="2"/>
    <m/>
    <n v="4"/>
    <n v="2"/>
    <n v="2"/>
    <n v="1"/>
    <n v="95"/>
    <n v="0"/>
    <n v="0"/>
    <n v="0"/>
    <n v="0"/>
    <n v="0"/>
    <n v="0"/>
    <n v="0"/>
    <n v="0"/>
    <n v="0"/>
    <n v="0"/>
    <n v="0"/>
    <n v="0"/>
    <n v="0"/>
    <n v="0"/>
    <x v="5"/>
    <n v="0"/>
    <n v="0"/>
    <n v="0"/>
  </r>
  <r>
    <s v="AB"/>
    <s v="Anita Yedge"/>
    <x v="276"/>
    <n v="0"/>
    <x v="279"/>
    <x v="286"/>
    <n v="39"/>
    <n v="2"/>
    <d v="2024-11-12T00:00:00"/>
    <d v="1899-12-30T21:00:00"/>
    <d v="2024-11-14T00:00:00"/>
    <d v="2024-12-01T00:00:00"/>
    <n v="9119473106"/>
    <m/>
    <n v="22"/>
    <n v="2"/>
    <n v="2"/>
    <n v="2"/>
    <n v="2"/>
    <n v="2"/>
    <n v="2"/>
    <n v="2"/>
    <n v="2"/>
    <n v="2"/>
    <n v="2"/>
    <m/>
    <n v="12"/>
    <m/>
    <m/>
    <n v="4.6500000000000004"/>
    <n v="5.9"/>
    <n v="105"/>
    <n v="126.2"/>
    <n v="47"/>
    <n v="109"/>
    <n v="4.8"/>
    <m/>
    <m/>
    <m/>
    <m/>
    <s v="Left MCA infract(Outside)"/>
    <m/>
    <s v="Left ICA complete thrombus; left distal M1 occlusion tandom occlusion "/>
    <m/>
    <n v="5"/>
    <n v="2"/>
    <n v="2"/>
    <n v="1"/>
    <n v="4"/>
    <m/>
    <n v="1"/>
    <n v="2"/>
    <n v="2"/>
    <m/>
    <m/>
    <n v="2"/>
    <n v="1"/>
    <n v="3"/>
    <n v="60"/>
    <m/>
    <m/>
    <m/>
    <m/>
    <m/>
    <m/>
    <m/>
    <n v="0"/>
    <n v="0"/>
    <n v="0"/>
    <n v="0"/>
    <n v="1"/>
    <n v="1"/>
    <n v="1"/>
    <x v="13"/>
    <n v="0"/>
    <n v="1"/>
    <s v="Lt ICA occluded"/>
  </r>
  <r>
    <s v="BF"/>
    <s v="Ramchandra Pangarkar"/>
    <x v="277"/>
    <n v="0"/>
    <x v="279"/>
    <x v="287"/>
    <n v="48"/>
    <n v="1"/>
    <d v="2023-01-13T00:00:00"/>
    <d v="1899-12-30T19:00:00"/>
    <d v="2023-01-14T00:00:00"/>
    <d v="2023-01-14T00:00:00"/>
    <n v="8975687878"/>
    <m/>
    <n v="20"/>
    <m/>
    <m/>
    <m/>
    <m/>
    <m/>
    <m/>
    <n v="1"/>
    <n v="1"/>
    <n v="1"/>
    <n v="1"/>
    <s v="Acute Kidney injuri"/>
    <n v="11"/>
    <m/>
    <n v="77"/>
    <n v="21"/>
    <m/>
    <m/>
    <m/>
    <m/>
    <m/>
    <m/>
    <n v="410"/>
    <m/>
    <m/>
    <m/>
    <s v="Left MCA infract "/>
    <m/>
    <s v="Left M1 and terminal M2 segment thrombosis"/>
    <m/>
    <n v="3"/>
    <n v="2"/>
    <n v="2"/>
    <n v="2"/>
    <n v="3"/>
    <m/>
    <n v="1"/>
    <m/>
    <n v="2"/>
    <m/>
    <n v="4"/>
    <m/>
    <m/>
    <n v="6"/>
    <n v="0"/>
    <n v="0"/>
    <n v="0"/>
    <n v="0"/>
    <n v="0"/>
    <n v="0"/>
    <n v="0"/>
    <n v="0"/>
    <n v="1"/>
    <n v="2"/>
    <n v="2"/>
    <n v="0"/>
    <n v="0"/>
    <n v="0"/>
    <n v="1"/>
    <x v="8"/>
    <n v="1"/>
    <n v="1"/>
    <n v="0"/>
  </r>
  <r>
    <s v="BL"/>
    <s v="Tukaram Potdar"/>
    <x v="0"/>
    <n v="0"/>
    <x v="279"/>
    <x v="0"/>
    <n v="76"/>
    <n v="1"/>
    <d v="2024-04-07T00:00:00"/>
    <m/>
    <d v="2024-04-07T00:00:00"/>
    <d v="2024-04-07T00:00:00"/>
    <n v="9226948505"/>
    <n v="7249813749"/>
    <n v="13"/>
    <n v="1"/>
    <n v="2"/>
    <n v="2"/>
    <n v="1"/>
    <n v="2"/>
    <n v="2"/>
    <n v="2"/>
    <n v="2"/>
    <n v="2"/>
    <n v="2"/>
    <m/>
    <n v="13.1"/>
    <m/>
    <m/>
    <m/>
    <n v="5.7"/>
    <n v="175"/>
    <n v="112.4"/>
    <n v="36"/>
    <n v="133"/>
    <n v="26.6"/>
    <n v="332"/>
    <n v="61"/>
    <m/>
    <m/>
    <s v="Rt PCA infract and PCIC  infract, Rt temporal and occipital lobe infract"/>
    <m/>
    <s v="Complete Rt CCA occlusion "/>
    <m/>
    <n v="9"/>
    <n v="3"/>
    <n v="1"/>
    <n v="3"/>
    <n v="5"/>
    <m/>
    <n v="1"/>
    <n v="2"/>
    <n v="1"/>
    <n v="1"/>
    <m/>
    <n v="2"/>
    <n v="2"/>
    <n v="6"/>
    <n v="0"/>
    <n v="0"/>
    <n v="1"/>
    <n v="1"/>
    <n v="2"/>
    <n v="1"/>
    <n v="1"/>
    <n v="1"/>
    <n v="0"/>
    <n v="0"/>
    <n v="0"/>
    <n v="0"/>
    <n v="0"/>
    <n v="0"/>
    <n v="0"/>
    <x v="0"/>
    <n v="1"/>
    <n v="0"/>
    <s v="Right CCA plaque"/>
  </r>
  <r>
    <s v="CL"/>
    <s v="Balasaheb Dhotre "/>
    <x v="278"/>
    <n v="0"/>
    <x v="279"/>
    <x v="288"/>
    <n v="73"/>
    <n v="1"/>
    <d v="2023-06-27T00:00:00"/>
    <d v="1899-12-30T11:00:00"/>
    <d v="2023-06-27T00:00:00"/>
    <d v="2023-07-01T00:00:00"/>
    <n v="8805487706"/>
    <m/>
    <n v="6"/>
    <n v="1"/>
    <n v="2"/>
    <n v="2"/>
    <n v="2"/>
    <n v="2"/>
    <n v="2"/>
    <n v="2"/>
    <n v="1"/>
    <n v="2"/>
    <n v="2"/>
    <s v="Fall 3 days back "/>
    <n v="11.5"/>
    <n v="34.700000000000003"/>
    <n v="73.3"/>
    <n v="27.71"/>
    <m/>
    <m/>
    <m/>
    <m/>
    <m/>
    <m/>
    <n v="154"/>
    <m/>
    <m/>
    <m/>
    <s v="Rt MCA infract "/>
    <m/>
    <s v="Rt ICA 95% stenosis acute infract Rt ICA shows complete occlussion.Multiple calcified plaques at bifurcation and involving the distal CCA"/>
    <m/>
    <m/>
    <m/>
    <m/>
    <m/>
    <m/>
    <m/>
    <n v="1"/>
    <n v="1"/>
    <n v="1"/>
    <n v="1"/>
    <n v="2"/>
    <n v="2"/>
    <n v="2"/>
    <n v="2"/>
    <n v="90"/>
    <n v="0"/>
    <n v="1"/>
    <n v="2"/>
    <n v="2"/>
    <n v="1"/>
    <n v="1"/>
    <n v="1"/>
    <n v="0"/>
    <n v="0"/>
    <n v="0"/>
    <n v="0"/>
    <n v="0"/>
    <n v="0"/>
    <n v="0"/>
    <x v="1"/>
    <n v="0"/>
    <n v="0"/>
    <n v="0"/>
  </r>
  <r>
    <s v="CN"/>
    <s v="Rahul Patil "/>
    <x v="279"/>
    <n v="0"/>
    <x v="279"/>
    <x v="289"/>
    <n v="41"/>
    <n v="1"/>
    <m/>
    <m/>
    <s v="22-08-2024"/>
    <s v="25-08-2024"/>
    <m/>
    <m/>
    <m/>
    <n v="1"/>
    <n v="2"/>
    <n v="2"/>
    <n v="2"/>
    <n v="2"/>
    <n v="2"/>
    <n v="2"/>
    <n v="2"/>
    <n v="2"/>
    <n v="2"/>
    <m/>
    <n v="12.8"/>
    <n v="40"/>
    <n v="77.5"/>
    <n v="12.95"/>
    <n v="5.6"/>
    <n v="203"/>
    <n v="127.4"/>
    <n v="34"/>
    <n v="208"/>
    <n v="41.6"/>
    <n v="226"/>
    <m/>
    <m/>
    <m/>
    <s v="Right MCA inferior division infract"/>
    <m/>
    <s v="Rt distal M2 occlusion "/>
    <m/>
    <n v="9"/>
    <n v="3"/>
    <n v="1"/>
    <n v="2"/>
    <n v="5"/>
    <m/>
    <n v="1"/>
    <n v="1"/>
    <n v="2"/>
    <m/>
    <m/>
    <n v="2"/>
    <n v="2"/>
    <m/>
    <m/>
    <n v="0"/>
    <n v="1"/>
    <n v="2"/>
    <n v="2"/>
    <n v="1"/>
    <n v="1"/>
    <n v="1"/>
    <n v="0"/>
    <n v="0"/>
    <n v="0"/>
    <n v="0"/>
    <n v="0"/>
    <n v="0"/>
    <n v="0"/>
    <x v="1"/>
    <n v="1"/>
    <n v="0"/>
    <s v="Rt CCA Plaque"/>
  </r>
  <r>
    <s v="FF"/>
    <s v="Lahu D Lokhande"/>
    <x v="280"/>
    <n v="0"/>
    <x v="279"/>
    <x v="290"/>
    <n v="48"/>
    <n v="1"/>
    <d v="2023-10-14T00:00:00"/>
    <d v="1899-12-30T12:30:00"/>
    <d v="2023-10-17T00:00:00"/>
    <d v="2023-10-06T00:00:00"/>
    <n v="7517711010"/>
    <m/>
    <m/>
    <n v="2"/>
    <n v="2"/>
    <n v="1"/>
    <n v="2"/>
    <n v="1"/>
    <n v="2"/>
    <n v="2"/>
    <n v="2"/>
    <n v="2"/>
    <n v="1"/>
    <m/>
    <n v="13.8"/>
    <n v="40.4"/>
    <n v="98.8"/>
    <n v="11.07"/>
    <m/>
    <n v="141"/>
    <m/>
    <n v="45"/>
    <m/>
    <m/>
    <n v="2000"/>
    <m/>
    <m/>
    <m/>
    <s v="Large subacule infarct involving the left MCA territory with haemmorrhagic transformation"/>
    <m/>
    <m/>
    <m/>
    <n v="5"/>
    <n v="3"/>
    <n v="2"/>
    <n v="3"/>
    <n v="5"/>
    <m/>
    <n v="1"/>
    <n v="2"/>
    <n v="2"/>
    <m/>
    <n v="1"/>
    <m/>
    <m/>
    <n v="4"/>
    <n v="65"/>
    <n v="0"/>
    <n v="0"/>
    <n v="0"/>
    <n v="0"/>
    <n v="0"/>
    <n v="0"/>
    <n v="0"/>
    <n v="1"/>
    <n v="2"/>
    <n v="2"/>
    <n v="1"/>
    <n v="1"/>
    <n v="1"/>
    <n v="1"/>
    <x v="2"/>
    <n v="1"/>
    <n v="1"/>
    <n v="0"/>
  </r>
  <r>
    <s v="DZ"/>
    <s v="Laxmi B Vennu "/>
    <x v="281"/>
    <n v="0"/>
    <x v="279"/>
    <x v="291"/>
    <n v="71"/>
    <n v="2"/>
    <d v="2023-06-19T00:00:00"/>
    <d v="1899-12-30T11:30:00"/>
    <d v="2023-06-19T00:00:00"/>
    <d v="2023-06-22T00:00:00"/>
    <n v="9975621030"/>
    <m/>
    <m/>
    <n v="1"/>
    <n v="2"/>
    <n v="2"/>
    <n v="2"/>
    <n v="2"/>
    <n v="2"/>
    <n v="2"/>
    <n v="2"/>
    <n v="2"/>
    <n v="2"/>
    <m/>
    <n v="11.3"/>
    <n v="34.4"/>
    <n v="76.3"/>
    <n v="14.31"/>
    <m/>
    <m/>
    <m/>
    <m/>
    <m/>
    <m/>
    <n v="1686"/>
    <m/>
    <m/>
    <m/>
    <s v="acute infract left frontal lobe"/>
    <m/>
    <s v="B/L sided ICA stenosis.  Dense calcified plaque in left carotid bifurcation extending to origin of left ICA causing severe stenosis.Eccentric calcified plaques in rt ICA causing severe stenosis. Small calcified plaques in cavernous and supraclinoid segments of both icas"/>
    <m/>
    <m/>
    <m/>
    <m/>
    <m/>
    <m/>
    <m/>
    <n v="1"/>
    <n v="1"/>
    <n v="1"/>
    <n v="1"/>
    <m/>
    <m/>
    <m/>
    <n v="2"/>
    <n v="70"/>
    <n v="0"/>
    <n v="0"/>
    <n v="0"/>
    <n v="0"/>
    <n v="0"/>
    <n v="0"/>
    <n v="0"/>
    <n v="0"/>
    <n v="2"/>
    <n v="2"/>
    <n v="2"/>
    <n v="1"/>
    <n v="1"/>
    <n v="1"/>
    <x v="2"/>
    <n v="0"/>
    <n v="0"/>
    <n v="0"/>
  </r>
  <r>
    <s v="IW"/>
    <s v="Deepali Mandalik"/>
    <x v="282"/>
    <n v="1"/>
    <x v="279"/>
    <x v="292"/>
    <n v="37"/>
    <n v="1"/>
    <m/>
    <m/>
    <d v="2023-01-31T00:00:00"/>
    <d v="2023-02-02T00:00:00"/>
    <m/>
    <m/>
    <n v="1"/>
    <n v="2"/>
    <n v="2"/>
    <n v="2"/>
    <n v="2"/>
    <n v="2"/>
    <n v="2"/>
    <n v="2"/>
    <n v="2"/>
    <n v="1"/>
    <m/>
    <m/>
    <n v="16.2"/>
    <m/>
    <m/>
    <n v="64"/>
    <n v="6.7"/>
    <n v="206"/>
    <n v="99"/>
    <n v="29"/>
    <n v="386"/>
    <n v="77"/>
    <n v="190"/>
    <m/>
    <m/>
    <m/>
    <s v="Rt internal watershed infarct ACA+MCA+ and MCA+PCA "/>
    <m/>
    <s v="Rt cavernous segment ICA plaque "/>
    <m/>
    <n v="9"/>
    <n v="3"/>
    <n v="1"/>
    <n v="3"/>
    <n v="5"/>
    <m/>
    <n v="1"/>
    <n v="1"/>
    <m/>
    <m/>
    <m/>
    <m/>
    <m/>
    <n v="0"/>
    <n v="100"/>
    <n v="0"/>
    <n v="2"/>
    <n v="2"/>
    <n v="2"/>
    <n v="1"/>
    <n v="1"/>
    <n v="1"/>
    <m/>
    <m/>
    <m/>
    <m/>
    <m/>
    <m/>
    <m/>
    <x v="2"/>
    <n v="1"/>
    <n v="1"/>
    <n v="0"/>
  </r>
  <r>
    <s v="IA"/>
    <s v="Surekha Jadhav"/>
    <x v="283"/>
    <n v="1"/>
    <x v="279"/>
    <x v="293"/>
    <n v="30"/>
    <n v="2"/>
    <d v="2023-01-24T00:00:00"/>
    <m/>
    <d v="2023-01-25T00:00:00"/>
    <d v="2023-02-02T00:00:00"/>
    <n v="9423032481"/>
    <m/>
    <n v="6"/>
    <n v="2"/>
    <n v="2"/>
    <n v="2"/>
    <n v="2"/>
    <n v="2"/>
    <n v="2"/>
    <n v="2"/>
    <n v="2"/>
    <n v="2"/>
    <n v="2"/>
    <s v="Dimorphic Anemia "/>
    <n v="7"/>
    <n v="25"/>
    <n v="52.5"/>
    <n v="23"/>
    <n v="5.8"/>
    <n v="153"/>
    <n v="90"/>
    <n v="29"/>
    <n v="166"/>
    <m/>
    <n v="148"/>
    <m/>
    <s v="Ferritin- 2.74, S Iron- 15, S TIBC- 405, transferrin- 3.7"/>
    <m/>
    <s v="MRI left ACA MCA PCA watershed infract "/>
    <m/>
    <s v="Left commom carotid free floating thrombosis(90%)"/>
    <m/>
    <n v="9"/>
    <n v="3"/>
    <n v="1"/>
    <n v="3"/>
    <n v="5"/>
    <m/>
    <n v="1"/>
    <n v="1"/>
    <n v="2"/>
    <m/>
    <n v="1"/>
    <m/>
    <m/>
    <n v="0"/>
    <n v="100"/>
    <n v="0"/>
    <n v="0"/>
    <n v="0"/>
    <n v="0"/>
    <n v="0"/>
    <n v="0"/>
    <n v="0"/>
    <n v="1"/>
    <n v="2"/>
    <n v="2"/>
    <n v="2"/>
    <n v="1"/>
    <n v="1"/>
    <n v="1"/>
    <x v="3"/>
    <n v="1"/>
    <n v="1"/>
    <s v="Left CCA free floating thrombus"/>
  </r>
  <r>
    <s v="HZ"/>
    <s v="Dilip More"/>
    <x v="284"/>
    <n v="1"/>
    <x v="279"/>
    <x v="294"/>
    <n v="48"/>
    <n v="1"/>
    <m/>
    <m/>
    <d v="2022-09-15T00:00:00"/>
    <d v="2022-09-16T00:00:00"/>
    <n v="9850344096"/>
    <m/>
    <m/>
    <n v="1"/>
    <n v="2"/>
    <n v="2"/>
    <n v="2"/>
    <n v="2"/>
    <n v="2"/>
    <n v="2"/>
    <n v="2"/>
    <n v="2"/>
    <n v="2"/>
    <m/>
    <n v="13.7"/>
    <m/>
    <m/>
    <n v="48.93"/>
    <m/>
    <m/>
    <m/>
    <m/>
    <m/>
    <m/>
    <n v="148"/>
    <m/>
    <m/>
    <m/>
    <s v="Left corona radiata acute infract, chronic infracts in left CR,LN, RT thalamus RT LN"/>
    <m/>
    <s v="Normal"/>
    <m/>
    <n v="9"/>
    <n v="3"/>
    <n v="1"/>
    <n v="3"/>
    <n v="5"/>
    <m/>
    <n v="1"/>
    <n v="1"/>
    <n v="2"/>
    <m/>
    <n v="4"/>
    <n v="2"/>
    <n v="2"/>
    <n v="1"/>
    <n v="95"/>
    <n v="0"/>
    <n v="0"/>
    <n v="0"/>
    <n v="0"/>
    <n v="0"/>
    <n v="0"/>
    <n v="0"/>
    <n v="1"/>
    <n v="2"/>
    <n v="2"/>
    <n v="2"/>
    <n v="1"/>
    <n v="1"/>
    <n v="1"/>
    <x v="3"/>
    <n v="1"/>
    <n v="1"/>
    <n v="0"/>
  </r>
  <r>
    <s v="JF"/>
    <s v="Eknath Kudale"/>
    <x v="285"/>
    <n v="0"/>
    <x v="279"/>
    <x v="295"/>
    <n v="70"/>
    <n v="1"/>
    <m/>
    <m/>
    <d v="2022-11-12T00:00:00"/>
    <d v="2022-11-15T00:00:00"/>
    <n v="9881857664"/>
    <m/>
    <n v="4"/>
    <n v="2"/>
    <n v="2"/>
    <n v="2"/>
    <n v="1"/>
    <n v="2"/>
    <n v="2"/>
    <n v="2"/>
    <n v="2"/>
    <n v="2"/>
    <n v="2"/>
    <m/>
    <n v="14.2"/>
    <n v="41.2"/>
    <n v="97.7"/>
    <m/>
    <m/>
    <m/>
    <m/>
    <m/>
    <m/>
    <m/>
    <m/>
    <m/>
    <m/>
    <m/>
    <s v="Left frontoparieatal infract"/>
    <m/>
    <s v="Left ICA Curvical segmet thrombosis C4-C6"/>
    <m/>
    <n v="9"/>
    <n v="4"/>
    <n v="1"/>
    <n v="3"/>
    <n v="5"/>
    <m/>
    <n v="1"/>
    <n v="1"/>
    <n v="2"/>
    <m/>
    <n v="4"/>
    <n v="2"/>
    <n v="2"/>
    <n v="0"/>
    <n v="100"/>
    <n v="0"/>
    <n v="0"/>
    <n v="0"/>
    <n v="0"/>
    <n v="0"/>
    <n v="0"/>
    <n v="0"/>
    <n v="1"/>
    <n v="2"/>
    <n v="2"/>
    <n v="2"/>
    <n v="1"/>
    <n v="1"/>
    <n v="1"/>
    <x v="3"/>
    <n v="1"/>
    <n v="1"/>
    <s v="Left CCA plaque"/>
  </r>
  <r>
    <s v="ED"/>
    <s v="Bista Bidhya "/>
    <x v="286"/>
    <n v="0"/>
    <x v="279"/>
    <x v="296"/>
    <n v="40"/>
    <n v="2"/>
    <d v="2024-05-14T00:00:00"/>
    <d v="1899-12-30T07:00:00"/>
    <d v="2024-05-14T00:00:00"/>
    <d v="2024-05-15T00:00:00"/>
    <n v="9766095390"/>
    <m/>
    <n v="4"/>
    <n v="2"/>
    <n v="2"/>
    <n v="2"/>
    <n v="2"/>
    <n v="2"/>
    <n v="2"/>
    <n v="2"/>
    <n v="2"/>
    <n v="2"/>
    <n v="2"/>
    <m/>
    <n v="11.4"/>
    <n v="34.799999999999997"/>
    <n v="81"/>
    <m/>
    <m/>
    <n v="144"/>
    <n v="80"/>
    <n v="52"/>
    <n v="60"/>
    <n v="12"/>
    <m/>
    <m/>
    <m/>
    <m/>
    <s v="Left insular infract"/>
    <m/>
    <s v="Left MCA M3 thrombus"/>
    <m/>
    <n v="8"/>
    <n v="3"/>
    <n v="1"/>
    <n v="3"/>
    <n v="5"/>
    <m/>
    <n v="1"/>
    <m/>
    <n v="2"/>
    <m/>
    <n v="2"/>
    <n v="2"/>
    <n v="2"/>
    <n v="0"/>
    <n v="100"/>
    <n v="0"/>
    <n v="0"/>
    <n v="0"/>
    <n v="0"/>
    <n v="0"/>
    <n v="0"/>
    <n v="0"/>
    <n v="1"/>
    <n v="2"/>
    <n v="2"/>
    <n v="2"/>
    <n v="1"/>
    <n v="1"/>
    <n v="1"/>
    <x v="3"/>
    <n v="1"/>
    <n v="1"/>
    <n v="0"/>
  </r>
  <r>
    <s v="NT"/>
    <s v="Pradeep C Shah"/>
    <x v="287"/>
    <n v="0"/>
    <x v="279"/>
    <x v="297"/>
    <n v="68"/>
    <n v="1"/>
    <m/>
    <m/>
    <d v="2023-10-18T00:00:00"/>
    <d v="2023-10-19T00:00:00"/>
    <n v="9284723898"/>
    <n v="8806064862"/>
    <n v="6"/>
    <n v="1"/>
    <n v="2"/>
    <n v="2"/>
    <n v="2"/>
    <n v="2"/>
    <n v="2"/>
    <n v="2"/>
    <n v="2"/>
    <n v="2"/>
    <n v="1"/>
    <m/>
    <n v="16"/>
    <n v="48"/>
    <n v="93.1"/>
    <n v="63.86"/>
    <n v="6.3"/>
    <n v="134"/>
    <n v="83.6"/>
    <n v="38"/>
    <n v="62"/>
    <n v="12.4"/>
    <n v="148"/>
    <m/>
    <m/>
    <m/>
    <s v="Acute infarct involving left frontal periventricular white matter showing restricted diffusion"/>
    <m/>
    <m/>
    <m/>
    <n v="10"/>
    <m/>
    <n v="1"/>
    <m/>
    <m/>
    <m/>
    <n v="1"/>
    <n v="1"/>
    <n v="2"/>
    <m/>
    <m/>
    <m/>
    <m/>
    <n v="1"/>
    <n v="100"/>
    <n v="0"/>
    <n v="0"/>
    <n v="0"/>
    <n v="0"/>
    <n v="0"/>
    <n v="0"/>
    <n v="0"/>
    <n v="0"/>
    <n v="0"/>
    <n v="0"/>
    <n v="0"/>
    <n v="0"/>
    <n v="0"/>
    <n v="0"/>
    <x v="4"/>
    <n v="0"/>
    <n v="0"/>
    <n v="0"/>
  </r>
  <r>
    <s v="NW"/>
    <s v="Nitin Khollam "/>
    <x v="288"/>
    <n v="0"/>
    <x v="279"/>
    <x v="298"/>
    <n v="49"/>
    <n v="1"/>
    <d v="2023-08-19T00:00:00"/>
    <d v="1899-12-30T13:30:00"/>
    <d v="2023-08-19T00:00:00"/>
    <d v="2023-08-21T00:00:00"/>
    <n v="9545741914"/>
    <m/>
    <n v="2"/>
    <n v="1"/>
    <n v="2"/>
    <n v="2"/>
    <n v="1"/>
    <n v="2"/>
    <n v="2"/>
    <n v="2"/>
    <n v="2"/>
    <n v="2"/>
    <n v="2"/>
    <m/>
    <n v="16"/>
    <n v="46.5"/>
    <n v="93.2"/>
    <n v="95"/>
    <m/>
    <n v="172"/>
    <n v="122.8"/>
    <n v="26"/>
    <n v="116"/>
    <n v="23.2"/>
    <n v="148"/>
    <m/>
    <m/>
    <m/>
    <s v="Mild restricted diffusion inferior frontal gyrus involving the cortex and subcortical white matter small lacunar infract in posterior temporal lobe."/>
    <m/>
    <s v="Normal"/>
    <m/>
    <m/>
    <m/>
    <m/>
    <m/>
    <m/>
    <m/>
    <n v="1"/>
    <n v="1"/>
    <n v="2"/>
    <m/>
    <n v="4"/>
    <m/>
    <m/>
    <n v="0"/>
    <n v="100"/>
    <n v="0"/>
    <n v="0"/>
    <n v="0"/>
    <n v="0"/>
    <n v="0"/>
    <n v="0"/>
    <n v="0"/>
    <n v="0"/>
    <n v="0"/>
    <n v="0"/>
    <n v="0"/>
    <n v="0"/>
    <n v="0"/>
    <n v="0"/>
    <x v="4"/>
    <n v="0"/>
    <n v="0"/>
    <n v="0"/>
  </r>
  <r>
    <s v="NS"/>
    <s v="Pushpa Patil "/>
    <x v="289"/>
    <n v="0"/>
    <x v="279"/>
    <x v="299"/>
    <n v="71"/>
    <n v="2"/>
    <d v="2023-12-13T00:00:00"/>
    <d v="1899-12-30T18:00:00"/>
    <d v="2023-12-14T00:00:00"/>
    <d v="2023-12-15T00:00:00"/>
    <n v="7972906234"/>
    <n v="9881502399"/>
    <n v="2"/>
    <n v="2"/>
    <n v="1"/>
    <n v="2"/>
    <n v="2"/>
    <n v="2"/>
    <n v="2"/>
    <n v="2"/>
    <n v="2"/>
    <n v="2"/>
    <n v="2"/>
    <m/>
    <n v="13"/>
    <n v="39.6"/>
    <n v="90.6"/>
    <n v="4.83"/>
    <n v="7.5"/>
    <n v="132"/>
    <n v="64.8"/>
    <n v="49"/>
    <n v="91"/>
    <n v="18.2"/>
    <n v="1984"/>
    <m/>
    <m/>
    <m/>
    <s v="Left centrum semiovale infract"/>
    <m/>
    <s v="Normal"/>
    <m/>
    <n v="9"/>
    <m/>
    <m/>
    <m/>
    <m/>
    <m/>
    <n v="2"/>
    <n v="2"/>
    <n v="2"/>
    <m/>
    <m/>
    <n v="2"/>
    <n v="2"/>
    <n v="1"/>
    <n v="70"/>
    <n v="0"/>
    <n v="0"/>
    <n v="0"/>
    <n v="0"/>
    <n v="0"/>
    <n v="0"/>
    <n v="0"/>
    <n v="0"/>
    <n v="0"/>
    <n v="0"/>
    <n v="0"/>
    <n v="0"/>
    <n v="0"/>
    <n v="0"/>
    <x v="4"/>
    <n v="0"/>
    <n v="0"/>
    <n v="0"/>
  </r>
  <r>
    <s v="NP"/>
    <s v="Sunita Sanas"/>
    <x v="290"/>
    <n v="0"/>
    <x v="279"/>
    <x v="300"/>
    <n v="45"/>
    <n v="2"/>
    <d v="2023-12-15T00:00:00"/>
    <d v="1899-12-30T14:00:00"/>
    <d v="2023-12-15T00:00:00"/>
    <d v="2023-12-18T00:00:00"/>
    <n v="8698189557"/>
    <n v="8308907173"/>
    <n v="6"/>
    <n v="2"/>
    <n v="1"/>
    <n v="2"/>
    <n v="2"/>
    <n v="2"/>
    <n v="2"/>
    <n v="2"/>
    <n v="2"/>
    <n v="2"/>
    <n v="2"/>
    <m/>
    <n v="10.6"/>
    <n v="34.700000000000003"/>
    <n v="61.1"/>
    <m/>
    <n v="13.6"/>
    <n v="254"/>
    <n v="172.6"/>
    <n v="57"/>
    <n v="122"/>
    <n v="24.4"/>
    <m/>
    <m/>
    <m/>
    <m/>
    <s v="Rt fronto parietal infract"/>
    <m/>
    <s v="Mild luminal narrowing and inequality of cavernous portion Rt ICA"/>
    <m/>
    <m/>
    <m/>
    <m/>
    <m/>
    <m/>
    <m/>
    <n v="1"/>
    <n v="1"/>
    <n v="2"/>
    <m/>
    <n v="4"/>
    <m/>
    <m/>
    <n v="6"/>
    <m/>
    <n v="0"/>
    <n v="0"/>
    <n v="0"/>
    <n v="0"/>
    <n v="0"/>
    <n v="0"/>
    <n v="0"/>
    <n v="0"/>
    <n v="0"/>
    <n v="0"/>
    <n v="0"/>
    <n v="0"/>
    <n v="0"/>
    <n v="0"/>
    <x v="4"/>
    <n v="0"/>
    <n v="0"/>
    <n v="0"/>
  </r>
  <r>
    <s v="NX"/>
    <s v="Tambe Subhash"/>
    <x v="291"/>
    <n v="0"/>
    <x v="279"/>
    <x v="301"/>
    <n v="50"/>
    <n v="1"/>
    <m/>
    <m/>
    <d v="2022-11-12T00:00:00"/>
    <d v="2022-11-14T00:00:00"/>
    <n v="9822962829"/>
    <m/>
    <n v="4"/>
    <n v="2"/>
    <n v="1"/>
    <n v="1"/>
    <n v="1"/>
    <n v="2"/>
    <n v="2"/>
    <n v="2"/>
    <n v="2"/>
    <n v="2"/>
    <n v="2"/>
    <m/>
    <n v="9.6"/>
    <n v="30.4"/>
    <n v="66.5"/>
    <n v="12.36"/>
    <n v="8.6"/>
    <m/>
    <m/>
    <m/>
    <m/>
    <m/>
    <n v="2000"/>
    <m/>
    <m/>
    <m/>
    <s v="A/c infract left parrietal, occipital frontal temporal lobe"/>
    <m/>
    <s v="Left distal M1 segment severe stenosis, LMCA paucity"/>
    <m/>
    <n v="9"/>
    <n v="3"/>
    <n v="1"/>
    <n v="3"/>
    <n v="4"/>
    <m/>
    <n v="1"/>
    <n v="1"/>
    <n v="2"/>
    <m/>
    <n v="4"/>
    <n v="2"/>
    <n v="2"/>
    <n v="0"/>
    <n v="100"/>
    <n v="0"/>
    <n v="0"/>
    <n v="0"/>
    <n v="0"/>
    <n v="0"/>
    <n v="0"/>
    <n v="0"/>
    <n v="0"/>
    <n v="0"/>
    <n v="0"/>
    <n v="0"/>
    <n v="0"/>
    <n v="0"/>
    <n v="0"/>
    <x v="4"/>
    <n v="0"/>
    <n v="0"/>
    <n v="0"/>
  </r>
  <r>
    <s v="NQ"/>
    <s v="Swaroop Kadam"/>
    <x v="292"/>
    <n v="0"/>
    <x v="279"/>
    <x v="302"/>
    <n v="18"/>
    <n v="1"/>
    <m/>
    <m/>
    <d v="2022-09-08T00:00:00"/>
    <d v="2022-09-09T00:00:00"/>
    <n v="8459425016"/>
    <m/>
    <n v="18"/>
    <n v="2"/>
    <n v="2"/>
    <n v="2"/>
    <n v="2"/>
    <n v="2"/>
    <n v="2"/>
    <n v="2"/>
    <n v="2"/>
    <n v="2"/>
    <n v="2"/>
    <m/>
    <n v="14.3"/>
    <n v="43.5"/>
    <n v="80.400000000000006"/>
    <n v="17.22"/>
    <n v="5.6"/>
    <n v="132"/>
    <n v="69.400000000000006"/>
    <n v="36"/>
    <n v="133"/>
    <n v="17.600000000000001"/>
    <n v="2000"/>
    <m/>
    <m/>
    <m/>
    <s v="Rt ACA inf watershed infract"/>
    <m/>
    <m/>
    <m/>
    <n v="9"/>
    <m/>
    <m/>
    <m/>
    <m/>
    <m/>
    <n v="1"/>
    <n v="1"/>
    <n v="2"/>
    <m/>
    <n v="4"/>
    <m/>
    <m/>
    <n v="1"/>
    <n v="85"/>
    <n v="0"/>
    <n v="0"/>
    <n v="0"/>
    <n v="0"/>
    <n v="0"/>
    <n v="0"/>
    <n v="0"/>
    <n v="0"/>
    <n v="0"/>
    <n v="0"/>
    <n v="0"/>
    <n v="0"/>
    <n v="0"/>
    <n v="0"/>
    <x v="4"/>
    <n v="0"/>
    <n v="0"/>
    <n v="0"/>
  </r>
  <r>
    <s v="NR"/>
    <s v="Bhalerao Prabhakar "/>
    <x v="293"/>
    <n v="0"/>
    <x v="279"/>
    <x v="303"/>
    <n v="75"/>
    <n v="1"/>
    <d v="2022-09-14T00:00:00"/>
    <d v="1899-12-30T08:30:00"/>
    <d v="2022-09-16T00:00:00"/>
    <d v="2022-09-17T00:00:00"/>
    <n v="9767392022"/>
    <n v="9623543863"/>
    <n v="21"/>
    <n v="1"/>
    <n v="1"/>
    <n v="2"/>
    <n v="2"/>
    <n v="2"/>
    <n v="2"/>
    <n v="1"/>
    <n v="1"/>
    <n v="2"/>
    <n v="2"/>
    <m/>
    <n v="13.4"/>
    <m/>
    <m/>
    <n v="32"/>
    <n v="7.8"/>
    <n v="96"/>
    <n v="36.6"/>
    <n v="34"/>
    <n v="127"/>
    <n v="25.4"/>
    <m/>
    <m/>
    <m/>
    <m/>
    <s v="Left MCA infract (maligrant) 3.1mm MLS"/>
    <m/>
    <m/>
    <m/>
    <n v="3"/>
    <m/>
    <m/>
    <m/>
    <m/>
    <m/>
    <n v="2"/>
    <n v="2"/>
    <n v="2"/>
    <m/>
    <n v="1"/>
    <n v="2"/>
    <n v="2"/>
    <n v="5"/>
    <n v="20"/>
    <n v="0"/>
    <n v="0"/>
    <n v="0"/>
    <n v="0"/>
    <n v="0"/>
    <n v="0"/>
    <n v="0"/>
    <n v="0"/>
    <n v="0"/>
    <n v="0"/>
    <n v="0"/>
    <n v="0"/>
    <n v="0"/>
    <n v="0"/>
    <x v="4"/>
    <n v="0"/>
    <n v="0"/>
    <n v="0"/>
  </r>
  <r>
    <s v="NY"/>
    <s v="Daji Mestry"/>
    <x v="294"/>
    <n v="0"/>
    <x v="279"/>
    <x v="304"/>
    <n v="69"/>
    <n v="1"/>
    <m/>
    <m/>
    <d v="2023-04-03T00:00:00"/>
    <m/>
    <n v="9172730815"/>
    <m/>
    <n v="5"/>
    <n v="1"/>
    <n v="1"/>
    <n v="2"/>
    <n v="1"/>
    <n v="2"/>
    <n v="2"/>
    <n v="2"/>
    <n v="2"/>
    <n v="2"/>
    <n v="2"/>
    <m/>
    <n v="13.5"/>
    <n v="40.700000000000003"/>
    <m/>
    <n v="12.05"/>
    <n v="7.3"/>
    <n v="192"/>
    <n v="129.80000000000001"/>
    <n v="42"/>
    <n v="101"/>
    <m/>
    <m/>
    <m/>
    <m/>
    <m/>
    <s v="Moderate narrowing in petrol and cavernous segments of left ICA moderate severe narrowing in left CCA wi"/>
    <m/>
    <m/>
    <m/>
    <m/>
    <m/>
    <m/>
    <m/>
    <m/>
    <m/>
    <n v="1"/>
    <n v="1"/>
    <n v="2"/>
    <m/>
    <n v="4"/>
    <n v="2"/>
    <n v="2"/>
    <n v="0"/>
    <n v="100"/>
    <n v="0"/>
    <n v="0"/>
    <n v="0"/>
    <n v="0"/>
    <n v="0"/>
    <n v="0"/>
    <n v="0"/>
    <n v="0"/>
    <n v="0"/>
    <n v="0"/>
    <n v="0"/>
    <n v="0"/>
    <n v="0"/>
    <n v="0"/>
    <x v="4"/>
    <n v="0"/>
    <n v="0"/>
    <n v="0"/>
  </r>
  <r>
    <s v="NV"/>
    <s v="Aditya Pawar"/>
    <x v="295"/>
    <n v="0"/>
    <x v="279"/>
    <x v="305"/>
    <n v="20"/>
    <n v="1"/>
    <d v="2023-02-11T00:00:00"/>
    <m/>
    <d v="2023-02-12T00:00:00"/>
    <d v="2023-02-15T00:00:00"/>
    <n v="7841076095"/>
    <n v="8530815139"/>
    <m/>
    <n v="2"/>
    <n v="2"/>
    <n v="2"/>
    <n v="2"/>
    <n v="2"/>
    <n v="2"/>
    <n v="2"/>
    <n v="2"/>
    <n v="2"/>
    <n v="2"/>
    <s v="Hyperhomocysteinemia"/>
    <n v="14.3"/>
    <m/>
    <m/>
    <n v="10"/>
    <m/>
    <n v="172"/>
    <n v="104"/>
    <n v="42"/>
    <n v="149"/>
    <n v="29"/>
    <n v="148"/>
    <m/>
    <m/>
    <m/>
    <s v="A/c infarct long insular artery rt corona radiata "/>
    <m/>
    <m/>
    <m/>
    <m/>
    <m/>
    <m/>
    <m/>
    <m/>
    <m/>
    <n v="1"/>
    <n v="2"/>
    <n v="2"/>
    <m/>
    <m/>
    <n v="2"/>
    <n v="2"/>
    <n v="0"/>
    <n v="100"/>
    <n v="0"/>
    <n v="0"/>
    <n v="0"/>
    <n v="0"/>
    <n v="0"/>
    <n v="0"/>
    <n v="0"/>
    <n v="0"/>
    <n v="0"/>
    <n v="0"/>
    <n v="0"/>
    <n v="0"/>
    <n v="0"/>
    <n v="0"/>
    <x v="4"/>
    <n v="0"/>
    <n v="0"/>
    <n v="0"/>
  </r>
  <r>
    <s v="NZ"/>
    <s v="Rohit Pawar"/>
    <x v="296"/>
    <n v="0"/>
    <x v="279"/>
    <x v="306"/>
    <n v="30"/>
    <n v="1"/>
    <d v="2024-01-01T00:00:00"/>
    <m/>
    <d v="2024-01-04T00:00:00"/>
    <d v="2024-01-05T00:00:00"/>
    <n v="7972207055"/>
    <n v="9552292312"/>
    <m/>
    <n v="1"/>
    <n v="2"/>
    <n v="1"/>
    <n v="2"/>
    <n v="2"/>
    <n v="2"/>
    <n v="2"/>
    <n v="2"/>
    <n v="2"/>
    <n v="2"/>
    <s v="USG- right sided hydroureteronephrosis"/>
    <n v="16.899999999999999"/>
    <n v="52.4"/>
    <n v="82.1"/>
    <n v="62.86"/>
    <m/>
    <n v="180"/>
    <n v="116"/>
    <n v="42"/>
    <n v="108"/>
    <n v="21.6"/>
    <n v="401"/>
    <m/>
    <s v="CSF- glucosse 58 cells-4 protein 56.3 cells-4 ESR 5 CRP 19"/>
    <m/>
    <s v="Acute AIS in R corona radiata"/>
    <m/>
    <s v="Slow flow in R V2 artery"/>
    <m/>
    <n v="10"/>
    <m/>
    <m/>
    <m/>
    <m/>
    <m/>
    <n v="1"/>
    <n v="1"/>
    <n v="2"/>
    <m/>
    <m/>
    <n v="2"/>
    <n v="2"/>
    <n v="0"/>
    <n v="100"/>
    <n v="0"/>
    <n v="0"/>
    <n v="0"/>
    <n v="0"/>
    <n v="0"/>
    <n v="0"/>
    <n v="0"/>
    <n v="0"/>
    <n v="0"/>
    <n v="0"/>
    <n v="0"/>
    <n v="0"/>
    <n v="0"/>
    <n v="0"/>
    <x v="4"/>
    <n v="0"/>
    <n v="0"/>
    <n v="0"/>
  </r>
  <r>
    <m/>
    <s v="Rajendra Kamthe"/>
    <x v="11"/>
    <e v="#N/A"/>
    <x v="279"/>
    <x v="307"/>
    <n v="50"/>
    <n v="1"/>
    <m/>
    <m/>
    <d v="2023-03-24T00:00:00"/>
    <d v="2023-03-24T00:00:00"/>
    <n v="9850091853"/>
    <m/>
    <m/>
    <n v="1"/>
    <n v="2"/>
    <n v="2"/>
    <n v="2"/>
    <n v="2"/>
    <n v="2"/>
    <n v="2"/>
    <n v="1"/>
    <n v="2"/>
    <n v="2"/>
    <m/>
    <n v="16.2"/>
    <n v="48.6"/>
    <n v="94"/>
    <n v="33"/>
    <m/>
    <m/>
    <m/>
    <m/>
    <m/>
    <m/>
    <n v="2000"/>
    <m/>
    <m/>
    <m/>
    <s v="Acute infract RT FTP region with hemorrhagic transformation"/>
    <m/>
    <m/>
    <m/>
    <m/>
    <m/>
    <m/>
    <m/>
    <m/>
    <m/>
    <n v="1"/>
    <n v="2"/>
    <n v="2"/>
    <m/>
    <n v="1"/>
    <m/>
    <m/>
    <n v="4"/>
    <n v="40"/>
    <e v="#N/A"/>
    <e v="#N/A"/>
    <e v="#N/A"/>
    <m/>
    <m/>
    <m/>
    <m/>
    <m/>
    <m/>
    <m/>
    <m/>
    <m/>
    <m/>
    <m/>
    <x v="4"/>
    <m/>
    <m/>
    <m/>
  </r>
  <r>
    <m/>
    <s v="Namrata Jadhav"/>
    <x v="11"/>
    <e v="#N/A"/>
    <x v="279"/>
    <x v="308"/>
    <n v="32"/>
    <n v="2"/>
    <d v="2024-03-02T00:00:00"/>
    <d v="1899-12-30T23:30:00"/>
    <d v="2024-03-03T00:00:00"/>
    <d v="2024-03-06T00:00:00"/>
    <n v="9834515317"/>
    <m/>
    <n v="18"/>
    <n v="1"/>
    <n v="2"/>
    <n v="2"/>
    <n v="2"/>
    <n v="2"/>
    <n v="2"/>
    <n v="2"/>
    <n v="2"/>
    <n v="2"/>
    <n v="2"/>
    <m/>
    <n v="9"/>
    <n v="29.8"/>
    <n v="71.099999999999994"/>
    <n v="14.11"/>
    <m/>
    <n v="159"/>
    <n v="114.4"/>
    <n v="27"/>
    <n v="88"/>
    <n v="17.600000000000001"/>
    <n v="2000"/>
    <m/>
    <m/>
    <m/>
    <s v="Left G-C region left insula, left fronto parietal lobe and left temporo occipital lobe (left MCA region)"/>
    <m/>
    <s v="Complete occlusion of left ICA and MCA left CCA shows faint flow with significant narrowing at origin of left CCA from arch of aorta"/>
    <m/>
    <n v="6"/>
    <n v="2"/>
    <n v="2"/>
    <n v="2"/>
    <m/>
    <m/>
    <n v="1"/>
    <n v="1"/>
    <n v="2"/>
    <m/>
    <m/>
    <n v="2"/>
    <n v="2"/>
    <n v="0"/>
    <n v="100"/>
    <e v="#N/A"/>
    <e v="#N/A"/>
    <e v="#N/A"/>
    <m/>
    <m/>
    <m/>
    <m/>
    <m/>
    <m/>
    <m/>
    <m/>
    <m/>
    <m/>
    <m/>
    <x v="4"/>
    <m/>
    <m/>
    <m/>
  </r>
  <r>
    <m/>
    <s v="Tanaji Vidhate"/>
    <x v="11"/>
    <e v="#N/A"/>
    <x v="279"/>
    <x v="309"/>
    <n v="55"/>
    <n v="1"/>
    <d v="2024-06-27T00:00:00"/>
    <d v="1899-12-30T04:00:00"/>
    <d v="2024-06-28T00:00:00"/>
    <d v="2024-06-30T00:00:00"/>
    <n v="8262962259"/>
    <m/>
    <m/>
    <n v="1"/>
    <n v="1"/>
    <n v="2"/>
    <n v="2"/>
    <n v="2"/>
    <n v="2"/>
    <n v="2"/>
    <n v="1"/>
    <n v="2"/>
    <n v="2"/>
    <m/>
    <n v="12"/>
    <n v="36.6"/>
    <n v="89.5"/>
    <n v="18.36"/>
    <n v="9.3000000000000007"/>
    <m/>
    <m/>
    <m/>
    <m/>
    <m/>
    <n v="2000"/>
    <m/>
    <m/>
    <m/>
    <s v="Right MCA and ACA infract with mass effect and transfalcine herniation"/>
    <m/>
    <m/>
    <m/>
    <n v="9"/>
    <m/>
    <m/>
    <m/>
    <m/>
    <m/>
    <n v="1"/>
    <n v="1"/>
    <n v="2"/>
    <m/>
    <m/>
    <n v="2"/>
    <n v="2"/>
    <n v="6"/>
    <m/>
    <e v="#N/A"/>
    <e v="#N/A"/>
    <e v="#N/A"/>
    <m/>
    <m/>
    <m/>
    <m/>
    <m/>
    <m/>
    <m/>
    <m/>
    <m/>
    <m/>
    <m/>
    <x v="4"/>
    <m/>
    <m/>
    <m/>
  </r>
  <r>
    <m/>
    <s v="Poonam Mutha "/>
    <x v="11"/>
    <e v="#N/A"/>
    <x v="279"/>
    <x v="310"/>
    <n v="30"/>
    <n v="2"/>
    <d v="2024-06-02T00:00:00"/>
    <d v="1899-12-30T11:30:00"/>
    <d v="2024-06-02T00:00:00"/>
    <d v="2024-06-25T00:00:00"/>
    <n v="8978176840"/>
    <n v="9096500162"/>
    <n v="19"/>
    <n v="2"/>
    <n v="2"/>
    <n v="2"/>
    <n v="2"/>
    <n v="2"/>
    <n v="2"/>
    <n v="2"/>
    <n v="2"/>
    <n v="2"/>
    <n v="2"/>
    <m/>
    <n v="10.3"/>
    <n v="33.200000000000003"/>
    <n v="75.099999999999994"/>
    <n v="5.5"/>
    <m/>
    <n v="117"/>
    <n v="62.6"/>
    <n v="39"/>
    <n v="77"/>
    <n v="15.4"/>
    <n v="2000"/>
    <m/>
    <m/>
    <m/>
    <s v="Left superior division MCA infract"/>
    <m/>
    <s v="Left terminal ICA occlusion"/>
    <m/>
    <n v="6"/>
    <n v="2"/>
    <n v="2"/>
    <n v="3"/>
    <n v="4"/>
    <m/>
    <n v="1"/>
    <n v="2"/>
    <n v="1"/>
    <n v="2"/>
    <m/>
    <n v="1"/>
    <n v="2"/>
    <n v="2"/>
    <n v="35"/>
    <e v="#N/A"/>
    <e v="#N/A"/>
    <e v="#N/A"/>
    <m/>
    <m/>
    <m/>
    <m/>
    <m/>
    <m/>
    <m/>
    <m/>
    <m/>
    <m/>
    <m/>
    <x v="4"/>
    <m/>
    <m/>
    <m/>
  </r>
  <r>
    <m/>
    <s v="Narayan Dajji"/>
    <x v="11"/>
    <e v="#N/A"/>
    <x v="279"/>
    <x v="311"/>
    <n v="69"/>
    <n v="1"/>
    <d v="2024-07-04T00:00:00"/>
    <d v="1899-12-30T22:45:00"/>
    <d v="2024-07-04T00:00:00"/>
    <m/>
    <n v="9028483248"/>
    <n v="9273305059"/>
    <n v="8"/>
    <n v="2"/>
    <n v="2"/>
    <n v="2"/>
    <n v="1"/>
    <n v="1"/>
    <n v="2"/>
    <n v="2"/>
    <n v="2"/>
    <n v="2"/>
    <n v="2"/>
    <m/>
    <n v="14.4"/>
    <m/>
    <n v="42.8"/>
    <m/>
    <m/>
    <m/>
    <m/>
    <m/>
    <m/>
    <m/>
    <m/>
    <n v="162"/>
    <m/>
    <m/>
    <s v="Rt centrum semiovale infract"/>
    <m/>
    <s v="Rt M4 cutoff LVO"/>
    <m/>
    <n v="9"/>
    <n v="5"/>
    <n v="1"/>
    <n v="3"/>
    <n v="5"/>
    <m/>
    <n v="1"/>
    <n v="2"/>
    <n v="2"/>
    <n v="2"/>
    <m/>
    <n v="2"/>
    <n v="2"/>
    <n v="0"/>
    <m/>
    <e v="#N/A"/>
    <e v="#N/A"/>
    <e v="#N/A"/>
    <m/>
    <m/>
    <m/>
    <m/>
    <m/>
    <m/>
    <m/>
    <m/>
    <m/>
    <m/>
    <m/>
    <x v="4"/>
    <m/>
    <m/>
    <m/>
  </r>
  <r>
    <m/>
    <s v="Shakuntala Shelar"/>
    <x v="11"/>
    <e v="#N/A"/>
    <x v="279"/>
    <x v="312"/>
    <n v="83"/>
    <n v="2"/>
    <d v="2024-03-31T00:00:00"/>
    <d v="1899-12-30T23:00:00"/>
    <d v="2024-04-01T00:00:00"/>
    <m/>
    <n v="9423013112"/>
    <n v="9921366341"/>
    <n v="8"/>
    <n v="2"/>
    <n v="2"/>
    <n v="2"/>
    <n v="2"/>
    <n v="2"/>
    <n v="2"/>
    <n v="2"/>
    <n v="2"/>
    <n v="2"/>
    <n v="2"/>
    <s v="Ca breast. 2019 post of mastectomy"/>
    <n v="12.4"/>
    <n v="38.5"/>
    <n v="96"/>
    <n v="39.909999999999997"/>
    <n v="6.1"/>
    <n v="190"/>
    <n v="126.2"/>
    <n v="48"/>
    <n v="79"/>
    <n v="15.8"/>
    <n v="148"/>
    <m/>
    <m/>
    <m/>
    <s v="Left posterior limb of internal capsule acute infract"/>
    <m/>
    <s v="Normal"/>
    <m/>
    <n v="9"/>
    <n v="4"/>
    <n v="1"/>
    <n v="3"/>
    <n v="5"/>
    <m/>
    <n v="1"/>
    <n v="1"/>
    <n v="2"/>
    <m/>
    <m/>
    <n v="2"/>
    <n v="2"/>
    <n v="0"/>
    <n v="100"/>
    <e v="#N/A"/>
    <e v="#N/A"/>
    <e v="#N/A"/>
    <m/>
    <m/>
    <m/>
    <m/>
    <m/>
    <m/>
    <m/>
    <m/>
    <m/>
    <m/>
    <m/>
    <x v="7"/>
    <m/>
    <m/>
    <m/>
  </r>
  <r>
    <m/>
    <s v="Arun Rale"/>
    <x v="11"/>
    <e v="#N/A"/>
    <x v="279"/>
    <x v="313"/>
    <n v="63"/>
    <n v="1"/>
    <d v="2024-06-28T00:00:00"/>
    <d v="1899-12-30T08:00:00"/>
    <d v="2024-06-30T00:00:00"/>
    <d v="2024-07-05T00:00:00"/>
    <n v="7507603491"/>
    <m/>
    <n v="14"/>
    <n v="1"/>
    <n v="2"/>
    <n v="2"/>
    <n v="2"/>
    <n v="2"/>
    <n v="2"/>
    <n v="2"/>
    <n v="2"/>
    <n v="2"/>
    <n v="2"/>
    <m/>
    <n v="13.3"/>
    <m/>
    <m/>
    <n v="14.94"/>
    <n v="5.8"/>
    <n v="212"/>
    <n v="123.4"/>
    <n v="66"/>
    <n v="113"/>
    <n v="22.6"/>
    <m/>
    <m/>
    <m/>
    <m/>
    <s v="Left MCA infract (insular infract)"/>
    <m/>
    <s v="Left terminal ICA stenosis 50%"/>
    <m/>
    <n v="8"/>
    <n v="2"/>
    <n v="1"/>
    <n v="4"/>
    <n v="5"/>
    <m/>
    <n v="1"/>
    <n v="1"/>
    <n v="2"/>
    <m/>
    <n v="4"/>
    <n v="2"/>
    <n v="2"/>
    <n v="1"/>
    <n v="95"/>
    <e v="#N/A"/>
    <e v="#N/A"/>
    <e v="#N/A"/>
    <m/>
    <m/>
    <m/>
    <m/>
    <m/>
    <m/>
    <m/>
    <m/>
    <m/>
    <m/>
    <m/>
    <x v="7"/>
    <m/>
    <m/>
    <m/>
  </r>
  <r>
    <m/>
    <s v="Inayat Shaikh "/>
    <x v="11"/>
    <e v="#N/A"/>
    <x v="279"/>
    <x v="314"/>
    <n v="84"/>
    <n v="1"/>
    <d v="2024-07-01T00:00:00"/>
    <d v="1899-12-30T00:30:00"/>
    <d v="2024-07-01T00:00:00"/>
    <d v="2024-07-05T00:00:00"/>
    <m/>
    <m/>
    <n v="11"/>
    <n v="1"/>
    <n v="2"/>
    <n v="2"/>
    <n v="2"/>
    <n v="2"/>
    <n v="2"/>
    <n v="1"/>
    <n v="2"/>
    <n v="2"/>
    <n v="2"/>
    <m/>
    <n v="13.5"/>
    <n v="40.1"/>
    <n v="82.1"/>
    <n v="13.07"/>
    <m/>
    <m/>
    <m/>
    <m/>
    <m/>
    <m/>
    <n v="547"/>
    <m/>
    <m/>
    <m/>
    <s v="Right frontal (MCA) occlusion right hyperdense MCA sign"/>
    <m/>
    <s v="Rt ICA and right M1 occlusion (long segment) 100% occlusion at origin"/>
    <m/>
    <n v="8"/>
    <n v="5"/>
    <n v="1"/>
    <n v="3"/>
    <n v="5"/>
    <m/>
    <n v="1"/>
    <m/>
    <n v="1"/>
    <n v="2"/>
    <m/>
    <n v="1"/>
    <n v="2"/>
    <n v="0"/>
    <n v="95"/>
    <e v="#N/A"/>
    <e v="#N/A"/>
    <e v="#N/A"/>
    <m/>
    <m/>
    <m/>
    <m/>
    <m/>
    <m/>
    <m/>
    <m/>
    <m/>
    <m/>
    <m/>
    <x v="7"/>
    <m/>
    <m/>
    <m/>
  </r>
  <r>
    <s v="OB"/>
    <s v="Suresh Pathak"/>
    <x v="297"/>
    <n v="0"/>
    <x v="280"/>
    <x v="315"/>
    <n v="67"/>
    <n v="1"/>
    <s v="26-08-2024"/>
    <d v="1899-12-30T13:00:00"/>
    <s v="28-08-2024"/>
    <s v="30-08-2024"/>
    <n v="9823089591"/>
    <m/>
    <n v="3"/>
    <n v="1"/>
    <n v="1"/>
    <n v="2"/>
    <n v="2"/>
    <n v="2"/>
    <n v="2"/>
    <n v="2"/>
    <n v="2"/>
    <n v="2"/>
    <n v="2"/>
    <s v="Hypothyroid"/>
    <n v="10.8"/>
    <n v="34.6"/>
    <n v="78.2"/>
    <n v="6.6"/>
    <m/>
    <n v="186"/>
    <n v="110.6"/>
    <n v="36"/>
    <n v="197"/>
    <n v="39.4"/>
    <n v="2000"/>
    <m/>
    <m/>
    <m/>
    <s v="(Outside MRI) Right parietal infract "/>
    <m/>
    <m/>
    <m/>
    <m/>
    <m/>
    <m/>
    <m/>
    <m/>
    <m/>
    <n v="1"/>
    <n v="1"/>
    <n v="2"/>
    <m/>
    <m/>
    <n v="2"/>
    <n v="2"/>
    <n v="0"/>
    <n v="100"/>
    <s v="outside scan"/>
    <n v="0"/>
    <n v="0"/>
    <n v="0"/>
    <n v="0"/>
    <n v="0"/>
    <n v="0"/>
    <n v="0"/>
    <n v="0"/>
    <n v="0"/>
    <n v="0"/>
    <n v="0"/>
    <n v="0"/>
    <n v="0"/>
    <x v="4"/>
    <n v="0"/>
    <n v="0"/>
    <n v="0"/>
  </r>
  <r>
    <s v="AE"/>
    <s v="Ramchandra Dhumal "/>
    <x v="298"/>
    <n v="0"/>
    <x v="281"/>
    <x v="316"/>
    <n v="50"/>
    <n v="1"/>
    <d v="2023-01-17T00:00:00"/>
    <d v="1899-12-30T23:30:00"/>
    <d v="2023-01-18T00:00:00"/>
    <d v="2023-02-02T00:00:00"/>
    <n v="9552882888"/>
    <m/>
    <n v="19"/>
    <n v="2"/>
    <n v="2"/>
    <n v="2"/>
    <n v="2"/>
    <n v="2"/>
    <n v="2"/>
    <n v="2"/>
    <n v="2"/>
    <n v="2"/>
    <n v="2"/>
    <m/>
    <n v="14"/>
    <n v="45.6"/>
    <n v="84.1"/>
    <n v="22"/>
    <n v="5.5"/>
    <m/>
    <m/>
    <m/>
    <m/>
    <m/>
    <n v="171"/>
    <m/>
    <m/>
    <m/>
    <s v="Left GC and left FTPO infrat hyperdense left MCA sign"/>
    <m/>
    <s v="Non opacification left ICA from origin s/o occlusion/ thrombosis  Non opacification of M1, M2, prox"/>
    <m/>
    <n v="5"/>
    <n v="3"/>
    <n v="1"/>
    <n v="3"/>
    <n v="5"/>
    <m/>
    <n v="1"/>
    <n v="2"/>
    <n v="2"/>
    <m/>
    <m/>
    <n v="1"/>
    <m/>
    <n v="4"/>
    <n v="35"/>
    <m/>
    <m/>
    <m/>
    <m/>
    <m/>
    <m/>
    <m/>
    <n v="0"/>
    <n v="0"/>
    <n v="0"/>
    <n v="0"/>
    <n v="0"/>
    <n v="0"/>
    <n v="0"/>
    <x v="5"/>
    <n v="0"/>
    <n v="1"/>
    <m/>
  </r>
  <r>
    <s v="OI"/>
    <s v="Ratnmala A Gaikwad"/>
    <x v="1"/>
    <n v="0"/>
    <x v="281"/>
    <x v="1"/>
    <n v="68"/>
    <n v="2"/>
    <d v="2024-04-13T00:00:00"/>
    <d v="1899-12-30T10:00:00"/>
    <d v="2024-04-14T00:00:00"/>
    <d v="2024-04-16T00:00:00"/>
    <n v="9021100108"/>
    <m/>
    <n v="0"/>
    <n v="1"/>
    <n v="2"/>
    <n v="2"/>
    <n v="2"/>
    <n v="2"/>
    <n v="2"/>
    <n v="2"/>
    <n v="2"/>
    <n v="2"/>
    <n v="2"/>
    <s v="Hypothyroid "/>
    <n v="10.8"/>
    <n v="33.9"/>
    <n v="13.6"/>
    <n v="6.18"/>
    <n v="6.9"/>
    <n v="239"/>
    <n v="156.4"/>
    <n v="48"/>
    <n v="173"/>
    <n v="34.6"/>
    <n v="1560"/>
    <m/>
    <m/>
    <m/>
    <s v="Right MCA PCA watershed infract "/>
    <m/>
    <s v="Non opacification of V4 segement of left vetebral artery"/>
    <m/>
    <n v="10"/>
    <n v="3"/>
    <n v="1"/>
    <n v="3"/>
    <n v="5"/>
    <m/>
    <n v="1"/>
    <n v="1"/>
    <n v="2"/>
    <m/>
    <m/>
    <n v="2"/>
    <n v="2"/>
    <n v="2"/>
    <n v="70"/>
    <n v="1"/>
    <n v="2"/>
    <n v="2"/>
    <n v="0"/>
    <n v="1"/>
    <n v="1"/>
    <n v="1"/>
    <n v="0"/>
    <n v="0"/>
    <n v="0"/>
    <n v="0"/>
    <n v="0"/>
    <n v="0"/>
    <n v="0"/>
    <x v="1"/>
    <n v="1"/>
    <n v="1"/>
    <n v="0"/>
  </r>
  <r>
    <s v="EA"/>
    <s v="Madhav Belvakar"/>
    <x v="2"/>
    <n v="0"/>
    <x v="281"/>
    <x v="2"/>
    <n v="75"/>
    <n v="1"/>
    <d v="2024-04-06T00:00:00"/>
    <d v="1899-12-30T02:00:00"/>
    <d v="2024-04-10T00:00:00"/>
    <d v="2024-04-11T00:00:00"/>
    <n v="9765965928"/>
    <m/>
    <n v="2"/>
    <n v="1"/>
    <n v="1"/>
    <n v="2"/>
    <n v="2"/>
    <n v="2"/>
    <n v="2"/>
    <n v="2"/>
    <n v="2"/>
    <n v="2"/>
    <n v="2"/>
    <m/>
    <n v="11.2"/>
    <n v="36.9"/>
    <n v="67.7"/>
    <n v="28"/>
    <n v="10.7"/>
    <n v="152"/>
    <n v="98.8"/>
    <n v="31"/>
    <n v="111"/>
    <n v="21.2"/>
    <n v="345"/>
    <m/>
    <m/>
    <m/>
    <s v="Rt corona a/c infract with hemorrhagic transformation "/>
    <m/>
    <s v="A/c thrombus in Rt pulmonary artery brain angio N critical stenosis at origin of left ICA. left sigmoid sinus thrombosis"/>
    <m/>
    <n v="9"/>
    <n v="5"/>
    <n v="1"/>
    <n v="3"/>
    <n v="5"/>
    <m/>
    <n v="1"/>
    <m/>
    <n v="2"/>
    <m/>
    <n v="3"/>
    <n v="2"/>
    <n v="2"/>
    <n v="0"/>
    <n v="95"/>
    <n v="1"/>
    <n v="1"/>
    <n v="2"/>
    <n v="2"/>
    <n v="1"/>
    <n v="1"/>
    <n v="1"/>
    <n v="0"/>
    <n v="0"/>
    <n v="0"/>
    <n v="0"/>
    <n v="0"/>
    <n v="0"/>
    <n v="0"/>
    <x v="2"/>
    <n v="1"/>
    <n v="1"/>
    <s v="Left CCA plaque"/>
  </r>
  <r>
    <s v="JG"/>
    <s v="Shivaram B Shinde"/>
    <x v="299"/>
    <n v="0"/>
    <x v="281"/>
    <x v="317"/>
    <n v="77"/>
    <n v="1"/>
    <d v="2023-10-18T00:00:00"/>
    <d v="1899-12-30T02:00:00"/>
    <d v="2023-10-18T00:00:00"/>
    <d v="2023-10-19T00:00:00"/>
    <n v="9922102823"/>
    <n v="9665519418"/>
    <n v="3"/>
    <n v="2"/>
    <n v="1"/>
    <n v="2"/>
    <n v="2"/>
    <n v="2"/>
    <n v="2"/>
    <n v="2"/>
    <n v="2"/>
    <n v="2"/>
    <n v="1"/>
    <m/>
    <n v="12.6"/>
    <n v="39.4"/>
    <n v="88.8"/>
    <n v="13.15"/>
    <n v="7.9"/>
    <n v="172"/>
    <n v="114"/>
    <n v="38"/>
    <n v="100"/>
    <n v="20"/>
    <n v="208"/>
    <m/>
    <s v="creatinine 1.5"/>
    <m/>
    <s v="Right corona radiata infarct and left centrum semiovale acute infarct"/>
    <m/>
    <s v="Normal"/>
    <m/>
    <m/>
    <m/>
    <m/>
    <m/>
    <m/>
    <m/>
    <n v="1"/>
    <n v="1"/>
    <n v="2"/>
    <m/>
    <m/>
    <m/>
    <m/>
    <m/>
    <m/>
    <n v="1"/>
    <n v="2"/>
    <n v="2"/>
    <n v="2"/>
    <n v="1"/>
    <n v="1"/>
    <n v="1"/>
    <n v="0"/>
    <n v="0"/>
    <n v="0"/>
    <n v="0"/>
    <n v="0"/>
    <n v="0"/>
    <n v="0"/>
    <x v="3"/>
    <n v="1"/>
    <n v="1"/>
    <n v="0"/>
  </r>
  <r>
    <s v="OE"/>
    <s v="Ashok B Choudhari"/>
    <x v="300"/>
    <n v="0"/>
    <x v="281"/>
    <x v="318"/>
    <n v="61"/>
    <n v="1"/>
    <d v="2023-09-12T00:00:00"/>
    <d v="1899-12-30T19:00:00"/>
    <d v="2023-09-12T00:00:00"/>
    <d v="2023-09-13T00:00:00"/>
    <n v="9767601653"/>
    <m/>
    <n v="1"/>
    <n v="1"/>
    <n v="2"/>
    <n v="1"/>
    <n v="2"/>
    <n v="2"/>
    <n v="2"/>
    <n v="2"/>
    <n v="1"/>
    <n v="2"/>
    <n v="1"/>
    <s v="On T warfarin 3 mg OD"/>
    <n v="12.2"/>
    <n v="37.700000000000003"/>
    <n v="79.7"/>
    <n v="10.33"/>
    <n v="6.7"/>
    <n v="207"/>
    <n v="124"/>
    <n v="47"/>
    <n v="180"/>
    <n v="36"/>
    <n v="453"/>
    <m/>
    <m/>
    <m/>
    <s v="Acute NHI inLt precentral gyrus"/>
    <m/>
    <s v="Complete signal loss of rt ICA from its origin up till the terminal segment "/>
    <m/>
    <n v="9"/>
    <n v="3"/>
    <n v="1"/>
    <n v="3"/>
    <n v="5"/>
    <m/>
    <n v="1"/>
    <n v="1"/>
    <n v="2"/>
    <n v="2"/>
    <m/>
    <m/>
    <m/>
    <n v="0"/>
    <n v="100"/>
    <n v="0"/>
    <n v="0"/>
    <n v="0"/>
    <n v="0"/>
    <n v="0"/>
    <n v="0"/>
    <n v="0"/>
    <n v="0"/>
    <n v="0"/>
    <n v="0"/>
    <n v="0"/>
    <n v="0"/>
    <n v="0"/>
    <n v="0"/>
    <x v="4"/>
    <n v="0"/>
    <n v="0"/>
    <n v="0"/>
  </r>
  <r>
    <s v="OG"/>
    <s v="Ruben P Gaikwad "/>
    <x v="301"/>
    <n v="0"/>
    <x v="281"/>
    <x v="319"/>
    <n v="72"/>
    <n v="1"/>
    <d v="2023-10-18T00:00:00"/>
    <d v="1899-12-30T18:00:00"/>
    <d v="2023-10-18T00:00:00"/>
    <d v="2023-10-20T00:00:00"/>
    <n v="8087608216"/>
    <m/>
    <n v="5"/>
    <n v="1"/>
    <n v="1"/>
    <n v="2"/>
    <n v="2"/>
    <n v="2"/>
    <n v="2"/>
    <n v="2"/>
    <n v="2"/>
    <n v="2"/>
    <n v="2"/>
    <m/>
    <n v="12.4"/>
    <n v="37.700000000000003"/>
    <n v="90.7"/>
    <n v="21.39"/>
    <n v="5.8"/>
    <n v="97"/>
    <n v="57.8"/>
    <n v="20"/>
    <n v="96"/>
    <n v="19.2"/>
    <n v="454"/>
    <m/>
    <m/>
    <m/>
    <s v="Left thalamus acute infarct"/>
    <m/>
    <m/>
    <m/>
    <m/>
    <m/>
    <m/>
    <m/>
    <m/>
    <m/>
    <n v="1"/>
    <n v="1"/>
    <n v="2"/>
    <m/>
    <m/>
    <m/>
    <m/>
    <n v="2"/>
    <n v="80"/>
    <n v="0"/>
    <n v="0"/>
    <n v="0"/>
    <n v="0"/>
    <n v="0"/>
    <n v="0"/>
    <n v="0"/>
    <n v="0"/>
    <n v="0"/>
    <n v="0"/>
    <n v="0"/>
    <n v="0"/>
    <n v="0"/>
    <n v="0"/>
    <x v="4"/>
    <n v="0"/>
    <n v="0"/>
    <n v="0"/>
  </r>
  <r>
    <s v="OC"/>
    <s v="Dutage Siddhavva Maruti"/>
    <x v="302"/>
    <n v="0"/>
    <x v="281"/>
    <x v="320"/>
    <n v="60"/>
    <n v="2"/>
    <m/>
    <m/>
    <d v="2022-11-11T00:00:00"/>
    <d v="2022-11-12T00:00:00"/>
    <m/>
    <m/>
    <n v="6"/>
    <n v="1"/>
    <n v="1"/>
    <n v="2"/>
    <n v="2"/>
    <n v="2"/>
    <n v="2"/>
    <n v="2"/>
    <n v="2"/>
    <n v="2"/>
    <n v="2"/>
    <m/>
    <n v="12.3"/>
    <m/>
    <m/>
    <n v="13.88"/>
    <n v="8.8000000000000007"/>
    <n v="189"/>
    <n v="142.80000000000001"/>
    <n v="27"/>
    <n v="96"/>
    <m/>
    <m/>
    <m/>
    <m/>
    <m/>
    <s v="Multiple patchy infract watershed ACA + MCA M1 distal stenosis"/>
    <m/>
    <m/>
    <m/>
    <n v="9"/>
    <n v="4"/>
    <n v="1"/>
    <n v="3"/>
    <n v="5"/>
    <m/>
    <n v="1"/>
    <n v="1"/>
    <n v="2"/>
    <m/>
    <n v="4"/>
    <n v="2"/>
    <n v="2"/>
    <n v="1"/>
    <n v="90"/>
    <n v="0"/>
    <n v="0"/>
    <n v="0"/>
    <n v="0"/>
    <n v="0"/>
    <n v="0"/>
    <n v="0"/>
    <n v="0"/>
    <n v="0"/>
    <n v="0"/>
    <n v="0"/>
    <n v="0"/>
    <n v="0"/>
    <n v="0"/>
    <x v="4"/>
    <n v="0"/>
    <n v="0"/>
    <n v="0"/>
  </r>
  <r>
    <s v="OD"/>
    <s v="Sushma Deshpande"/>
    <x v="303"/>
    <n v="0"/>
    <x v="281"/>
    <x v="321"/>
    <n v="74"/>
    <n v="2"/>
    <d v="2023-05-24T00:00:00"/>
    <m/>
    <d v="2023-05-24T00:00:00"/>
    <d v="2023-05-25T00:00:00"/>
    <n v="7822986734"/>
    <n v="9422942323"/>
    <m/>
    <n v="2"/>
    <n v="1"/>
    <n v="2"/>
    <n v="2"/>
    <n v="2"/>
    <n v="2"/>
    <n v="2"/>
    <n v="2"/>
    <n v="2"/>
    <n v="2"/>
    <m/>
    <n v="10.3"/>
    <n v="31.4"/>
    <n v="83.6"/>
    <n v="11.38"/>
    <n v="7.2"/>
    <m/>
    <m/>
    <m/>
    <m/>
    <m/>
    <n v="2000"/>
    <m/>
    <s v="TSH- 11.01"/>
    <m/>
    <s v="Left thalamic infract"/>
    <m/>
    <s v="Significant narrowing in cavernous segement of Rt ICA "/>
    <m/>
    <m/>
    <m/>
    <m/>
    <m/>
    <m/>
    <m/>
    <n v="1"/>
    <n v="1"/>
    <n v="2"/>
    <m/>
    <n v="4"/>
    <n v="2"/>
    <n v="2"/>
    <n v="1"/>
    <n v="100"/>
    <n v="0"/>
    <n v="0"/>
    <n v="0"/>
    <n v="0"/>
    <n v="0"/>
    <n v="0"/>
    <n v="0"/>
    <n v="0"/>
    <n v="0"/>
    <n v="0"/>
    <n v="0"/>
    <n v="0"/>
    <n v="0"/>
    <n v="0"/>
    <x v="4"/>
    <n v="0"/>
    <n v="0"/>
    <n v="0"/>
  </r>
  <r>
    <s v="OF"/>
    <s v="Kaushalya MAne"/>
    <x v="304"/>
    <n v="0"/>
    <x v="281"/>
    <x v="322"/>
    <n v="70"/>
    <n v="2"/>
    <d v="2024-01-11T00:00:00"/>
    <d v="1899-12-30T03:00:00"/>
    <d v="2024-01-11T00:00:00"/>
    <d v="2024-01-15T00:00:00"/>
    <n v="9975013292"/>
    <m/>
    <n v="4"/>
    <n v="2"/>
    <n v="1"/>
    <n v="2"/>
    <n v="2"/>
    <n v="2"/>
    <n v="2"/>
    <n v="2"/>
    <n v="2"/>
    <n v="2"/>
    <n v="2"/>
    <m/>
    <n v="11.8"/>
    <n v="37.6"/>
    <n v="83.6"/>
    <n v="6.39"/>
    <n v="7.5"/>
    <n v="285"/>
    <n v="197.4"/>
    <n v="44"/>
    <n v="218"/>
    <n v="43.6"/>
    <n v="2000"/>
    <m/>
    <m/>
    <m/>
    <s v="Right tiny internal watershed infract "/>
    <m/>
    <s v="Awaited"/>
    <m/>
    <m/>
    <m/>
    <m/>
    <m/>
    <m/>
    <m/>
    <m/>
    <m/>
    <m/>
    <m/>
    <m/>
    <n v="2"/>
    <n v="2"/>
    <n v="0"/>
    <n v="90"/>
    <n v="0"/>
    <n v="0"/>
    <n v="0"/>
    <n v="0"/>
    <n v="0"/>
    <n v="0"/>
    <n v="0"/>
    <n v="0"/>
    <n v="0"/>
    <n v="0"/>
    <n v="0"/>
    <n v="0"/>
    <n v="0"/>
    <n v="0"/>
    <x v="4"/>
    <n v="0"/>
    <n v="0"/>
    <n v="0"/>
  </r>
  <r>
    <m/>
    <s v="Dharmaji Shinde"/>
    <x v="11"/>
    <e v="#N/A"/>
    <x v="281"/>
    <x v="323"/>
    <n v="52"/>
    <n v="1"/>
    <d v="2024-04-01T00:00:00"/>
    <d v="1899-12-30T16:00:00"/>
    <d v="2024-04-02T00:00:00"/>
    <m/>
    <n v="9604168667"/>
    <m/>
    <n v="19"/>
    <n v="2"/>
    <n v="2"/>
    <n v="1"/>
    <n v="1"/>
    <n v="2"/>
    <n v="2"/>
    <n v="2"/>
    <n v="2"/>
    <n v="2"/>
    <n v="2"/>
    <m/>
    <n v="16.8"/>
    <n v="50.4"/>
    <n v="10.29"/>
    <n v="86.48"/>
    <n v="5.3"/>
    <n v="113"/>
    <n v="67.400000000000006"/>
    <n v="38"/>
    <n v="38"/>
    <n v="7.6"/>
    <n v="221"/>
    <m/>
    <m/>
    <m/>
    <s v="Lt MCA hypertense sign Left MCI paychy infract"/>
    <m/>
    <s v="Left MCA M1 stenosis Left ICA occlusion "/>
    <m/>
    <n v="8"/>
    <n v="2"/>
    <n v="2"/>
    <n v="1"/>
    <n v="4"/>
    <m/>
    <n v="1"/>
    <n v="2"/>
    <n v="2"/>
    <m/>
    <n v="3"/>
    <n v="2"/>
    <n v="2"/>
    <n v="0"/>
    <n v="100"/>
    <e v="#N/A"/>
    <e v="#N/A"/>
    <e v="#N/A"/>
    <m/>
    <m/>
    <m/>
    <m/>
    <m/>
    <m/>
    <m/>
    <m/>
    <m/>
    <m/>
    <m/>
    <x v="4"/>
    <m/>
    <m/>
    <m/>
  </r>
  <r>
    <m/>
    <s v="Surekha Naik"/>
    <x v="11"/>
    <e v="#N/A"/>
    <x v="281"/>
    <x v="324"/>
    <n v="70"/>
    <n v="2"/>
    <d v="2024-04-06T00:00:00"/>
    <d v="1899-12-30T20:30:00"/>
    <d v="2024-04-07T00:00:00"/>
    <d v="2024-04-10T00:00:00"/>
    <n v="9822010884"/>
    <n v="7666534560"/>
    <n v="0"/>
    <n v="1"/>
    <n v="1"/>
    <n v="2"/>
    <n v="1"/>
    <n v="2"/>
    <n v="2"/>
    <n v="2"/>
    <n v="2"/>
    <n v="2"/>
    <n v="2"/>
    <s v="Thyrodectomy, rhemotid arthritis"/>
    <n v="10.3"/>
    <n v="32.5"/>
    <n v="87.1"/>
    <m/>
    <n v="9.9"/>
    <n v="126"/>
    <n v="61"/>
    <n v="34"/>
    <n v="155"/>
    <n v="31"/>
    <n v="1114"/>
    <m/>
    <m/>
    <m/>
    <s v="Acute NHI in rt frontal and right centrum semiovale infract"/>
    <m/>
    <m/>
    <m/>
    <n v="10"/>
    <m/>
    <m/>
    <m/>
    <m/>
    <m/>
    <n v="1"/>
    <n v="1"/>
    <n v="2"/>
    <m/>
    <m/>
    <n v="2"/>
    <n v="2"/>
    <n v="1"/>
    <n v="85"/>
    <e v="#N/A"/>
    <e v="#N/A"/>
    <e v="#N/A"/>
    <m/>
    <m/>
    <m/>
    <m/>
    <m/>
    <m/>
    <m/>
    <m/>
    <m/>
    <m/>
    <m/>
    <x v="4"/>
    <m/>
    <m/>
    <m/>
  </r>
  <r>
    <m/>
    <s v="Sulochana Nevase "/>
    <x v="11"/>
    <e v="#N/A"/>
    <x v="281"/>
    <x v="325"/>
    <n v="76"/>
    <n v="2"/>
    <d v="2023-11-03T00:00:00"/>
    <d v="1899-12-30T09:30:00"/>
    <d v="2023-11-07T00:00:00"/>
    <d v="2023-11-14T00:00:00"/>
    <n v="8796350102"/>
    <m/>
    <m/>
    <n v="1"/>
    <n v="1"/>
    <n v="2"/>
    <n v="1"/>
    <n v="2"/>
    <n v="2"/>
    <n v="2"/>
    <n v="2"/>
    <n v="2"/>
    <n v="1"/>
    <m/>
    <n v="9.6"/>
    <n v="29.9"/>
    <m/>
    <n v="5.43"/>
    <n v="4.8"/>
    <n v="158"/>
    <n v="108.2"/>
    <n v="40"/>
    <n v="49"/>
    <n v="9.8000000000000007"/>
    <n v="1565"/>
    <m/>
    <m/>
    <m/>
    <s v="Acute infracts scattered in the cortical and subcortical white matter of bilateral frontal, parital with occipital lobes and right temporal lobe with surrounding edema."/>
    <m/>
    <s v="Normal "/>
    <m/>
    <m/>
    <m/>
    <m/>
    <m/>
    <m/>
    <m/>
    <n v="1"/>
    <n v="1"/>
    <n v="2"/>
    <m/>
    <m/>
    <m/>
    <m/>
    <n v="6"/>
    <n v="0"/>
    <e v="#N/A"/>
    <e v="#N/A"/>
    <e v="#N/A"/>
    <e v="#N/A"/>
    <e v="#N/A"/>
    <e v="#N/A"/>
    <e v="#N/A"/>
    <e v="#N/A"/>
    <e v="#N/A"/>
    <e v="#N/A"/>
    <e v="#N/A"/>
    <e v="#N/A"/>
    <e v="#N/A"/>
    <e v="#N/A"/>
    <x v="7"/>
    <e v="#N/A"/>
    <e v="#N/A"/>
    <e v="#N/A"/>
  </r>
  <r>
    <m/>
    <s v="Ritesh Bhate"/>
    <x v="11"/>
    <e v="#N/A"/>
    <x v="281"/>
    <x v="326"/>
    <n v="30"/>
    <n v="1"/>
    <d v="2024-06-07T00:00:00"/>
    <d v="1899-12-30T05:30:00"/>
    <d v="2024-06-07T00:00:00"/>
    <d v="2024-06-08T00:00:00"/>
    <n v="9356794386"/>
    <m/>
    <n v="0"/>
    <n v="1"/>
    <n v="2"/>
    <n v="2"/>
    <n v="2"/>
    <n v="2"/>
    <n v="1"/>
    <n v="2"/>
    <n v="2"/>
    <n v="2"/>
    <n v="2"/>
    <m/>
    <n v="14.4"/>
    <n v="44.7"/>
    <n v="97.7"/>
    <n v="54.63"/>
    <n v="5.4"/>
    <n v="201"/>
    <n v="117"/>
    <n v="30"/>
    <n v="270"/>
    <n v="54"/>
    <m/>
    <m/>
    <m/>
    <m/>
    <s v="Left PCA MCA and internal watershed infract "/>
    <m/>
    <m/>
    <m/>
    <n v="9"/>
    <n v="3"/>
    <n v="1"/>
    <n v="3"/>
    <n v="5"/>
    <m/>
    <n v="1"/>
    <n v="1"/>
    <n v="2"/>
    <m/>
    <m/>
    <n v="2"/>
    <n v="2"/>
    <n v="0"/>
    <n v="100"/>
    <e v="#N/A"/>
    <e v="#N/A"/>
    <e v="#N/A"/>
    <m/>
    <m/>
    <m/>
    <m/>
    <m/>
    <m/>
    <m/>
    <m/>
    <m/>
    <m/>
    <m/>
    <x v="7"/>
    <m/>
    <m/>
    <m/>
  </r>
  <r>
    <m/>
    <s v="Kantabai Dhumal "/>
    <x v="11"/>
    <e v="#N/A"/>
    <x v="282"/>
    <x v="327"/>
    <n v="79"/>
    <n v="2"/>
    <d v="2024-10-17T00:00:00"/>
    <m/>
    <d v="2024-10-19T00:00:00"/>
    <d v="2024-10-28T00:00:00"/>
    <n v="9921200436"/>
    <m/>
    <m/>
    <n v="1"/>
    <n v="2"/>
    <n v="2"/>
    <n v="1"/>
    <n v="2"/>
    <n v="2"/>
    <n v="2"/>
    <n v="2"/>
    <n v="2"/>
    <n v="2"/>
    <s v="Iron def anemia fever with thrombocytopenia "/>
    <n v="8.3000000000000007"/>
    <n v="24.6"/>
    <n v="91.5"/>
    <n v="24.61"/>
    <n v="5.5"/>
    <m/>
    <m/>
    <m/>
    <m/>
    <m/>
    <n v="780"/>
    <m/>
    <m/>
    <m/>
    <s v="Acute non-hemoembolic infract in left frontal lt parietal Lt corona radiata, Rt superior cerebellar peduncle, cerebellar vermis and rt cerebellar hemisphere "/>
    <m/>
    <s v="Normal"/>
    <m/>
    <m/>
    <m/>
    <m/>
    <m/>
    <m/>
    <m/>
    <n v="1"/>
    <n v="2"/>
    <n v="2"/>
    <m/>
    <n v="4"/>
    <n v="2"/>
    <n v="2"/>
    <n v="4"/>
    <n v="45"/>
    <e v="#N/A"/>
    <e v="#N/A"/>
    <e v="#N/A"/>
    <m/>
    <m/>
    <m/>
    <m/>
    <m/>
    <m/>
    <m/>
    <m/>
    <m/>
    <m/>
    <m/>
    <x v="4"/>
    <m/>
    <m/>
    <m/>
  </r>
  <r>
    <s v="IB"/>
    <s v="Shivaji L Mandhare"/>
    <x v="11"/>
    <e v="#N/A"/>
    <x v="282"/>
    <x v="328"/>
    <n v="77"/>
    <n v="1"/>
    <d v="2023-10-12T00:00:00"/>
    <d v="1899-12-30T10:30:00"/>
    <d v="2023-10-13T00:00:00"/>
    <d v="2023-10-14T00:00:00"/>
    <n v="9923564607"/>
    <m/>
    <n v="0"/>
    <n v="2"/>
    <n v="2"/>
    <n v="2"/>
    <n v="1"/>
    <n v="2"/>
    <n v="2"/>
    <n v="2"/>
    <n v="2"/>
    <n v="2"/>
    <n v="2"/>
    <m/>
    <m/>
    <m/>
    <m/>
    <n v="3.68"/>
    <m/>
    <n v="171"/>
    <n v="119"/>
    <n v="41"/>
    <n v="35"/>
    <n v="11"/>
    <m/>
    <m/>
    <m/>
    <m/>
    <s v="LArge volume acute infract in left MCA teritory and watershed areas old is chemic changes"/>
    <m/>
    <m/>
    <m/>
    <n v="0"/>
    <n v="4"/>
    <n v="2"/>
    <n v="3"/>
    <n v="4"/>
    <m/>
    <n v="1"/>
    <n v="2"/>
    <n v="2"/>
    <m/>
    <m/>
    <m/>
    <m/>
    <n v="6"/>
    <m/>
    <e v="#N/A"/>
    <e v="#N/A"/>
    <e v="#N/A"/>
    <e v="#N/A"/>
    <e v="#N/A"/>
    <e v="#N/A"/>
    <e v="#N/A"/>
    <e v="#N/A"/>
    <e v="#N/A"/>
    <e v="#N/A"/>
    <e v="#N/A"/>
    <e v="#N/A"/>
    <e v="#N/A"/>
    <e v="#N/A"/>
    <x v="15"/>
    <e v="#N/A"/>
    <e v="#N/A"/>
    <e v="#N/A"/>
  </r>
  <r>
    <s v="AE, MC"/>
    <s v="Ramchandra Dhumal "/>
    <x v="11"/>
    <e v="#N/A"/>
    <x v="282"/>
    <x v="316"/>
    <n v="50"/>
    <n v="1"/>
    <d v="2023-01-17T00:00:00"/>
    <d v="1899-12-30T23:30:00"/>
    <d v="2023-01-18T00:00:00"/>
    <d v="2023-02-02T00:00:00"/>
    <n v="9552882888"/>
    <m/>
    <n v="19"/>
    <n v="2"/>
    <n v="2"/>
    <n v="2"/>
    <n v="2"/>
    <n v="2"/>
    <n v="2"/>
    <n v="2"/>
    <n v="2"/>
    <n v="2"/>
    <n v="2"/>
    <m/>
    <n v="14"/>
    <n v="45.6"/>
    <n v="84.1"/>
    <n v="22"/>
    <n v="5.5"/>
    <m/>
    <m/>
    <m/>
    <m/>
    <m/>
    <n v="171"/>
    <m/>
    <m/>
    <m/>
    <s v="Left GC and left FTPO infrat hyperdense left MCA sign"/>
    <m/>
    <s v="Non opacification left ICA from origin s/o occlusion/ thrombosis  Non opacification of M1, M2, prox"/>
    <m/>
    <n v="5"/>
    <n v="3"/>
    <n v="1"/>
    <n v="3"/>
    <n v="5"/>
    <m/>
    <n v="1"/>
    <n v="2"/>
    <n v="2"/>
    <m/>
    <m/>
    <n v="1"/>
    <m/>
    <n v="4"/>
    <n v="35"/>
    <e v="#N/A"/>
    <e v="#N/A"/>
    <e v="#N/A"/>
    <e v="#N/A"/>
    <e v="#N/A"/>
    <e v="#N/A"/>
    <e v="#N/A"/>
    <e v="#N/A"/>
    <e v="#N/A"/>
    <e v="#N/A"/>
    <e v="#N/A"/>
    <e v="#N/A"/>
    <e v="#N/A"/>
    <e v="#N/A"/>
    <x v="15"/>
    <e v="#N/A"/>
    <e v="#N/A"/>
    <e v="#N/A"/>
  </r>
  <r>
    <s v="BZ, OB"/>
    <s v="Suresh Adhyapak"/>
    <x v="11"/>
    <e v="#N/A"/>
    <x v="282"/>
    <x v="329"/>
    <n v="73"/>
    <n v="1"/>
    <d v="2023-05-17T00:00:00"/>
    <m/>
    <d v="2023-05-19T00:00:00"/>
    <d v="2023-05-29T00:00:00"/>
    <n v="9822495454"/>
    <m/>
    <n v="6"/>
    <n v="1"/>
    <n v="1"/>
    <n v="1"/>
    <n v="2"/>
    <n v="2"/>
    <n v="2"/>
    <n v="2"/>
    <n v="2"/>
    <n v="2"/>
    <n v="1"/>
    <m/>
    <n v="12"/>
    <n v="40"/>
    <n v="84.6"/>
    <m/>
    <n v="7"/>
    <m/>
    <m/>
    <m/>
    <m/>
    <m/>
    <n v="806"/>
    <m/>
    <m/>
    <m/>
    <s v="A/C infract Rt lentiform nucleus"/>
    <m/>
    <s v="B/L ventral arteries show atherosclerotic changes. Atherosclerotic changes in cavernous and supra clinic segments  of both ICAs and MCAs"/>
    <m/>
    <n v="10"/>
    <n v="3"/>
    <m/>
    <n v="3"/>
    <n v="5"/>
    <m/>
    <n v="1"/>
    <n v="2"/>
    <n v="2"/>
    <m/>
    <m/>
    <n v="2"/>
    <n v="2"/>
    <m/>
    <m/>
    <e v="#N/A"/>
    <e v="#N/A"/>
    <e v="#N/A"/>
    <e v="#N/A"/>
    <e v="#N/A"/>
    <e v="#N/A"/>
    <e v="#N/A"/>
    <e v="#N/A"/>
    <e v="#N/A"/>
    <e v="#N/A"/>
    <e v="#N/A"/>
    <e v="#N/A"/>
    <e v="#N/A"/>
    <e v="#N/A"/>
    <x v="15"/>
    <e v="#N/A"/>
    <e v="#N/A"/>
    <e v="#N/A"/>
  </r>
  <r>
    <s v="JN, MW"/>
    <s v="Kamlabai Kumbhar"/>
    <x v="11"/>
    <e v="#N/A"/>
    <x v="282"/>
    <x v="330"/>
    <n v="65"/>
    <n v="2"/>
    <m/>
    <m/>
    <d v="2023-04-19T00:00:00"/>
    <m/>
    <n v="9158797476"/>
    <m/>
    <n v="10"/>
    <n v="2"/>
    <n v="1"/>
    <n v="2"/>
    <n v="2"/>
    <n v="2"/>
    <n v="2"/>
    <n v="2"/>
    <n v="2"/>
    <n v="2"/>
    <n v="2"/>
    <m/>
    <n v="13"/>
    <n v="39.700000000000003"/>
    <m/>
    <n v="6.51"/>
    <n v="14.3"/>
    <n v="198"/>
    <n v="109.2"/>
    <n v="29"/>
    <n v="299"/>
    <m/>
    <n v="413"/>
    <m/>
    <m/>
    <m/>
    <m/>
    <m/>
    <m/>
    <m/>
    <n v="7"/>
    <n v="2"/>
    <n v="1"/>
    <n v="2"/>
    <n v="4"/>
    <m/>
    <n v="1"/>
    <n v="1"/>
    <n v="2"/>
    <m/>
    <n v="4"/>
    <n v="2"/>
    <n v="2"/>
    <n v="0"/>
    <n v="100"/>
    <e v="#N/A"/>
    <e v="#N/A"/>
    <e v="#N/A"/>
    <e v="#N/A"/>
    <e v="#N/A"/>
    <e v="#N/A"/>
    <e v="#N/A"/>
    <e v="#N/A"/>
    <e v="#N/A"/>
    <e v="#N/A"/>
    <e v="#N/A"/>
    <e v="#N/A"/>
    <e v="#N/A"/>
    <e v="#N/A"/>
    <x v="15"/>
    <e v="#N/A"/>
    <e v="#N/A"/>
    <e v="#N/A"/>
  </r>
  <r>
    <s v="IY, OY"/>
    <s v="Kunal Shewale "/>
    <x v="11"/>
    <e v="#N/A"/>
    <x v="282"/>
    <x v="331"/>
    <n v="22"/>
    <n v="1"/>
    <d v="2024-09-06T00:00:00"/>
    <d v="1899-12-30T18:30:00"/>
    <d v="2024-09-06T00:00:00"/>
    <d v="2024-09-11T00:00:00"/>
    <n v="9028005423"/>
    <m/>
    <n v="3"/>
    <n v="2"/>
    <n v="2"/>
    <n v="2"/>
    <n v="2"/>
    <n v="2"/>
    <n v="2"/>
    <n v="2"/>
    <n v="2"/>
    <n v="2"/>
    <n v="2"/>
    <m/>
    <n v="16.2"/>
    <m/>
    <m/>
    <n v="37.21"/>
    <m/>
    <m/>
    <m/>
    <m/>
    <m/>
    <m/>
    <n v="148"/>
    <m/>
    <m/>
    <m/>
    <s v="Left corona radiata infract, capsular warming sign and left putamen"/>
    <m/>
    <m/>
    <m/>
    <n v="10"/>
    <n v="3"/>
    <n v="1"/>
    <n v="3"/>
    <n v="5"/>
    <m/>
    <n v="1"/>
    <n v="1"/>
    <n v="1"/>
    <n v="1"/>
    <m/>
    <n v="2"/>
    <n v="2"/>
    <n v="0"/>
    <n v="100"/>
    <e v="#N/A"/>
    <e v="#N/A"/>
    <e v="#N/A"/>
    <e v="#N/A"/>
    <e v="#N/A"/>
    <e v="#N/A"/>
    <e v="#N/A"/>
    <e v="#N/A"/>
    <e v="#N/A"/>
    <e v="#N/A"/>
    <e v="#N/A"/>
    <e v="#N/A"/>
    <e v="#N/A"/>
    <e v="#N/A"/>
    <x v="15"/>
    <e v="#N/A"/>
    <e v="#N/A"/>
    <e v="#N/A"/>
  </r>
  <r>
    <s v="AV,OX"/>
    <s v="Nitikesh Gaikwad "/>
    <x v="11"/>
    <e v="#N/A"/>
    <x v="282"/>
    <x v="332"/>
    <n v="26"/>
    <n v="1"/>
    <d v="2024-09-24T00:00:00"/>
    <d v="1899-12-30T11:00:00"/>
    <d v="2024-09-24T00:00:00"/>
    <d v="2024-10-05T00:00:00"/>
    <n v="8788359008"/>
    <m/>
    <n v="16"/>
    <n v="2"/>
    <n v="2"/>
    <n v="1"/>
    <n v="2"/>
    <n v="1"/>
    <n v="2"/>
    <n v="2"/>
    <n v="2"/>
    <n v="2"/>
    <n v="2"/>
    <m/>
    <n v="15.5"/>
    <n v="45"/>
    <n v="11"/>
    <n v="19.3"/>
    <m/>
    <n v="95"/>
    <n v="48"/>
    <n v="31"/>
    <n v="76"/>
    <n v="15.2"/>
    <n v="148"/>
    <m/>
    <s v="ANA nuclear , coarse speckled positive ESR 7,CRP 81.4"/>
    <m/>
    <s v="Left M1 MCA infract"/>
    <m/>
    <s v="Left CCA plaque 60-70% stenosis, Left M1 thrombosis"/>
    <m/>
    <n v="9"/>
    <n v="2"/>
    <n v="2"/>
    <n v="2"/>
    <n v="4"/>
    <m/>
    <n v="1"/>
    <n v="2"/>
    <n v="1"/>
    <n v="2"/>
    <n v="4"/>
    <n v="2"/>
    <n v="2"/>
    <m/>
    <m/>
    <e v="#N/A"/>
    <e v="#N/A"/>
    <e v="#N/A"/>
    <e v="#N/A"/>
    <e v="#N/A"/>
    <e v="#N/A"/>
    <e v="#N/A"/>
    <e v="#N/A"/>
    <e v="#N/A"/>
    <e v="#N/A"/>
    <e v="#N/A"/>
    <e v="#N/A"/>
    <e v="#N/A"/>
    <e v="#N/A"/>
    <x v="15"/>
    <e v="#N/A"/>
    <e v="#N/A"/>
    <e v="#N/A"/>
  </r>
  <r>
    <s v="JA, OZ"/>
    <s v="Shelar Krushuna"/>
    <x v="11"/>
    <e v="#N/A"/>
    <x v="282"/>
    <x v="333"/>
    <n v="69"/>
    <n v="1"/>
    <d v="2024-09-19T00:00:00"/>
    <d v="1899-12-30T06:00:00"/>
    <d v="2024-09-19T00:00:00"/>
    <d v="2024-09-21T00:00:00"/>
    <n v="8149102930"/>
    <m/>
    <n v="5"/>
    <n v="2"/>
    <n v="2"/>
    <n v="2"/>
    <n v="1"/>
    <n v="2"/>
    <n v="2"/>
    <n v="1"/>
    <n v="2"/>
    <n v="2"/>
    <n v="1"/>
    <s v="Wake up stroke LKW 12 midnight 19/09/2024, old CVA cardioembolic stroke "/>
    <n v="11.4"/>
    <n v="36"/>
    <n v="75"/>
    <n v="11.33"/>
    <n v="8"/>
    <n v="168"/>
    <n v="103"/>
    <n v="27"/>
    <n v="189"/>
    <n v="37"/>
    <n v="466"/>
    <m/>
    <m/>
    <m/>
    <s v="Right MCA PCA and MCA ACA watershed infract "/>
    <m/>
    <s v="Rt CCA thrombus "/>
    <m/>
    <n v="9"/>
    <n v="3"/>
    <n v="1"/>
    <n v="3"/>
    <n v="5"/>
    <m/>
    <n v="1"/>
    <n v="2"/>
    <n v="2"/>
    <m/>
    <n v="3"/>
    <n v="2"/>
    <n v="2"/>
    <n v="1"/>
    <n v="85"/>
    <e v="#N/A"/>
    <e v="#N/A"/>
    <e v="#N/A"/>
    <e v="#N/A"/>
    <e v="#N/A"/>
    <e v="#N/A"/>
    <e v="#N/A"/>
    <e v="#N/A"/>
    <e v="#N/A"/>
    <e v="#N/A"/>
    <e v="#N/A"/>
    <e v="#N/A"/>
    <e v="#N/A"/>
    <e v="#N/A"/>
    <x v="15"/>
    <e v="#N/A"/>
    <e v="#N/A"/>
    <e v="#N/A"/>
  </r>
  <r>
    <s v="IT,OJ,OR"/>
    <s v="Mangire Sharad"/>
    <x v="11"/>
    <e v="#N/A"/>
    <x v="282"/>
    <x v="334"/>
    <n v="55"/>
    <n v="1"/>
    <d v="2024-09-12T00:00:00"/>
    <d v="1899-12-30T09:00:00"/>
    <d v="2024-09-13T00:00:00"/>
    <d v="2024-09-14T00:00:00"/>
    <n v="8999514671"/>
    <m/>
    <n v="4"/>
    <n v="1"/>
    <n v="1"/>
    <n v="1"/>
    <n v="2"/>
    <n v="1"/>
    <n v="1"/>
    <n v="2"/>
    <n v="1"/>
    <n v="1"/>
    <n v="2"/>
    <s v="Acute kidney injuri"/>
    <n v="9.1"/>
    <n v="28.4"/>
    <n v="89"/>
    <n v="19.420000000000002"/>
    <n v="7.2"/>
    <n v="171"/>
    <n v="80"/>
    <n v="36"/>
    <n v="86"/>
    <n v="173"/>
    <n v="2000"/>
    <m/>
    <m/>
    <m/>
    <s v="Left MCA M2 distal block"/>
    <m/>
    <s v="Non visuazation of M3 and M4 segment of Left MCA luminal occlusion "/>
    <m/>
    <n v="9"/>
    <n v="3"/>
    <n v="1"/>
    <n v="3"/>
    <n v="5"/>
    <m/>
    <n v="1"/>
    <n v="2"/>
    <n v="2"/>
    <m/>
    <n v="3"/>
    <n v="2"/>
    <n v="2"/>
    <n v="1"/>
    <n v="100"/>
    <e v="#N/A"/>
    <e v="#N/A"/>
    <e v="#N/A"/>
    <e v="#N/A"/>
    <e v="#N/A"/>
    <e v="#N/A"/>
    <e v="#N/A"/>
    <e v="#N/A"/>
    <e v="#N/A"/>
    <e v="#N/A"/>
    <e v="#N/A"/>
    <e v="#N/A"/>
    <e v="#N/A"/>
    <e v="#N/A"/>
    <x v="15"/>
    <e v="#N/A"/>
    <e v="#N/A"/>
    <e v="#N/A"/>
  </r>
  <r>
    <s v="IR, OS"/>
    <s v="Mahamuni Dattatray"/>
    <x v="11"/>
    <e v="#N/A"/>
    <x v="282"/>
    <x v="335"/>
    <n v="73"/>
    <n v="1"/>
    <d v="2024-09-11T00:00:00"/>
    <d v="1899-12-30T10:00:00"/>
    <d v="2024-09-11T00:00:00"/>
    <d v="2024-09-13T00:00:00"/>
    <n v="992280463"/>
    <m/>
    <n v="13"/>
    <n v="1"/>
    <n v="2"/>
    <n v="2"/>
    <n v="2"/>
    <n v="2"/>
    <n v="2"/>
    <n v="2"/>
    <n v="2"/>
    <n v="2"/>
    <n v="1"/>
    <s v="AIS 1 year ago , ADPKD, wake up stroke"/>
    <n v="13.3"/>
    <m/>
    <m/>
    <n v="23"/>
    <n v="5.5"/>
    <n v="121"/>
    <n v="59.4"/>
    <n v="40"/>
    <n v="108"/>
    <n v="21"/>
    <n v="148"/>
    <m/>
    <m/>
    <m/>
    <s v="Left periventricular infract, acute infract left corona radiata "/>
    <m/>
    <s v="Normal"/>
    <m/>
    <n v="9"/>
    <n v="3"/>
    <n v="1"/>
    <n v="3"/>
    <n v="5"/>
    <m/>
    <n v="1"/>
    <n v="1"/>
    <n v="2"/>
    <m/>
    <n v="4"/>
    <n v="2"/>
    <n v="2"/>
    <m/>
    <m/>
    <e v="#N/A"/>
    <e v="#N/A"/>
    <e v="#N/A"/>
    <e v="#N/A"/>
    <e v="#N/A"/>
    <e v="#N/A"/>
    <e v="#N/A"/>
    <e v="#N/A"/>
    <e v="#N/A"/>
    <e v="#N/A"/>
    <e v="#N/A"/>
    <e v="#N/A"/>
    <e v="#N/A"/>
    <e v="#N/A"/>
    <x v="15"/>
    <e v="#N/A"/>
    <e v="#N/A"/>
    <e v="#N/A"/>
  </r>
  <r>
    <m/>
    <s v="Suresh Mane"/>
    <x v="11"/>
    <e v="#N/A"/>
    <x v="283"/>
    <x v="336"/>
    <n v="60"/>
    <n v="1"/>
    <s v="13-08-2024"/>
    <d v="1899-12-30T05:30:00"/>
    <s v="13-08-2024"/>
    <d v="2024-11-09T00:00:00"/>
    <n v="73851686"/>
    <m/>
    <n v="20"/>
    <n v="1"/>
    <n v="1"/>
    <n v="2"/>
    <n v="2"/>
    <n v="2"/>
    <n v="2"/>
    <n v="2"/>
    <n v="2"/>
    <n v="2"/>
    <n v="2"/>
    <m/>
    <n v="14.1"/>
    <n v="30.4"/>
    <n v="99.5"/>
    <n v="97.74"/>
    <n v="11.8"/>
    <n v="106"/>
    <n v="56.6"/>
    <n v="31"/>
    <n v="92"/>
    <n v="18.399999999999999"/>
    <n v="148"/>
    <m/>
    <m/>
    <m/>
    <s v="Right MCA and ACA watershed infract"/>
    <m/>
    <s v="Right ICA complete occlusion from origin and right M1 occlusion "/>
    <m/>
    <n v="10"/>
    <n v="3"/>
    <n v="1"/>
    <n v="2"/>
    <n v="4"/>
    <m/>
    <n v="1"/>
    <n v="2"/>
    <n v="1"/>
    <n v="2"/>
    <m/>
    <n v="1"/>
    <n v="1"/>
    <n v="5"/>
    <n v="5"/>
    <e v="#N/A"/>
    <e v="#N/A"/>
    <e v="#N/A"/>
    <m/>
    <m/>
    <m/>
    <m/>
    <m/>
    <m/>
    <m/>
    <m/>
    <m/>
    <m/>
    <m/>
    <x v="6"/>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x v="0"/>
    <x v="0"/>
  </r>
  <r>
    <x v="0"/>
    <x v="0"/>
  </r>
  <r>
    <x v="0"/>
    <x v="1"/>
  </r>
  <r>
    <x v="0"/>
    <x v="1"/>
  </r>
  <r>
    <x v="0"/>
    <x v="0"/>
  </r>
  <r>
    <x v="0"/>
    <x v="0"/>
  </r>
  <r>
    <x v="0"/>
    <x v="0"/>
  </r>
  <r>
    <x v="0"/>
    <x v="1"/>
  </r>
  <r>
    <x v="0"/>
    <x v="0"/>
  </r>
  <r>
    <x v="0"/>
    <x v="1"/>
  </r>
  <r>
    <x v="0"/>
    <x v="1"/>
  </r>
  <r>
    <x v="0"/>
    <x v="0"/>
  </r>
  <r>
    <x v="0"/>
    <x v="0"/>
  </r>
  <r>
    <x v="0"/>
    <x v="1"/>
  </r>
  <r>
    <x v="0"/>
    <x v="0"/>
  </r>
  <r>
    <x v="0"/>
    <x v="1"/>
  </r>
  <r>
    <x v="0"/>
    <x v="0"/>
  </r>
  <r>
    <x v="0"/>
    <x v="1"/>
  </r>
  <r>
    <x v="0"/>
    <x v="0"/>
  </r>
  <r>
    <x v="0"/>
    <x v="0"/>
  </r>
  <r>
    <x v="0"/>
    <x v="0"/>
  </r>
  <r>
    <x v="0"/>
    <x v="1"/>
  </r>
  <r>
    <x v="0"/>
    <x v="0"/>
  </r>
  <r>
    <x v="0"/>
    <x v="1"/>
  </r>
  <r>
    <x v="0"/>
    <x v="1"/>
  </r>
  <r>
    <x v="0"/>
    <x v="1"/>
  </r>
  <r>
    <x v="0"/>
    <x v="0"/>
  </r>
  <r>
    <x v="0"/>
    <x v="0"/>
  </r>
  <r>
    <x v="0"/>
    <x v="1"/>
  </r>
  <r>
    <x v="0"/>
    <x v="1"/>
  </r>
  <r>
    <x v="0"/>
    <x v="1"/>
  </r>
  <r>
    <x v="0"/>
    <x v="1"/>
  </r>
  <r>
    <x v="0"/>
    <x v="1"/>
  </r>
  <r>
    <x v="0"/>
    <x v="0"/>
  </r>
  <r>
    <x v="0"/>
    <x v="0"/>
  </r>
  <r>
    <x v="1"/>
    <x v="1"/>
  </r>
  <r>
    <x v="1"/>
    <x v="0"/>
  </r>
  <r>
    <x v="1"/>
    <x v="0"/>
  </r>
  <r>
    <x v="1"/>
    <x v="0"/>
  </r>
  <r>
    <x v="0"/>
    <x v="0"/>
  </r>
  <r>
    <x v="1"/>
    <x v="1"/>
  </r>
  <r>
    <x v="1"/>
    <x v="0"/>
  </r>
  <r>
    <x v="1"/>
    <x v="0"/>
  </r>
  <r>
    <x v="1"/>
    <x v="0"/>
  </r>
  <r>
    <x v="1"/>
    <x v="0"/>
  </r>
  <r>
    <x v="1"/>
    <x v="0"/>
  </r>
  <r>
    <x v="1"/>
    <x v="0"/>
  </r>
  <r>
    <x v="1"/>
    <x v="0"/>
  </r>
  <r>
    <x v="1"/>
    <x v="0"/>
  </r>
  <r>
    <x v="1"/>
    <x v="0"/>
  </r>
  <r>
    <x v="1"/>
    <x v="0"/>
  </r>
  <r>
    <x v="1"/>
    <x v="0"/>
  </r>
  <r>
    <x v="1"/>
    <x v="0"/>
  </r>
  <r>
    <x v="1"/>
    <x v="1"/>
  </r>
  <r>
    <x v="1"/>
    <x v="0"/>
  </r>
  <r>
    <x v="1"/>
    <x v="0"/>
  </r>
  <r>
    <x v="1"/>
    <x v="0"/>
  </r>
  <r>
    <x v="1"/>
    <x v="0"/>
  </r>
  <r>
    <x v="1"/>
    <x v="0"/>
  </r>
  <r>
    <x v="1"/>
    <x v="0"/>
  </r>
  <r>
    <x v="1"/>
    <x v="0"/>
  </r>
  <r>
    <x v="1"/>
    <x v="0"/>
  </r>
  <r>
    <x v="0"/>
    <x v="0"/>
  </r>
  <r>
    <x v="1"/>
    <x v="0"/>
  </r>
  <r>
    <x v="1"/>
    <x v="0"/>
  </r>
  <r>
    <x v="1"/>
    <x v="0"/>
  </r>
  <r>
    <x v="1"/>
    <x v="0"/>
  </r>
  <r>
    <x v="1"/>
    <x v="0"/>
  </r>
  <r>
    <x v="1"/>
    <x v="0"/>
  </r>
  <r>
    <x v="1"/>
    <x v="0"/>
  </r>
  <r>
    <x v="1"/>
    <x v="1"/>
  </r>
  <r>
    <x v="0"/>
    <x v="0"/>
  </r>
  <r>
    <x v="1"/>
    <x v="0"/>
  </r>
  <r>
    <x v="1"/>
    <x v="0"/>
  </r>
  <r>
    <x v="1"/>
    <x v="1"/>
  </r>
  <r>
    <x v="1"/>
    <x v="0"/>
  </r>
  <r>
    <x v="1"/>
    <x v="0"/>
  </r>
  <r>
    <x v="0"/>
    <x v="1"/>
  </r>
  <r>
    <x v="1"/>
    <x v="0"/>
  </r>
  <r>
    <x v="1"/>
    <x v="0"/>
  </r>
  <r>
    <x v="1"/>
    <x v="0"/>
  </r>
  <r>
    <x v="1"/>
    <x v="0"/>
  </r>
  <r>
    <x v="1"/>
    <x v="0"/>
  </r>
  <r>
    <x v="0"/>
    <x v="0"/>
  </r>
  <r>
    <x v="1"/>
    <x v="0"/>
  </r>
  <r>
    <x v="1"/>
    <x v="0"/>
  </r>
  <r>
    <x v="1"/>
    <x v="0"/>
  </r>
  <r>
    <x v="1"/>
    <x v="0"/>
  </r>
  <r>
    <x v="1"/>
    <x v="1"/>
  </r>
  <r>
    <x v="1"/>
    <x v="1"/>
  </r>
  <r>
    <x v="1"/>
    <x v="0"/>
  </r>
  <r>
    <x v="1"/>
    <x v="0"/>
  </r>
  <r>
    <x v="1"/>
    <x v="0"/>
  </r>
  <r>
    <x v="1"/>
    <x v="0"/>
  </r>
  <r>
    <x v="1"/>
    <x v="0"/>
  </r>
  <r>
    <x v="1"/>
    <x v="0"/>
  </r>
  <r>
    <x v="1"/>
    <x v="0"/>
  </r>
  <r>
    <x v="1"/>
    <x v="0"/>
  </r>
  <r>
    <x v="1"/>
    <x v="0"/>
  </r>
  <r>
    <x v="1"/>
    <x v="0"/>
  </r>
  <r>
    <x v="1"/>
    <x v="0"/>
  </r>
  <r>
    <x v="1"/>
    <x v="0"/>
  </r>
  <r>
    <x v="1"/>
    <x v="0"/>
  </r>
  <r>
    <x v="1"/>
    <x v="0"/>
  </r>
  <r>
    <x v="1"/>
    <x v="0"/>
  </r>
  <r>
    <x v="0"/>
    <x v="0"/>
  </r>
  <r>
    <x v="1"/>
    <x v="0"/>
  </r>
  <r>
    <x v="1"/>
    <x v="1"/>
  </r>
  <r>
    <x v="1"/>
    <x v="0"/>
  </r>
  <r>
    <x v="1"/>
    <x v="0"/>
  </r>
  <r>
    <x v="1"/>
    <x v="0"/>
  </r>
  <r>
    <x v="1"/>
    <x v="0"/>
  </r>
  <r>
    <x v="1"/>
    <x v="0"/>
  </r>
  <r>
    <x v="1"/>
    <x v="0"/>
  </r>
  <r>
    <x v="1"/>
    <x v="0"/>
  </r>
  <r>
    <x v="1"/>
    <x v="1"/>
  </r>
  <r>
    <x v="0"/>
    <x v="1"/>
  </r>
  <r>
    <x v="0"/>
    <x v="1"/>
  </r>
  <r>
    <x v="1"/>
    <x v="0"/>
  </r>
  <r>
    <x v="1"/>
    <x v="0"/>
  </r>
  <r>
    <x v="1"/>
    <x v="1"/>
  </r>
  <r>
    <x v="0"/>
    <x v="0"/>
  </r>
  <r>
    <x v="0"/>
    <x v="1"/>
  </r>
  <r>
    <x v="1"/>
    <x v="0"/>
  </r>
  <r>
    <x v="1"/>
    <x v="0"/>
  </r>
  <r>
    <x v="0"/>
    <x v="0"/>
  </r>
  <r>
    <x v="1"/>
    <x v="1"/>
  </r>
  <r>
    <x v="1"/>
    <x v="0"/>
  </r>
  <r>
    <x v="1"/>
    <x v="0"/>
  </r>
  <r>
    <x v="1"/>
    <x v="1"/>
  </r>
  <r>
    <x v="0"/>
    <x v="1"/>
  </r>
  <r>
    <x v="0"/>
    <x v="0"/>
  </r>
  <r>
    <x v="1"/>
    <x v="0"/>
  </r>
  <r>
    <x v="1"/>
    <x v="1"/>
  </r>
  <r>
    <x v="0"/>
    <x v="1"/>
  </r>
  <r>
    <x v="1"/>
    <x v="0"/>
  </r>
  <r>
    <x v="1"/>
    <x v="0"/>
  </r>
  <r>
    <x v="1"/>
    <x v="0"/>
  </r>
  <r>
    <x v="1"/>
    <x v="0"/>
  </r>
  <r>
    <x v="1"/>
    <x v="1"/>
  </r>
  <r>
    <x v="1"/>
    <x v="0"/>
  </r>
  <r>
    <x v="1"/>
    <x v="0"/>
  </r>
  <r>
    <x v="1"/>
    <x v="0"/>
  </r>
  <r>
    <x v="1"/>
    <x v="0"/>
  </r>
  <r>
    <x v="1"/>
    <x v="0"/>
  </r>
  <r>
    <x v="1"/>
    <x v="0"/>
  </r>
  <r>
    <x v="1"/>
    <x v="0"/>
  </r>
  <r>
    <x v="1"/>
    <x v="0"/>
  </r>
  <r>
    <x v="1"/>
    <x v="0"/>
  </r>
  <r>
    <x v="1"/>
    <x v="0"/>
  </r>
  <r>
    <x v="1"/>
    <x v="0"/>
  </r>
  <r>
    <x v="1"/>
    <x v="1"/>
  </r>
  <r>
    <x v="1"/>
    <x v="0"/>
  </r>
  <r>
    <x v="1"/>
    <x v="0"/>
  </r>
  <r>
    <x v="1"/>
    <x v="0"/>
  </r>
  <r>
    <x v="1"/>
    <x v="0"/>
  </r>
  <r>
    <x v="1"/>
    <x v="0"/>
  </r>
  <r>
    <x v="1"/>
    <x v="0"/>
  </r>
  <r>
    <x v="1"/>
    <x v="1"/>
  </r>
  <r>
    <x v="1"/>
    <x v="0"/>
  </r>
  <r>
    <x v="1"/>
    <x v="0"/>
  </r>
  <r>
    <x v="1"/>
    <x v="0"/>
  </r>
  <r>
    <x v="1"/>
    <x v="0"/>
  </r>
  <r>
    <x v="1"/>
    <x v="0"/>
  </r>
  <r>
    <x v="1"/>
    <x v="0"/>
  </r>
  <r>
    <x v="1"/>
    <x v="0"/>
  </r>
  <r>
    <x v="1"/>
    <x v="0"/>
  </r>
  <r>
    <x v="1"/>
    <x v="0"/>
  </r>
  <r>
    <x v="1"/>
    <x v="0"/>
  </r>
  <r>
    <x v="1"/>
    <x v="0"/>
  </r>
  <r>
    <x v="1"/>
    <x v="1"/>
  </r>
  <r>
    <x v="1"/>
    <x v="0"/>
  </r>
  <r>
    <x v="1"/>
    <x v="0"/>
  </r>
  <r>
    <x v="1"/>
    <x v="0"/>
  </r>
  <r>
    <x v="1"/>
    <x v="1"/>
  </r>
  <r>
    <x v="1"/>
    <x v="0"/>
  </r>
  <r>
    <x v="1"/>
    <x v="0"/>
  </r>
  <r>
    <x v="1"/>
    <x v="0"/>
  </r>
  <r>
    <x v="1"/>
    <x v="1"/>
  </r>
  <r>
    <x v="1"/>
    <x v="0"/>
  </r>
  <r>
    <x v="1"/>
    <x v="0"/>
  </r>
  <r>
    <x v="1"/>
    <x v="0"/>
  </r>
  <r>
    <x v="1"/>
    <x v="0"/>
  </r>
  <r>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5A6878-33CB-4813-A7A7-DC71FA5CD8A1}"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3:B7" firstHeaderRow="1" firstDataRow="1" firstDataCol="2" rowPageCount="1" colPageCount="1"/>
  <pivotFields count="77">
    <pivotField compact="0" outline="0" showAll="0" defaultSubtotal="0"/>
    <pivotField compact="0" outline="0" showAll="0" defaultSubtotal="0"/>
    <pivotField axis="axisRow" compact="0" outline="0" showAll="0" defaultSubtotal="0">
      <items count="305">
        <item x="150"/>
        <item x="295"/>
        <item x="257"/>
        <item x="148"/>
        <item x="143"/>
        <item x="129"/>
        <item x="233"/>
        <item x="235"/>
        <item x="232"/>
        <item x="204"/>
        <item x="28"/>
        <item x="213"/>
        <item x="49"/>
        <item x="300"/>
        <item x="153"/>
        <item x="144"/>
        <item x="111"/>
        <item x="194"/>
        <item x="278"/>
        <item x="125"/>
        <item x="81"/>
        <item x="224"/>
        <item x="133"/>
        <item x="16"/>
        <item x="104"/>
        <item x="2"/>
        <item x="247"/>
        <item x="147"/>
        <item x="293"/>
        <item x="77"/>
        <item x="126"/>
        <item x="88"/>
        <item x="165"/>
        <item x="218"/>
        <item x="99"/>
        <item x="236"/>
        <item x="55"/>
        <item x="216"/>
        <item x="263"/>
        <item x="121"/>
        <item x="286"/>
        <item x="155"/>
        <item x="187"/>
        <item x="74"/>
        <item x="262"/>
        <item x="166"/>
        <item x="251"/>
        <item x="273"/>
        <item x="84"/>
        <item x="60"/>
        <item x="163"/>
        <item x="256"/>
        <item x="265"/>
        <item x="159"/>
        <item x="179"/>
        <item x="282"/>
        <item x="208"/>
        <item x="4"/>
        <item x="113"/>
        <item x="98"/>
        <item x="45"/>
        <item x="73"/>
        <item x="145"/>
        <item x="71"/>
        <item x="12"/>
        <item x="151"/>
        <item x="198"/>
        <item x="92"/>
        <item x="39"/>
        <item x="190"/>
        <item x="50"/>
        <item x="41"/>
        <item x="237"/>
        <item x="266"/>
        <item x="118"/>
        <item x="35"/>
        <item x="47"/>
        <item x="38"/>
        <item x="225"/>
        <item x="34"/>
        <item x="258"/>
        <item x="61"/>
        <item x="174"/>
        <item x="52"/>
        <item x="62"/>
        <item x="215"/>
        <item x="222"/>
        <item x="230"/>
        <item x="100"/>
        <item x="135"/>
        <item x="68"/>
        <item x="106"/>
        <item x="108"/>
        <item x="32"/>
        <item x="240"/>
        <item x="254"/>
        <item x="146"/>
        <item x="89"/>
        <item x="211"/>
        <item x="292"/>
        <item x="178"/>
        <item x="48"/>
        <item x="17"/>
        <item x="221"/>
        <item x="82"/>
        <item x="209"/>
        <item x="164"/>
        <item x="85"/>
        <item x="246"/>
        <item x="90"/>
        <item x="304"/>
        <item x="105"/>
        <item x="130"/>
        <item x="101"/>
        <item x="212"/>
        <item x="252"/>
        <item x="132"/>
        <item x="94"/>
        <item x="176"/>
        <item x="207"/>
        <item x="206"/>
        <item x="285"/>
        <item x="122"/>
        <item x="66"/>
        <item x="264"/>
        <item x="280"/>
        <item x="193"/>
        <item x="15"/>
        <item x="281"/>
        <item x="116"/>
        <item x="107"/>
        <item x="120"/>
        <item x="227"/>
        <item x="8"/>
        <item x="40"/>
        <item x="229"/>
        <item x="269"/>
        <item x="188"/>
        <item x="168"/>
        <item x="186"/>
        <item x="197"/>
        <item x="124"/>
        <item x="154"/>
        <item x="200"/>
        <item x="5"/>
        <item x="219"/>
        <item x="231"/>
        <item x="64"/>
        <item x="119"/>
        <item x="284"/>
        <item x="128"/>
        <item x="249"/>
        <item x="25"/>
        <item x="243"/>
        <item x="58"/>
        <item x="217"/>
        <item x="203"/>
        <item x="14"/>
        <item x="102"/>
        <item x="53"/>
        <item x="228"/>
        <item x="288"/>
        <item x="214"/>
        <item x="138"/>
        <item x="160"/>
        <item x="182"/>
        <item x="37"/>
        <item x="75"/>
        <item x="10"/>
        <item x="13"/>
        <item x="57"/>
        <item x="260"/>
        <item x="23"/>
        <item x="3"/>
        <item x="289"/>
        <item x="279"/>
        <item x="109"/>
        <item x="18"/>
        <item x="76"/>
        <item x="24"/>
        <item x="33"/>
        <item x="114"/>
        <item x="0"/>
        <item x="7"/>
        <item x="137"/>
        <item x="287"/>
        <item x="21"/>
        <item x="173"/>
        <item x="152"/>
        <item x="83"/>
        <item x="142"/>
        <item x="180"/>
        <item x="70"/>
        <item x="261"/>
        <item x="162"/>
        <item x="78"/>
        <item x="302"/>
        <item x="210"/>
        <item x="171"/>
        <item x="110"/>
        <item x="127"/>
        <item x="205"/>
        <item x="140"/>
        <item x="298"/>
        <item x="91"/>
        <item x="277"/>
        <item x="192"/>
        <item x="177"/>
        <item x="156"/>
        <item x="36"/>
        <item x="95"/>
        <item x="9"/>
        <item x="44"/>
        <item x="139"/>
        <item x="1"/>
        <item x="248"/>
        <item x="184"/>
        <item x="296"/>
        <item x="301"/>
        <item x="149"/>
        <item x="22"/>
        <item x="54"/>
        <item x="63"/>
        <item x="270"/>
        <item x="96"/>
        <item x="181"/>
        <item x="245"/>
        <item x="244"/>
        <item x="161"/>
        <item x="157"/>
        <item x="255"/>
        <item x="167"/>
        <item x="93"/>
        <item x="65"/>
        <item x="42"/>
        <item x="185"/>
        <item x="136"/>
        <item x="250"/>
        <item x="67"/>
        <item x="196"/>
        <item x="29"/>
        <item x="253"/>
        <item x="234"/>
        <item x="299"/>
        <item x="97"/>
        <item x="19"/>
        <item x="272"/>
        <item x="259"/>
        <item x="115"/>
        <item x="131"/>
        <item x="175"/>
        <item x="46"/>
        <item x="30"/>
        <item x="134"/>
        <item x="267"/>
        <item x="268"/>
        <item x="72"/>
        <item x="43"/>
        <item x="51"/>
        <item x="189"/>
        <item x="170"/>
        <item x="220"/>
        <item x="239"/>
        <item x="241"/>
        <item x="238"/>
        <item x="195"/>
        <item x="290"/>
        <item x="283"/>
        <item x="112"/>
        <item x="201"/>
        <item x="191"/>
        <item x="103"/>
        <item x="297"/>
        <item x="69"/>
        <item x="303"/>
        <item x="226"/>
        <item x="291"/>
        <item x="80"/>
        <item x="223"/>
        <item x="141"/>
        <item x="242"/>
        <item x="20"/>
        <item x="59"/>
        <item x="274"/>
        <item x="79"/>
        <item x="183"/>
        <item x="6"/>
        <item x="271"/>
        <item x="294"/>
        <item x="172"/>
        <item x="31"/>
        <item x="27"/>
        <item x="117"/>
        <item x="202"/>
        <item x="87"/>
        <item x="169"/>
        <item x="123"/>
        <item x="86"/>
        <item x="158"/>
        <item x="199"/>
        <item x="275"/>
        <item x="276"/>
        <item x="56"/>
        <item x="11"/>
        <item x="26"/>
      </items>
    </pivotField>
    <pivotField compact="0" outline="0" showAll="0" defaultSubtotal="0"/>
    <pivotField compact="0" outline="0" showAll="0" defaultSubtotal="0">
      <items count="2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s>
    </pivotField>
    <pivotField axis="axisRow" compact="0" outline="0" showAll="0" defaultSubtotal="0">
      <items count="337">
        <item x="98"/>
        <item x="149"/>
        <item x="156"/>
        <item x="65"/>
        <item x="52"/>
        <item x="99"/>
        <item x="294"/>
        <item x="288"/>
        <item x="73"/>
        <item x="221"/>
        <item x="242"/>
        <item x="10"/>
        <item x="295"/>
        <item x="90"/>
        <item x="17"/>
        <item x="42"/>
        <item x="243"/>
        <item x="74"/>
        <item x="21"/>
        <item x="168"/>
        <item x="264"/>
        <item x="81"/>
        <item x="238"/>
        <item x="112"/>
        <item x="122"/>
        <item x="233"/>
        <item x="67"/>
        <item x="82"/>
        <item x="63"/>
        <item x="45"/>
        <item x="142"/>
        <item x="150"/>
        <item x="240"/>
        <item x="206"/>
        <item x="280"/>
        <item x="258"/>
        <item x="85"/>
        <item x="143"/>
        <item x="106"/>
        <item x="220"/>
        <item x="231"/>
        <item x="100"/>
        <item x="182"/>
        <item x="329"/>
        <item x="121"/>
        <item x="56"/>
        <item x="107"/>
        <item x="318"/>
        <item x="291"/>
        <item x="38"/>
        <item x="254"/>
        <item x="131"/>
        <item x="108"/>
        <item x="269"/>
        <item x="302"/>
        <item x="223"/>
        <item x="303"/>
        <item x="228"/>
        <item x="163"/>
        <item x="75"/>
        <item x="97"/>
        <item x="301"/>
        <item x="250"/>
        <item x="248"/>
        <item x="278"/>
        <item x="177"/>
        <item x="34"/>
        <item x="328"/>
        <item x="104"/>
        <item x="317"/>
        <item x="297"/>
        <item x="255"/>
        <item x="66"/>
        <item x="210"/>
        <item x="154"/>
        <item x="174"/>
        <item x="50"/>
        <item x="30"/>
        <item x="299"/>
        <item x="71"/>
        <item x="209"/>
        <item x="158"/>
        <item x="287"/>
        <item x="316"/>
        <item x="202"/>
        <item x="181"/>
        <item x="293"/>
        <item x="292"/>
        <item x="227"/>
        <item x="184"/>
        <item x="35"/>
        <item x="305"/>
        <item x="14"/>
        <item x="207"/>
        <item x="102"/>
        <item x="204"/>
        <item x="304"/>
        <item x="307"/>
        <item x="13"/>
        <item x="134"/>
        <item x="95"/>
        <item x="47"/>
        <item x="148"/>
        <item x="330"/>
        <item x="251"/>
        <item x="192"/>
        <item x="132"/>
        <item x="321"/>
        <item x="72"/>
        <item x="282"/>
        <item x="164"/>
        <item x="125"/>
        <item x="110"/>
        <item x="162"/>
        <item x="245"/>
        <item x="191"/>
        <item x="226"/>
        <item x="244"/>
        <item x="144"/>
        <item x="216"/>
        <item x="237"/>
        <item x="298"/>
        <item x="285"/>
        <item x="155"/>
        <item x="212"/>
        <item x="119"/>
        <item x="12"/>
        <item x="235"/>
        <item x="196"/>
        <item x="199"/>
        <item x="87"/>
        <item x="195"/>
        <item x="201"/>
        <item x="103"/>
        <item x="153"/>
        <item x="152"/>
        <item x="86"/>
        <item x="267"/>
        <item x="120"/>
        <item x="322"/>
        <item x="92"/>
        <item x="180"/>
        <item x="22"/>
        <item x="170"/>
        <item x="308"/>
        <item x="186"/>
        <item x="0"/>
        <item x="1"/>
        <item x="27"/>
        <item x="54"/>
        <item x="310"/>
        <item x="114"/>
        <item x="6"/>
        <item x="18"/>
        <item x="5"/>
        <item x="229"/>
        <item x="60"/>
        <item x="263"/>
        <item x="57"/>
        <item x="314"/>
        <item x="77"/>
        <item x="147"/>
        <item x="64"/>
        <item x="44"/>
        <item x="224"/>
        <item x="31"/>
        <item x="41"/>
        <item x="20"/>
        <item x="252"/>
        <item x="205"/>
        <item x="160"/>
        <item x="49"/>
        <item x="161"/>
        <item x="137"/>
        <item x="58"/>
        <item x="171"/>
        <item x="136"/>
        <item x="145"/>
        <item x="176"/>
        <item x="53"/>
        <item x="9"/>
        <item x="4"/>
        <item x="272"/>
        <item x="213"/>
        <item x="283"/>
        <item x="3"/>
        <item x="232"/>
        <item x="241"/>
        <item x="309"/>
        <item x="313"/>
        <item x="25"/>
        <item x="197"/>
        <item x="113"/>
        <item x="109"/>
        <item x="69"/>
        <item x="219"/>
        <item x="130"/>
        <item x="277"/>
        <item x="141"/>
        <item x="275"/>
        <item x="183"/>
        <item x="40"/>
        <item x="46"/>
        <item x="290"/>
        <item x="84"/>
        <item x="319"/>
        <item x="273"/>
        <item x="262"/>
        <item x="325"/>
        <item x="36"/>
        <item x="175"/>
        <item x="306"/>
        <item x="51"/>
        <item x="217"/>
        <item x="61"/>
        <item x="190"/>
        <item x="300"/>
        <item x="24"/>
        <item x="124"/>
        <item x="187"/>
        <item x="165"/>
        <item x="96"/>
        <item x="43"/>
        <item x="55"/>
        <item x="218"/>
        <item x="128"/>
        <item x="203"/>
        <item x="39"/>
        <item x="88"/>
        <item x="239"/>
        <item x="312"/>
        <item x="94"/>
        <item x="225"/>
        <item x="257"/>
        <item x="139"/>
        <item x="19"/>
        <item x="123"/>
        <item x="127"/>
        <item x="211"/>
        <item x="111"/>
        <item x="261"/>
        <item x="311"/>
        <item x="266"/>
        <item x="281"/>
        <item x="138"/>
        <item x="200"/>
        <item x="323"/>
        <item x="32"/>
        <item x="105"/>
        <item x="116"/>
        <item x="324"/>
        <item x="2"/>
        <item x="167"/>
        <item x="117"/>
        <item x="115"/>
        <item x="8"/>
        <item x="80"/>
        <item x="7"/>
        <item x="15"/>
        <item x="59"/>
        <item x="222"/>
        <item x="91"/>
        <item x="214"/>
        <item x="28"/>
        <item x="11"/>
        <item x="296"/>
        <item x="157"/>
        <item x="284"/>
        <item x="230"/>
        <item x="159"/>
        <item x="68"/>
        <item x="234"/>
        <item x="333"/>
        <item x="326"/>
        <item x="259"/>
        <item x="133"/>
        <item x="198"/>
        <item x="179"/>
        <item x="70"/>
        <item x="208"/>
        <item x="268"/>
        <item x="62"/>
        <item x="129"/>
        <item x="172"/>
        <item x="194"/>
        <item x="178"/>
        <item x="101"/>
        <item x="246"/>
        <item x="29"/>
        <item x="37"/>
        <item x="188"/>
        <item x="76"/>
        <item x="260"/>
        <item x="336"/>
        <item x="189"/>
        <item x="33"/>
        <item x="289"/>
        <item x="83"/>
        <item x="315"/>
        <item x="247"/>
        <item x="135"/>
        <item x="166"/>
        <item x="331"/>
        <item x="236"/>
        <item x="335"/>
        <item x="140"/>
        <item x="334"/>
        <item x="265"/>
        <item x="332"/>
        <item x="276"/>
        <item x="93"/>
        <item x="16"/>
        <item x="193"/>
        <item x="79"/>
        <item x="271"/>
        <item x="274"/>
        <item x="169"/>
        <item x="173"/>
        <item x="146"/>
        <item x="215"/>
        <item x="327"/>
        <item x="270"/>
        <item x="89"/>
        <item x="185"/>
        <item x="286"/>
        <item x="279"/>
        <item x="48"/>
        <item x="126"/>
        <item x="256"/>
        <item x="78"/>
        <item x="118"/>
        <item x="151"/>
        <item x="23"/>
        <item x="253"/>
        <item x="249"/>
        <item x="320"/>
        <item x="2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7">
        <item h="1" x="5"/>
        <item h="1" x="14"/>
        <item h="1" x="16"/>
        <item h="1" x="13"/>
        <item h="1" x="10"/>
        <item h="1" x="9"/>
        <item h="1" x="8"/>
        <item h="1" x="0"/>
        <item h="1" x="1"/>
        <item h="1" x="2"/>
        <item h="1" x="3"/>
        <item h="1" x="4"/>
        <item h="1" x="7"/>
        <item x="12"/>
        <item x="11"/>
        <item h="1" x="15"/>
        <item h="1" x="6"/>
      </items>
    </pivotField>
    <pivotField compact="0" outline="0" showAll="0" defaultSubtotal="0"/>
    <pivotField compact="0" outline="0" showAll="0" defaultSubtotal="0"/>
    <pivotField compact="0" outline="0" showAll="0" defaultSubtotal="0"/>
  </pivotFields>
  <rowFields count="2">
    <field x="2"/>
    <field x="5"/>
  </rowFields>
  <rowItems count="4">
    <i>
      <x v="87"/>
      <x v="120"/>
    </i>
    <i>
      <x v="138"/>
      <x v="75"/>
    </i>
    <i>
      <x v="163"/>
      <x v="118"/>
    </i>
    <i>
      <x v="193"/>
      <x v="53"/>
    </i>
  </rowItems>
  <colItems count="1">
    <i/>
  </colItems>
  <pageFields count="1">
    <pageField fld="73" hier="-1"/>
  </pageFields>
  <formats count="11">
    <format dxfId="22">
      <pivotArea field="5" type="button" dataOnly="0" labelOnly="1" outline="0" axis="axisRow" fieldPosition="1"/>
    </format>
    <format dxfId="21">
      <pivotArea dataOnly="0" labelOnly="1" outline="0" fieldPosition="0">
        <references count="2">
          <reference field="2" count="1" selected="0">
            <x v="13"/>
          </reference>
          <reference field="5" count="1">
            <x v="47"/>
          </reference>
        </references>
      </pivotArea>
    </format>
    <format dxfId="20">
      <pivotArea dataOnly="0" labelOnly="1" outline="0" fieldPosition="0">
        <references count="2">
          <reference field="2" count="1" selected="0">
            <x v="25"/>
          </reference>
          <reference field="5" count="1">
            <x v="251"/>
          </reference>
        </references>
      </pivotArea>
    </format>
    <format dxfId="19">
      <pivotArea dataOnly="0" labelOnly="1" outline="0" fieldPosition="0">
        <references count="2">
          <reference field="2" count="1" selected="0">
            <x v="110"/>
          </reference>
          <reference field="5" count="1">
            <x v="139"/>
          </reference>
        </references>
      </pivotArea>
    </format>
    <format dxfId="18">
      <pivotArea dataOnly="0" labelOnly="1" outline="0" fieldPosition="0">
        <references count="2">
          <reference field="2" count="1" selected="0">
            <x v="196"/>
          </reference>
          <reference field="5" count="1">
            <x v="335"/>
          </reference>
        </references>
      </pivotArea>
    </format>
    <format dxfId="17">
      <pivotArea dataOnly="0" labelOnly="1" outline="0" fieldPosition="0">
        <references count="2">
          <reference field="2" count="1" selected="0">
            <x v="203"/>
          </reference>
          <reference field="5" count="1">
            <x v="83"/>
          </reference>
        </references>
      </pivotArea>
    </format>
    <format dxfId="16">
      <pivotArea dataOnly="0" labelOnly="1" outline="0" fieldPosition="0">
        <references count="2">
          <reference field="2" count="1" selected="0">
            <x v="214"/>
          </reference>
          <reference field="5" count="1">
            <x v="147"/>
          </reference>
        </references>
      </pivotArea>
    </format>
    <format dxfId="15">
      <pivotArea dataOnly="0" labelOnly="1" outline="0" fieldPosition="0">
        <references count="2">
          <reference field="2" count="1" selected="0">
            <x v="218"/>
          </reference>
          <reference field="5" count="1">
            <x v="205"/>
          </reference>
        </references>
      </pivotArea>
    </format>
    <format dxfId="14">
      <pivotArea dataOnly="0" labelOnly="1" outline="0" fieldPosition="0">
        <references count="2">
          <reference field="2" count="1" selected="0">
            <x v="243"/>
          </reference>
          <reference field="5" count="1">
            <x v="69"/>
          </reference>
        </references>
      </pivotArea>
    </format>
    <format dxfId="13">
      <pivotArea dataOnly="0" labelOnly="1" outline="0" fieldPosition="0">
        <references count="2">
          <reference field="2" count="1" selected="0">
            <x v="274"/>
          </reference>
          <reference field="5" count="1">
            <x v="107"/>
          </reference>
        </references>
      </pivotArea>
    </format>
    <format dxfId="12">
      <pivotArea dataOnly="0" labelOnly="1" outline="0" fieldPosition="0">
        <references count="2">
          <reference field="2" count="1" selected="0">
            <x v="303"/>
          </reference>
          <reference field="5" count="4">
            <x v="208"/>
            <x v="246"/>
            <x v="250"/>
            <x v="27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81C2B-34E3-4A9B-BCF5-D4C2493E1B92}"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3:B16" firstHeaderRow="1" firstDataRow="1" firstDataCol="2" rowPageCount="1" colPageCount="1"/>
  <pivotFields count="77">
    <pivotField compact="0" outline="0" showAll="0" defaultSubtotal="0"/>
    <pivotField compact="0" outline="0" showAll="0" defaultSubtotal="0"/>
    <pivotField axis="axisRow" compact="0" outline="0" showAll="0" defaultSubtotal="0">
      <items count="305">
        <item x="150"/>
        <item x="295"/>
        <item x="257"/>
        <item x="148"/>
        <item x="143"/>
        <item x="129"/>
        <item x="233"/>
        <item x="235"/>
        <item x="232"/>
        <item x="204"/>
        <item x="28"/>
        <item x="213"/>
        <item x="49"/>
        <item x="300"/>
        <item x="153"/>
        <item x="144"/>
        <item x="111"/>
        <item x="194"/>
        <item x="278"/>
        <item x="125"/>
        <item x="81"/>
        <item x="224"/>
        <item x="133"/>
        <item x="16"/>
        <item x="104"/>
        <item x="2"/>
        <item x="247"/>
        <item x="147"/>
        <item x="293"/>
        <item x="77"/>
        <item x="126"/>
        <item x="88"/>
        <item x="165"/>
        <item x="218"/>
        <item x="99"/>
        <item x="236"/>
        <item x="55"/>
        <item x="216"/>
        <item x="263"/>
        <item x="121"/>
        <item x="286"/>
        <item x="155"/>
        <item x="187"/>
        <item x="74"/>
        <item x="262"/>
        <item x="166"/>
        <item x="251"/>
        <item x="273"/>
        <item x="84"/>
        <item x="60"/>
        <item x="163"/>
        <item x="256"/>
        <item x="265"/>
        <item x="159"/>
        <item x="179"/>
        <item x="282"/>
        <item x="208"/>
        <item x="4"/>
        <item x="113"/>
        <item x="98"/>
        <item x="45"/>
        <item x="73"/>
        <item x="145"/>
        <item x="71"/>
        <item x="12"/>
        <item x="151"/>
        <item x="198"/>
        <item x="92"/>
        <item x="39"/>
        <item x="190"/>
        <item x="50"/>
        <item x="41"/>
        <item x="237"/>
        <item x="266"/>
        <item x="118"/>
        <item x="35"/>
        <item x="47"/>
        <item x="38"/>
        <item x="225"/>
        <item x="34"/>
        <item x="258"/>
        <item x="61"/>
        <item x="174"/>
        <item x="52"/>
        <item x="62"/>
        <item x="215"/>
        <item x="222"/>
        <item x="230"/>
        <item x="100"/>
        <item x="135"/>
        <item x="68"/>
        <item x="106"/>
        <item x="108"/>
        <item x="32"/>
        <item x="240"/>
        <item x="254"/>
        <item x="146"/>
        <item x="89"/>
        <item x="211"/>
        <item x="292"/>
        <item x="178"/>
        <item x="48"/>
        <item x="17"/>
        <item x="221"/>
        <item x="82"/>
        <item x="209"/>
        <item x="164"/>
        <item x="85"/>
        <item x="246"/>
        <item x="90"/>
        <item x="304"/>
        <item x="105"/>
        <item x="130"/>
        <item x="101"/>
        <item x="212"/>
        <item x="252"/>
        <item x="132"/>
        <item x="94"/>
        <item x="176"/>
        <item x="207"/>
        <item x="206"/>
        <item x="285"/>
        <item x="122"/>
        <item x="66"/>
        <item x="264"/>
        <item x="280"/>
        <item x="193"/>
        <item x="15"/>
        <item x="281"/>
        <item x="116"/>
        <item x="107"/>
        <item x="120"/>
        <item x="227"/>
        <item x="8"/>
        <item x="40"/>
        <item x="229"/>
        <item x="269"/>
        <item x="188"/>
        <item x="168"/>
        <item x="186"/>
        <item x="197"/>
        <item x="124"/>
        <item x="154"/>
        <item x="200"/>
        <item x="5"/>
        <item x="219"/>
        <item x="231"/>
        <item x="64"/>
        <item x="119"/>
        <item x="284"/>
        <item x="128"/>
        <item x="249"/>
        <item x="25"/>
        <item x="243"/>
        <item x="58"/>
        <item x="217"/>
        <item x="203"/>
        <item x="14"/>
        <item x="102"/>
        <item x="53"/>
        <item x="228"/>
        <item x="288"/>
        <item x="214"/>
        <item x="138"/>
        <item x="160"/>
        <item x="182"/>
        <item x="37"/>
        <item x="75"/>
        <item x="10"/>
        <item x="13"/>
        <item x="57"/>
        <item x="260"/>
        <item x="23"/>
        <item x="3"/>
        <item x="289"/>
        <item x="279"/>
        <item x="109"/>
        <item x="18"/>
        <item x="76"/>
        <item x="24"/>
        <item x="33"/>
        <item x="114"/>
        <item x="0"/>
        <item x="7"/>
        <item x="137"/>
        <item x="287"/>
        <item x="21"/>
        <item x="173"/>
        <item x="152"/>
        <item x="83"/>
        <item x="142"/>
        <item x="180"/>
        <item x="70"/>
        <item x="261"/>
        <item x="162"/>
        <item x="78"/>
        <item x="302"/>
        <item x="210"/>
        <item x="171"/>
        <item x="110"/>
        <item x="127"/>
        <item x="205"/>
        <item x="140"/>
        <item x="298"/>
        <item x="91"/>
        <item x="277"/>
        <item x="192"/>
        <item x="177"/>
        <item x="156"/>
        <item x="36"/>
        <item x="95"/>
        <item x="9"/>
        <item x="44"/>
        <item x="139"/>
        <item x="1"/>
        <item x="248"/>
        <item x="184"/>
        <item x="296"/>
        <item x="301"/>
        <item x="149"/>
        <item x="22"/>
        <item x="54"/>
        <item x="63"/>
        <item x="270"/>
        <item x="96"/>
        <item x="181"/>
        <item x="245"/>
        <item x="244"/>
        <item x="161"/>
        <item x="157"/>
        <item x="255"/>
        <item x="167"/>
        <item x="93"/>
        <item x="65"/>
        <item x="42"/>
        <item x="185"/>
        <item x="136"/>
        <item x="250"/>
        <item x="67"/>
        <item x="196"/>
        <item x="29"/>
        <item x="253"/>
        <item x="234"/>
        <item x="299"/>
        <item x="97"/>
        <item x="19"/>
        <item x="272"/>
        <item x="259"/>
        <item x="115"/>
        <item x="131"/>
        <item x="175"/>
        <item x="46"/>
        <item x="30"/>
        <item x="134"/>
        <item x="267"/>
        <item x="268"/>
        <item x="72"/>
        <item x="43"/>
        <item x="51"/>
        <item x="189"/>
        <item x="170"/>
        <item x="220"/>
        <item x="239"/>
        <item x="241"/>
        <item x="238"/>
        <item x="195"/>
        <item x="290"/>
        <item x="283"/>
        <item x="112"/>
        <item x="201"/>
        <item x="191"/>
        <item x="103"/>
        <item x="297"/>
        <item x="69"/>
        <item x="303"/>
        <item x="226"/>
        <item x="291"/>
        <item x="80"/>
        <item x="223"/>
        <item x="141"/>
        <item x="242"/>
        <item x="20"/>
        <item x="59"/>
        <item x="274"/>
        <item x="79"/>
        <item x="183"/>
        <item x="6"/>
        <item x="271"/>
        <item x="294"/>
        <item x="172"/>
        <item x="31"/>
        <item x="27"/>
        <item x="117"/>
        <item x="202"/>
        <item x="87"/>
        <item x="169"/>
        <item x="123"/>
        <item x="86"/>
        <item x="158"/>
        <item x="199"/>
        <item x="275"/>
        <item x="276"/>
        <item x="56"/>
        <item x="11"/>
        <item x="26"/>
      </items>
    </pivotField>
    <pivotField compact="0" outline="0" showAll="0" defaultSubtotal="0"/>
    <pivotField axis="axisPage" compact="0" outline="0" showAll="0" defaultSubtotal="0">
      <items count="2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s>
    </pivotField>
    <pivotField axis="axisRow" compact="0" outline="0" showAll="0" defaultSubtotal="0">
      <items count="337">
        <item x="98"/>
        <item x="149"/>
        <item x="156"/>
        <item x="65"/>
        <item x="52"/>
        <item x="99"/>
        <item x="294"/>
        <item x="288"/>
        <item x="73"/>
        <item x="221"/>
        <item x="242"/>
        <item x="10"/>
        <item x="295"/>
        <item x="90"/>
        <item x="17"/>
        <item x="42"/>
        <item x="243"/>
        <item x="74"/>
        <item x="21"/>
        <item x="168"/>
        <item x="264"/>
        <item x="81"/>
        <item x="238"/>
        <item x="112"/>
        <item x="122"/>
        <item x="233"/>
        <item x="67"/>
        <item x="82"/>
        <item x="63"/>
        <item x="45"/>
        <item x="142"/>
        <item x="150"/>
        <item x="240"/>
        <item x="206"/>
        <item x="280"/>
        <item x="258"/>
        <item x="85"/>
        <item x="143"/>
        <item x="106"/>
        <item x="220"/>
        <item x="231"/>
        <item x="100"/>
        <item x="182"/>
        <item x="329"/>
        <item x="121"/>
        <item x="56"/>
        <item x="107"/>
        <item x="318"/>
        <item x="291"/>
        <item x="38"/>
        <item x="254"/>
        <item x="131"/>
        <item x="108"/>
        <item x="269"/>
        <item x="302"/>
        <item x="223"/>
        <item x="303"/>
        <item x="228"/>
        <item x="163"/>
        <item x="75"/>
        <item x="97"/>
        <item x="301"/>
        <item x="250"/>
        <item x="248"/>
        <item x="278"/>
        <item x="177"/>
        <item x="34"/>
        <item x="328"/>
        <item x="104"/>
        <item x="317"/>
        <item x="297"/>
        <item x="255"/>
        <item x="66"/>
        <item x="210"/>
        <item x="154"/>
        <item x="174"/>
        <item x="50"/>
        <item x="30"/>
        <item x="299"/>
        <item x="71"/>
        <item x="209"/>
        <item x="158"/>
        <item x="287"/>
        <item x="316"/>
        <item x="202"/>
        <item x="181"/>
        <item x="293"/>
        <item x="292"/>
        <item x="227"/>
        <item x="184"/>
        <item x="35"/>
        <item x="305"/>
        <item x="14"/>
        <item x="207"/>
        <item x="102"/>
        <item x="204"/>
        <item x="304"/>
        <item x="307"/>
        <item x="13"/>
        <item x="134"/>
        <item x="95"/>
        <item x="47"/>
        <item x="148"/>
        <item x="330"/>
        <item x="251"/>
        <item x="192"/>
        <item x="132"/>
        <item x="321"/>
        <item x="72"/>
        <item x="282"/>
        <item x="164"/>
        <item x="125"/>
        <item x="110"/>
        <item x="162"/>
        <item x="245"/>
        <item x="191"/>
        <item x="226"/>
        <item x="244"/>
        <item x="144"/>
        <item x="216"/>
        <item x="237"/>
        <item x="298"/>
        <item x="285"/>
        <item x="155"/>
        <item x="212"/>
        <item x="119"/>
        <item x="12"/>
        <item x="235"/>
        <item x="196"/>
        <item x="199"/>
        <item x="87"/>
        <item x="195"/>
        <item x="201"/>
        <item x="103"/>
        <item x="153"/>
        <item x="152"/>
        <item x="86"/>
        <item x="267"/>
        <item x="120"/>
        <item x="322"/>
        <item x="92"/>
        <item x="180"/>
        <item x="22"/>
        <item x="170"/>
        <item x="308"/>
        <item x="186"/>
        <item x="0"/>
        <item x="1"/>
        <item x="27"/>
        <item x="54"/>
        <item x="310"/>
        <item x="114"/>
        <item x="6"/>
        <item x="18"/>
        <item x="5"/>
        <item x="229"/>
        <item x="60"/>
        <item x="263"/>
        <item x="57"/>
        <item x="314"/>
        <item x="77"/>
        <item x="147"/>
        <item x="64"/>
        <item x="44"/>
        <item x="224"/>
        <item x="31"/>
        <item x="41"/>
        <item x="20"/>
        <item x="252"/>
        <item x="205"/>
        <item x="160"/>
        <item x="49"/>
        <item x="161"/>
        <item x="137"/>
        <item x="58"/>
        <item x="171"/>
        <item x="136"/>
        <item x="145"/>
        <item x="176"/>
        <item x="53"/>
        <item x="9"/>
        <item x="4"/>
        <item x="272"/>
        <item x="213"/>
        <item x="283"/>
        <item x="3"/>
        <item x="232"/>
        <item x="241"/>
        <item x="309"/>
        <item x="313"/>
        <item x="25"/>
        <item x="197"/>
        <item x="113"/>
        <item x="109"/>
        <item x="69"/>
        <item x="219"/>
        <item x="130"/>
        <item x="277"/>
        <item x="141"/>
        <item x="275"/>
        <item x="183"/>
        <item x="40"/>
        <item x="46"/>
        <item x="290"/>
        <item x="84"/>
        <item x="319"/>
        <item x="273"/>
        <item x="262"/>
        <item x="325"/>
        <item x="36"/>
        <item x="175"/>
        <item x="306"/>
        <item x="51"/>
        <item x="217"/>
        <item x="61"/>
        <item x="190"/>
        <item x="300"/>
        <item x="24"/>
        <item x="124"/>
        <item x="187"/>
        <item x="165"/>
        <item x="96"/>
        <item x="43"/>
        <item x="55"/>
        <item x="218"/>
        <item x="128"/>
        <item x="203"/>
        <item x="39"/>
        <item x="88"/>
        <item x="239"/>
        <item x="312"/>
        <item x="94"/>
        <item x="225"/>
        <item x="257"/>
        <item x="139"/>
        <item x="19"/>
        <item x="123"/>
        <item x="127"/>
        <item x="211"/>
        <item x="111"/>
        <item x="261"/>
        <item x="311"/>
        <item x="266"/>
        <item x="281"/>
        <item x="138"/>
        <item x="200"/>
        <item x="323"/>
        <item x="32"/>
        <item x="105"/>
        <item x="116"/>
        <item x="324"/>
        <item x="2"/>
        <item x="167"/>
        <item x="117"/>
        <item x="115"/>
        <item x="8"/>
        <item x="80"/>
        <item x="7"/>
        <item x="15"/>
        <item x="59"/>
        <item x="222"/>
        <item x="91"/>
        <item x="214"/>
        <item x="28"/>
        <item x="11"/>
        <item x="296"/>
        <item x="157"/>
        <item x="284"/>
        <item x="230"/>
        <item x="159"/>
        <item x="68"/>
        <item x="234"/>
        <item x="333"/>
        <item x="326"/>
        <item x="259"/>
        <item x="133"/>
        <item x="198"/>
        <item x="179"/>
        <item x="70"/>
        <item x="208"/>
        <item x="268"/>
        <item x="62"/>
        <item x="129"/>
        <item x="172"/>
        <item x="194"/>
        <item x="178"/>
        <item x="101"/>
        <item x="246"/>
        <item x="29"/>
        <item x="37"/>
        <item x="188"/>
        <item x="76"/>
        <item x="260"/>
        <item x="336"/>
        <item x="189"/>
        <item x="33"/>
        <item x="289"/>
        <item x="83"/>
        <item x="315"/>
        <item x="247"/>
        <item x="135"/>
        <item x="166"/>
        <item x="331"/>
        <item x="236"/>
        <item x="335"/>
        <item x="140"/>
        <item x="334"/>
        <item x="265"/>
        <item x="332"/>
        <item x="276"/>
        <item x="93"/>
        <item x="16"/>
        <item x="193"/>
        <item x="79"/>
        <item x="271"/>
        <item x="274"/>
        <item x="169"/>
        <item x="173"/>
        <item x="146"/>
        <item x="215"/>
        <item x="327"/>
        <item x="270"/>
        <item x="89"/>
        <item x="185"/>
        <item x="286"/>
        <item x="279"/>
        <item x="48"/>
        <item x="126"/>
        <item x="256"/>
        <item x="78"/>
        <item x="118"/>
        <item x="151"/>
        <item x="23"/>
        <item x="253"/>
        <item x="249"/>
        <item x="320"/>
        <item x="2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2"/>
    <field x="5"/>
  </rowFields>
  <rowItems count="13">
    <i>
      <x v="13"/>
      <x v="47"/>
    </i>
    <i>
      <x v="25"/>
      <x v="251"/>
    </i>
    <i>
      <x v="110"/>
      <x v="139"/>
    </i>
    <i>
      <x v="196"/>
      <x v="335"/>
    </i>
    <i>
      <x v="203"/>
      <x v="83"/>
    </i>
    <i>
      <x v="214"/>
      <x v="147"/>
    </i>
    <i>
      <x v="218"/>
      <x v="205"/>
    </i>
    <i>
      <x v="243"/>
      <x v="69"/>
    </i>
    <i>
      <x v="274"/>
      <x v="107"/>
    </i>
    <i>
      <x v="303"/>
      <x v="208"/>
    </i>
    <i r="1">
      <x v="246"/>
    </i>
    <i r="1">
      <x v="250"/>
    </i>
    <i r="1">
      <x v="273"/>
    </i>
  </rowItems>
  <colItems count="1">
    <i/>
  </colItems>
  <pageFields count="1">
    <pageField fld="4" item="281" hier="-1"/>
  </pageFields>
  <formats count="12">
    <format dxfId="11">
      <pivotArea dataOnly="0" labelOnly="1" outline="0" fieldPosition="0">
        <references count="1">
          <reference field="4" count="1">
            <x v="281"/>
          </reference>
        </references>
      </pivotArea>
    </format>
    <format dxfId="10">
      <pivotArea field="5" type="button" dataOnly="0" labelOnly="1" outline="0" axis="axisRow" fieldPosition="1"/>
    </format>
    <format dxfId="9">
      <pivotArea dataOnly="0" labelOnly="1" outline="0" fieldPosition="0">
        <references count="2">
          <reference field="2" count="1" selected="0">
            <x v="13"/>
          </reference>
          <reference field="5" count="1">
            <x v="47"/>
          </reference>
        </references>
      </pivotArea>
    </format>
    <format dxfId="8">
      <pivotArea dataOnly="0" labelOnly="1" outline="0" fieldPosition="0">
        <references count="2">
          <reference field="2" count="1" selected="0">
            <x v="25"/>
          </reference>
          <reference field="5" count="1">
            <x v="251"/>
          </reference>
        </references>
      </pivotArea>
    </format>
    <format dxfId="7">
      <pivotArea dataOnly="0" labelOnly="1" outline="0" fieldPosition="0">
        <references count="2">
          <reference field="2" count="1" selected="0">
            <x v="110"/>
          </reference>
          <reference field="5" count="1">
            <x v="139"/>
          </reference>
        </references>
      </pivotArea>
    </format>
    <format dxfId="6">
      <pivotArea dataOnly="0" labelOnly="1" outline="0" fieldPosition="0">
        <references count="2">
          <reference field="2" count="1" selected="0">
            <x v="196"/>
          </reference>
          <reference field="5" count="1">
            <x v="335"/>
          </reference>
        </references>
      </pivotArea>
    </format>
    <format dxfId="5">
      <pivotArea dataOnly="0" labelOnly="1" outline="0" fieldPosition="0">
        <references count="2">
          <reference field="2" count="1" selected="0">
            <x v="203"/>
          </reference>
          <reference field="5" count="1">
            <x v="83"/>
          </reference>
        </references>
      </pivotArea>
    </format>
    <format dxfId="4">
      <pivotArea dataOnly="0" labelOnly="1" outline="0" fieldPosition="0">
        <references count="2">
          <reference field="2" count="1" selected="0">
            <x v="214"/>
          </reference>
          <reference field="5" count="1">
            <x v="147"/>
          </reference>
        </references>
      </pivotArea>
    </format>
    <format dxfId="3">
      <pivotArea dataOnly="0" labelOnly="1" outline="0" fieldPosition="0">
        <references count="2">
          <reference field="2" count="1" selected="0">
            <x v="218"/>
          </reference>
          <reference field="5" count="1">
            <x v="205"/>
          </reference>
        </references>
      </pivotArea>
    </format>
    <format dxfId="2">
      <pivotArea dataOnly="0" labelOnly="1" outline="0" fieldPosition="0">
        <references count="2">
          <reference field="2" count="1" selected="0">
            <x v="243"/>
          </reference>
          <reference field="5" count="1">
            <x v="69"/>
          </reference>
        </references>
      </pivotArea>
    </format>
    <format dxfId="1">
      <pivotArea dataOnly="0" labelOnly="1" outline="0" fieldPosition="0">
        <references count="2">
          <reference field="2" count="1" selected="0">
            <x v="274"/>
          </reference>
          <reference field="5" count="1">
            <x v="107"/>
          </reference>
        </references>
      </pivotArea>
    </format>
    <format dxfId="0">
      <pivotArea dataOnly="0" labelOnly="1" outline="0" fieldPosition="0">
        <references count="2">
          <reference field="2" count="1" selected="0">
            <x v="303"/>
          </reference>
          <reference field="5" count="4">
            <x v="208"/>
            <x v="246"/>
            <x v="250"/>
            <x v="27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29CC32-6F8A-4D05-84E7-30C18DBB92C1}"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7" firstHeaderRow="1" firstDataRow="2" firstDataCol="1"/>
  <pivotFields count="2">
    <pivotField axis="axisRow" dataField="1" showAll="0" sortType="ascending">
      <items count="3">
        <item x="1"/>
        <item x="0"/>
        <item t="default"/>
      </items>
    </pivotField>
    <pivotField axis="axisCol" showAll="0" sortType="ascending">
      <items count="3">
        <item x="0"/>
        <item x="1"/>
        <item t="default"/>
      </items>
    </pivotField>
  </pivotFields>
  <rowFields count="1">
    <field x="0"/>
  </rowFields>
  <rowItems count="3">
    <i>
      <x/>
    </i>
    <i>
      <x v="1"/>
    </i>
    <i t="grand">
      <x/>
    </i>
  </rowItems>
  <colFields count="1">
    <field x="1"/>
  </colFields>
  <colItems count="3">
    <i>
      <x/>
    </i>
    <i>
      <x v="1"/>
    </i>
    <i t="grand">
      <x/>
    </i>
  </colItems>
  <dataFields count="1">
    <dataField name="Count of Collateral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4C35-D7B6-456B-82F6-EF4D8DC81081}">
  <dimension ref="A1:B344"/>
  <sheetViews>
    <sheetView workbookViewId="0">
      <selection activeCell="H14" sqref="H14"/>
    </sheetView>
  </sheetViews>
  <sheetFormatPr defaultRowHeight="15" x14ac:dyDescent="0.25"/>
  <cols>
    <col min="1" max="1" width="30.140625" bestFit="1" customWidth="1"/>
    <col min="2" max="2" width="17.85546875" style="3" bestFit="1" customWidth="1"/>
  </cols>
  <sheetData>
    <row r="1" spans="1:2" x14ac:dyDescent="0.25">
      <c r="A1" s="14" t="s">
        <v>789</v>
      </c>
      <c r="B1" t="s">
        <v>1169</v>
      </c>
    </row>
    <row r="3" spans="1:2" x14ac:dyDescent="0.25">
      <c r="A3" s="14" t="s">
        <v>855</v>
      </c>
      <c r="B3" s="15" t="s">
        <v>0</v>
      </c>
    </row>
    <row r="4" spans="1:2" x14ac:dyDescent="0.25">
      <c r="A4" t="s">
        <v>1017</v>
      </c>
      <c r="B4">
        <v>230802743</v>
      </c>
    </row>
    <row r="5" spans="1:2" x14ac:dyDescent="0.25">
      <c r="A5" t="s">
        <v>1023</v>
      </c>
      <c r="B5">
        <v>230010455</v>
      </c>
    </row>
    <row r="6" spans="1:2" x14ac:dyDescent="0.25">
      <c r="A6" t="s">
        <v>1013</v>
      </c>
      <c r="B6">
        <v>230802341</v>
      </c>
    </row>
    <row r="7" spans="1:2" x14ac:dyDescent="0.25">
      <c r="A7" t="s">
        <v>1034</v>
      </c>
      <c r="B7">
        <v>220701846</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9224-B15E-4029-80C5-8B389F25C36C}">
  <dimension ref="A1:B16"/>
  <sheetViews>
    <sheetView workbookViewId="0">
      <selection activeCell="H5" sqref="H5"/>
    </sheetView>
  </sheetViews>
  <sheetFormatPr defaultRowHeight="15" x14ac:dyDescent="0.25"/>
  <cols>
    <col min="1" max="1" width="30.140625" bestFit="1" customWidth="1"/>
    <col min="2" max="2" width="21.28515625" style="3" bestFit="1" customWidth="1"/>
  </cols>
  <sheetData>
    <row r="1" spans="1:2" x14ac:dyDescent="0.25">
      <c r="A1" s="14" t="s">
        <v>570</v>
      </c>
      <c r="B1" s="3" t="s">
        <v>979</v>
      </c>
    </row>
    <row r="3" spans="1:2" x14ac:dyDescent="0.25">
      <c r="A3" s="14" t="s">
        <v>855</v>
      </c>
      <c r="B3" s="15" t="s">
        <v>0</v>
      </c>
    </row>
    <row r="4" spans="1:2" x14ac:dyDescent="0.25">
      <c r="A4" t="s">
        <v>978</v>
      </c>
      <c r="B4" s="3">
        <v>211003182</v>
      </c>
    </row>
    <row r="5" spans="1:2" x14ac:dyDescent="0.25">
      <c r="A5" t="s">
        <v>1081</v>
      </c>
      <c r="B5" s="3">
        <v>240000032930</v>
      </c>
    </row>
    <row r="6" spans="1:2" x14ac:dyDescent="0.25">
      <c r="A6" t="s">
        <v>1064</v>
      </c>
      <c r="B6" s="3">
        <v>240001711</v>
      </c>
    </row>
    <row r="7" spans="1:2" x14ac:dyDescent="0.25">
      <c r="A7" t="s">
        <v>1029</v>
      </c>
      <c r="B7" s="3">
        <v>11111111111111</v>
      </c>
    </row>
    <row r="8" spans="1:2" x14ac:dyDescent="0.25">
      <c r="A8" t="s">
        <v>1155</v>
      </c>
      <c r="B8" s="3">
        <v>230103376</v>
      </c>
    </row>
    <row r="9" spans="1:2" x14ac:dyDescent="0.25">
      <c r="A9" t="s">
        <v>1092</v>
      </c>
      <c r="B9" s="3">
        <v>240015649</v>
      </c>
    </row>
    <row r="10" spans="1:2" x14ac:dyDescent="0.25">
      <c r="A10" t="s">
        <v>981</v>
      </c>
      <c r="B10" s="3">
        <v>230000052678</v>
      </c>
    </row>
    <row r="11" spans="1:2" x14ac:dyDescent="0.25">
      <c r="A11" t="s">
        <v>983</v>
      </c>
      <c r="B11" s="3">
        <v>230003999</v>
      </c>
    </row>
    <row r="12" spans="1:2" x14ac:dyDescent="0.25">
      <c r="A12" t="s">
        <v>1048</v>
      </c>
      <c r="B12" s="3">
        <v>230502566</v>
      </c>
    </row>
    <row r="13" spans="1:2" x14ac:dyDescent="0.25">
      <c r="A13" t="s">
        <v>1168</v>
      </c>
      <c r="B13" s="3">
        <v>230000058666</v>
      </c>
    </row>
    <row r="14" spans="1:2" x14ac:dyDescent="0.25">
      <c r="B14" s="3">
        <v>240000031207</v>
      </c>
    </row>
    <row r="15" spans="1:2" x14ac:dyDescent="0.25">
      <c r="B15" s="3">
        <v>240000032777</v>
      </c>
    </row>
    <row r="16" spans="1:2" x14ac:dyDescent="0.25">
      <c r="B16" s="3">
        <v>240000050289</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44"/>
  <sheetViews>
    <sheetView tabSelected="1" zoomScaleNormal="100" workbookViewId="0">
      <pane xSplit="1" ySplit="1" topLeftCell="AS2" activePane="bottomRight" state="frozen"/>
      <selection pane="topRight" activeCell="C1" sqref="C1"/>
      <selection pane="bottomLeft" activeCell="A4" sqref="A4"/>
      <selection pane="bottomRight" activeCell="BD23" sqref="BD23"/>
    </sheetView>
  </sheetViews>
  <sheetFormatPr defaultRowHeight="15" customHeight="1" x14ac:dyDescent="0.25"/>
  <cols>
    <col min="1" max="1" width="22.5703125" bestFit="1" customWidth="1"/>
    <col min="2" max="2" width="4.140625" style="21" bestFit="1" customWidth="1"/>
    <col min="3" max="3" width="7.28515625" style="21" bestFit="1" customWidth="1"/>
    <col min="4" max="4" width="6.28515625" style="21" bestFit="1" customWidth="1"/>
    <col min="5" max="5" width="4.28515625" style="21" bestFit="1" customWidth="1"/>
    <col min="6" max="6" width="4" style="21" bestFit="1" customWidth="1"/>
    <col min="7" max="7" width="7.7109375" style="21" bestFit="1" customWidth="1"/>
    <col min="8" max="8" width="7.85546875" style="21" bestFit="1" customWidth="1"/>
    <col min="9" max="9" width="8.42578125" style="21" bestFit="1" customWidth="1"/>
    <col min="10" max="10" width="13.5703125" bestFit="1" customWidth="1"/>
    <col min="11" max="11" width="15.5703125" style="21" bestFit="1" customWidth="1"/>
    <col min="12" max="12" width="4.140625" style="21" bestFit="1" customWidth="1"/>
    <col min="13" max="13" width="22.7109375" style="21" bestFit="1" customWidth="1"/>
    <col min="14" max="14" width="23.7109375" style="21" bestFit="1" customWidth="1"/>
    <col min="15" max="15" width="12.7109375" bestFit="1" customWidth="1"/>
    <col min="16" max="16" width="5" bestFit="1" customWidth="1"/>
    <col min="17" max="17" width="6" bestFit="1" customWidth="1"/>
    <col min="18" max="18" width="13.85546875" bestFit="1" customWidth="1"/>
    <col min="19" max="19" width="6.85546875" bestFit="1" customWidth="1"/>
    <col min="20" max="20" width="11.28515625" bestFit="1" customWidth="1"/>
    <col min="21" max="21" width="14.85546875" bestFit="1" customWidth="1"/>
    <col min="22" max="22" width="15.28515625" bestFit="1" customWidth="1"/>
    <col min="23" max="23" width="12.28515625" bestFit="1" customWidth="1"/>
    <col min="24" max="24" width="5.7109375" bestFit="1" customWidth="1"/>
    <col min="25" max="25" width="5" bestFit="1" customWidth="1"/>
    <col min="26" max="26" width="5.28515625" bestFit="1" customWidth="1"/>
    <col min="27" max="27" width="11.140625" bestFit="1" customWidth="1"/>
    <col min="28" max="28" width="4.7109375" bestFit="1" customWidth="1"/>
    <col min="29" max="29" width="5" bestFit="1" customWidth="1"/>
    <col min="30" max="30" width="7.28515625" bestFit="1" customWidth="1"/>
    <col min="31" max="31" width="6.140625" bestFit="1" customWidth="1"/>
    <col min="32" max="32" width="18.42578125" style="21" bestFit="1" customWidth="1"/>
    <col min="33" max="33" width="9.7109375" bestFit="1" customWidth="1"/>
    <col min="34" max="34" width="10.42578125" bestFit="1" customWidth="1"/>
    <col min="35" max="35" width="12.5703125" bestFit="1" customWidth="1"/>
    <col min="36" max="36" width="18.140625" bestFit="1" customWidth="1"/>
    <col min="37" max="37" width="14.85546875" bestFit="1" customWidth="1"/>
    <col min="38" max="38" width="25" bestFit="1" customWidth="1"/>
    <col min="39" max="39" width="30.42578125" bestFit="1" customWidth="1"/>
    <col min="40" max="40" width="12.85546875" bestFit="1" customWidth="1"/>
    <col min="41" max="41" width="17" bestFit="1" customWidth="1"/>
    <col min="42" max="42" width="18" bestFit="1" customWidth="1"/>
    <col min="43" max="43" width="19.140625" bestFit="1" customWidth="1"/>
    <col min="44" max="44" width="16.140625" bestFit="1" customWidth="1"/>
    <col min="45" max="45" width="14.28515625" bestFit="1" customWidth="1"/>
    <col min="46" max="46" width="18.28515625" bestFit="1" customWidth="1"/>
    <col min="47" max="47" width="9.7109375" bestFit="1" customWidth="1"/>
    <col min="48" max="48" width="16.7109375" bestFit="1" customWidth="1"/>
    <col min="49" max="49" width="17.7109375" bestFit="1" customWidth="1"/>
    <col min="50" max="50" width="18.85546875" bestFit="1" customWidth="1"/>
    <col min="51" max="51" width="15.85546875" bestFit="1" customWidth="1"/>
    <col min="52" max="52" width="14" bestFit="1" customWidth="1"/>
    <col min="53" max="53" width="18" bestFit="1" customWidth="1"/>
    <col min="54" max="54" width="9.42578125" bestFit="1" customWidth="1"/>
    <col min="55" max="55" width="16.42578125" style="21" bestFit="1" customWidth="1"/>
    <col min="56" max="56" width="11.5703125" bestFit="1" customWidth="1"/>
    <col min="57" max="57" width="11.85546875" bestFit="1" customWidth="1"/>
    <col min="58" max="58" width="29.42578125" bestFit="1" customWidth="1"/>
    <col min="59" max="59" width="4.85546875" style="21" bestFit="1" customWidth="1"/>
  </cols>
  <sheetData>
    <row r="1" spans="1:59" s="4" customFormat="1" ht="15" customHeight="1" x14ac:dyDescent="0.25">
      <c r="A1" s="4" t="s">
        <v>724</v>
      </c>
      <c r="B1" s="22" t="s">
        <v>726</v>
      </c>
      <c r="C1" s="22" t="s">
        <v>727</v>
      </c>
      <c r="D1" s="22" t="s">
        <v>734</v>
      </c>
      <c r="E1" s="22" t="s">
        <v>735</v>
      </c>
      <c r="F1" s="22" t="s">
        <v>609</v>
      </c>
      <c r="G1" s="22" t="s">
        <v>736</v>
      </c>
      <c r="H1" s="22" t="s">
        <v>738</v>
      </c>
      <c r="I1" s="22" t="s">
        <v>737</v>
      </c>
      <c r="J1" s="4" t="s">
        <v>739</v>
      </c>
      <c r="K1" s="22" t="s">
        <v>740</v>
      </c>
      <c r="L1" s="22" t="s">
        <v>741</v>
      </c>
      <c r="M1" s="22" t="s">
        <v>742</v>
      </c>
      <c r="N1" s="22" t="s">
        <v>793</v>
      </c>
      <c r="O1" s="4" t="s">
        <v>744</v>
      </c>
      <c r="P1" s="4" t="s">
        <v>745</v>
      </c>
      <c r="Q1" s="4" t="s">
        <v>746</v>
      </c>
      <c r="R1" s="4" t="s">
        <v>747</v>
      </c>
      <c r="S1" s="4" t="s">
        <v>748</v>
      </c>
      <c r="T1" s="4" t="s">
        <v>749</v>
      </c>
      <c r="U1" s="4" t="s">
        <v>835</v>
      </c>
      <c r="V1" s="4" t="s">
        <v>750</v>
      </c>
      <c r="W1" s="4" t="s">
        <v>751</v>
      </c>
      <c r="X1" s="4" t="s">
        <v>752</v>
      </c>
      <c r="Y1" s="4" t="s">
        <v>753</v>
      </c>
      <c r="Z1" s="4" t="s">
        <v>839</v>
      </c>
      <c r="AA1" s="4" t="s">
        <v>760</v>
      </c>
      <c r="AB1" s="4" t="s">
        <v>761</v>
      </c>
      <c r="AC1" s="4" t="s">
        <v>762</v>
      </c>
      <c r="AD1" s="4" t="s">
        <v>763</v>
      </c>
      <c r="AE1" s="4" t="s">
        <v>764</v>
      </c>
      <c r="AF1" s="22" t="s">
        <v>1173</v>
      </c>
      <c r="AG1" s="4" t="s">
        <v>766</v>
      </c>
      <c r="AH1" s="4" t="s">
        <v>767</v>
      </c>
      <c r="AI1" s="4" t="s">
        <v>768</v>
      </c>
      <c r="AJ1" s="4" t="s">
        <v>769</v>
      </c>
      <c r="AK1" s="4" t="s">
        <v>770</v>
      </c>
      <c r="AL1" s="4" t="s">
        <v>771</v>
      </c>
      <c r="AM1" s="4" t="s">
        <v>772</v>
      </c>
      <c r="AN1" s="4" t="s">
        <v>774</v>
      </c>
      <c r="AO1" s="5" t="s">
        <v>775</v>
      </c>
      <c r="AP1" s="5" t="s">
        <v>776</v>
      </c>
      <c r="AQ1" s="5" t="s">
        <v>777</v>
      </c>
      <c r="AR1" s="5" t="s">
        <v>778</v>
      </c>
      <c r="AS1" s="5" t="s">
        <v>779</v>
      </c>
      <c r="AT1" s="5" t="s">
        <v>780</v>
      </c>
      <c r="AU1" s="5" t="s">
        <v>781</v>
      </c>
      <c r="AV1" s="5" t="s">
        <v>782</v>
      </c>
      <c r="AW1" s="5" t="s">
        <v>783</v>
      </c>
      <c r="AX1" s="5" t="s">
        <v>784</v>
      </c>
      <c r="AY1" s="5" t="s">
        <v>785</v>
      </c>
      <c r="AZ1" s="5" t="s">
        <v>786</v>
      </c>
      <c r="BA1" s="5" t="s">
        <v>787</v>
      </c>
      <c r="BB1" s="5" t="s">
        <v>788</v>
      </c>
      <c r="BC1" s="23" t="s">
        <v>789</v>
      </c>
      <c r="BD1" s="5" t="s">
        <v>790</v>
      </c>
      <c r="BE1" s="5" t="s">
        <v>791</v>
      </c>
      <c r="BF1" s="5" t="s">
        <v>792</v>
      </c>
      <c r="BG1" s="22" t="s">
        <v>773</v>
      </c>
    </row>
    <row r="2" spans="1:59" ht="15" customHeight="1" x14ac:dyDescent="0.25">
      <c r="A2" t="s">
        <v>517</v>
      </c>
      <c r="B2" s="21">
        <v>72</v>
      </c>
      <c r="C2" s="21">
        <v>1</v>
      </c>
      <c r="D2" s="21">
        <v>22</v>
      </c>
      <c r="E2" s="21">
        <v>1</v>
      </c>
      <c r="F2" s="21">
        <v>1</v>
      </c>
      <c r="G2" s="21">
        <v>2</v>
      </c>
      <c r="H2" s="21">
        <v>2</v>
      </c>
      <c r="I2" s="21">
        <v>2</v>
      </c>
      <c r="J2">
        <v>2</v>
      </c>
      <c r="K2" s="21">
        <v>2</v>
      </c>
      <c r="L2" s="21">
        <v>2</v>
      </c>
      <c r="M2" s="21">
        <v>2</v>
      </c>
      <c r="N2" s="21">
        <v>2</v>
      </c>
      <c r="O2">
        <v>14.5</v>
      </c>
      <c r="P2">
        <v>43.1</v>
      </c>
      <c r="Q2">
        <v>87.6</v>
      </c>
      <c r="R2">
        <v>19.559999999999999</v>
      </c>
      <c r="S2">
        <v>5.9</v>
      </c>
      <c r="Y2">
        <v>186</v>
      </c>
      <c r="AA2">
        <v>9</v>
      </c>
      <c r="AB2">
        <v>1</v>
      </c>
      <c r="AC2">
        <v>2</v>
      </c>
      <c r="AD2">
        <v>1</v>
      </c>
      <c r="AE2">
        <v>4</v>
      </c>
      <c r="AF2" s="21">
        <v>0</v>
      </c>
      <c r="AG2">
        <v>1</v>
      </c>
      <c r="AH2">
        <v>2</v>
      </c>
      <c r="AI2">
        <v>1</v>
      </c>
      <c r="AJ2">
        <v>2</v>
      </c>
      <c r="AL2">
        <v>1</v>
      </c>
      <c r="AM2">
        <v>2</v>
      </c>
      <c r="AN2">
        <v>85</v>
      </c>
      <c r="AO2">
        <v>0</v>
      </c>
      <c r="AP2">
        <v>0</v>
      </c>
      <c r="AQ2">
        <v>0</v>
      </c>
      <c r="AR2">
        <v>0</v>
      </c>
      <c r="AS2">
        <v>0</v>
      </c>
      <c r="AT2">
        <v>0</v>
      </c>
      <c r="AU2">
        <v>0</v>
      </c>
      <c r="AV2">
        <v>0</v>
      </c>
      <c r="AW2">
        <v>0</v>
      </c>
      <c r="AX2">
        <v>0</v>
      </c>
      <c r="AY2">
        <v>0</v>
      </c>
      <c r="AZ2">
        <v>1</v>
      </c>
      <c r="BA2">
        <v>1</v>
      </c>
      <c r="BB2">
        <v>1</v>
      </c>
      <c r="BC2" s="21">
        <v>3</v>
      </c>
      <c r="BD2">
        <v>0</v>
      </c>
      <c r="BE2">
        <v>1</v>
      </c>
      <c r="BF2">
        <v>0</v>
      </c>
      <c r="BG2" s="21">
        <v>1</v>
      </c>
    </row>
    <row r="3" spans="1:59" ht="15" customHeight="1" x14ac:dyDescent="0.25">
      <c r="A3" t="s">
        <v>505</v>
      </c>
      <c r="B3" s="21">
        <v>46</v>
      </c>
      <c r="C3" s="21">
        <v>1</v>
      </c>
      <c r="D3" s="21">
        <v>3</v>
      </c>
      <c r="E3" s="21">
        <v>1</v>
      </c>
      <c r="F3" s="21">
        <v>2</v>
      </c>
      <c r="G3" s="21">
        <v>2</v>
      </c>
      <c r="H3" s="21">
        <v>2</v>
      </c>
      <c r="I3" s="21">
        <v>2</v>
      </c>
      <c r="J3">
        <v>2</v>
      </c>
      <c r="K3" s="21">
        <v>2</v>
      </c>
      <c r="L3" s="21">
        <v>2</v>
      </c>
      <c r="M3" s="21">
        <v>2</v>
      </c>
      <c r="N3" s="21">
        <v>2</v>
      </c>
      <c r="O3">
        <v>14.2</v>
      </c>
      <c r="P3">
        <v>43.9</v>
      </c>
      <c r="Q3">
        <v>82.6</v>
      </c>
      <c r="R3">
        <v>9</v>
      </c>
      <c r="S3">
        <v>5.5</v>
      </c>
      <c r="T3">
        <v>161</v>
      </c>
      <c r="U3">
        <v>88</v>
      </c>
      <c r="V3">
        <v>46</v>
      </c>
      <c r="W3">
        <v>132</v>
      </c>
      <c r="X3">
        <v>26</v>
      </c>
      <c r="AA3">
        <v>6</v>
      </c>
      <c r="AB3">
        <v>1</v>
      </c>
      <c r="AC3">
        <v>2</v>
      </c>
      <c r="AD3">
        <v>2</v>
      </c>
      <c r="AE3">
        <v>2</v>
      </c>
      <c r="AF3" s="21">
        <v>0</v>
      </c>
      <c r="AG3">
        <v>1</v>
      </c>
      <c r="AH3">
        <v>1</v>
      </c>
      <c r="AI3">
        <v>2</v>
      </c>
      <c r="AK3">
        <v>3</v>
      </c>
      <c r="AL3">
        <v>2</v>
      </c>
      <c r="AM3">
        <v>2</v>
      </c>
      <c r="AN3">
        <v>100</v>
      </c>
      <c r="AO3">
        <v>0</v>
      </c>
      <c r="AP3">
        <v>0</v>
      </c>
      <c r="AQ3">
        <v>0</v>
      </c>
      <c r="AR3">
        <v>0</v>
      </c>
      <c r="AS3">
        <v>0</v>
      </c>
      <c r="AT3">
        <v>0</v>
      </c>
      <c r="AU3">
        <v>0</v>
      </c>
      <c r="AV3">
        <v>0</v>
      </c>
      <c r="AW3">
        <v>0</v>
      </c>
      <c r="AX3">
        <v>2</v>
      </c>
      <c r="AY3">
        <v>2</v>
      </c>
      <c r="AZ3">
        <v>1</v>
      </c>
      <c r="BA3">
        <v>1</v>
      </c>
      <c r="BB3">
        <v>1</v>
      </c>
      <c r="BC3" s="21">
        <v>7</v>
      </c>
      <c r="BD3">
        <v>1</v>
      </c>
      <c r="BE3">
        <v>1</v>
      </c>
      <c r="BF3">
        <v>0</v>
      </c>
      <c r="BG3" s="21">
        <v>0</v>
      </c>
    </row>
    <row r="4" spans="1:59" ht="15" customHeight="1" x14ac:dyDescent="0.25">
      <c r="A4" t="s">
        <v>495</v>
      </c>
      <c r="B4" s="21">
        <v>82</v>
      </c>
      <c r="C4" s="21">
        <v>1</v>
      </c>
      <c r="D4" s="21">
        <v>22</v>
      </c>
      <c r="E4" s="21">
        <v>1</v>
      </c>
      <c r="F4" s="21">
        <v>1</v>
      </c>
      <c r="G4" s="21">
        <v>2</v>
      </c>
      <c r="H4" s="21">
        <v>2</v>
      </c>
      <c r="I4" s="21">
        <v>2</v>
      </c>
      <c r="J4">
        <v>2</v>
      </c>
      <c r="K4" s="21">
        <v>2</v>
      </c>
      <c r="L4" s="21">
        <v>1</v>
      </c>
      <c r="M4" s="21">
        <v>2</v>
      </c>
      <c r="N4" s="21">
        <v>2</v>
      </c>
      <c r="O4">
        <v>15.6</v>
      </c>
      <c r="P4">
        <v>45.9</v>
      </c>
      <c r="Q4">
        <v>89.4</v>
      </c>
      <c r="R4">
        <v>9.93</v>
      </c>
      <c r="S4">
        <v>8.1999999999999993</v>
      </c>
      <c r="Y4">
        <v>1335</v>
      </c>
      <c r="AA4">
        <v>9</v>
      </c>
      <c r="AB4">
        <v>1</v>
      </c>
      <c r="AC4">
        <v>2</v>
      </c>
      <c r="AD4">
        <v>1</v>
      </c>
      <c r="AE4">
        <v>1</v>
      </c>
      <c r="AF4" s="21">
        <v>0</v>
      </c>
      <c r="AG4">
        <v>1</v>
      </c>
      <c r="AH4">
        <v>2</v>
      </c>
      <c r="AI4">
        <v>1</v>
      </c>
      <c r="AJ4">
        <v>2</v>
      </c>
      <c r="AL4">
        <v>2</v>
      </c>
      <c r="AM4">
        <v>2</v>
      </c>
      <c r="AN4">
        <v>0</v>
      </c>
      <c r="AO4">
        <v>0</v>
      </c>
      <c r="AP4">
        <v>0</v>
      </c>
      <c r="AQ4">
        <v>0</v>
      </c>
      <c r="AR4">
        <v>0</v>
      </c>
      <c r="AS4">
        <v>0</v>
      </c>
      <c r="AT4">
        <v>0</v>
      </c>
      <c r="AU4">
        <v>0</v>
      </c>
      <c r="AV4">
        <v>1</v>
      </c>
      <c r="AW4">
        <v>2</v>
      </c>
      <c r="AX4">
        <v>0</v>
      </c>
      <c r="AY4">
        <v>0</v>
      </c>
      <c r="AZ4">
        <v>0</v>
      </c>
      <c r="BA4">
        <v>0</v>
      </c>
      <c r="BB4">
        <v>0</v>
      </c>
      <c r="BC4" s="21">
        <v>3</v>
      </c>
      <c r="BD4">
        <v>1</v>
      </c>
      <c r="BE4">
        <v>1</v>
      </c>
      <c r="BF4">
        <v>0</v>
      </c>
      <c r="BG4" s="21">
        <v>6</v>
      </c>
    </row>
    <row r="5" spans="1:59" ht="15" customHeight="1" x14ac:dyDescent="0.25">
      <c r="A5" t="s">
        <v>862</v>
      </c>
      <c r="B5" s="21">
        <v>83</v>
      </c>
      <c r="C5" s="21">
        <v>1</v>
      </c>
      <c r="E5" s="21">
        <v>1</v>
      </c>
      <c r="F5" s="21">
        <v>1</v>
      </c>
      <c r="G5" s="21">
        <v>2</v>
      </c>
      <c r="H5" s="21">
        <v>2</v>
      </c>
      <c r="I5" s="21">
        <v>2</v>
      </c>
      <c r="J5">
        <v>2</v>
      </c>
      <c r="K5" s="21">
        <v>1</v>
      </c>
      <c r="L5" s="21">
        <v>2</v>
      </c>
      <c r="M5" s="21">
        <v>2</v>
      </c>
      <c r="N5" s="21">
        <v>1</v>
      </c>
      <c r="O5">
        <v>11.8</v>
      </c>
      <c r="P5">
        <v>42</v>
      </c>
      <c r="S5">
        <v>9.1</v>
      </c>
      <c r="T5">
        <v>120</v>
      </c>
      <c r="U5">
        <v>62</v>
      </c>
      <c r="V5">
        <v>25</v>
      </c>
      <c r="W5">
        <v>165</v>
      </c>
      <c r="X5">
        <v>33</v>
      </c>
      <c r="AA5">
        <v>7</v>
      </c>
      <c r="AB5">
        <v>1</v>
      </c>
      <c r="AC5">
        <v>2</v>
      </c>
      <c r="AD5">
        <v>1</v>
      </c>
      <c r="AE5">
        <v>1</v>
      </c>
      <c r="AF5" s="21">
        <v>0</v>
      </c>
      <c r="AG5">
        <v>1</v>
      </c>
      <c r="AH5">
        <v>2</v>
      </c>
      <c r="AI5">
        <v>2</v>
      </c>
      <c r="AK5">
        <v>4</v>
      </c>
      <c r="AL5">
        <v>2</v>
      </c>
      <c r="AM5">
        <v>2</v>
      </c>
      <c r="AN5">
        <v>0</v>
      </c>
      <c r="AO5">
        <v>0</v>
      </c>
      <c r="AP5">
        <v>2</v>
      </c>
      <c r="AQ5">
        <v>2</v>
      </c>
      <c r="AR5">
        <v>0</v>
      </c>
      <c r="AS5">
        <v>1</v>
      </c>
      <c r="AT5">
        <v>1</v>
      </c>
      <c r="AU5">
        <v>1</v>
      </c>
      <c r="AV5">
        <v>0</v>
      </c>
      <c r="AW5">
        <v>0</v>
      </c>
      <c r="AX5">
        <v>0</v>
      </c>
      <c r="AY5">
        <v>0</v>
      </c>
      <c r="AZ5">
        <v>0</v>
      </c>
      <c r="BA5">
        <v>0</v>
      </c>
      <c r="BB5">
        <v>0</v>
      </c>
      <c r="BC5" s="21">
        <v>7</v>
      </c>
      <c r="BD5">
        <v>1</v>
      </c>
      <c r="BE5">
        <v>1</v>
      </c>
      <c r="BF5" t="s">
        <v>1110</v>
      </c>
      <c r="BG5" s="21">
        <v>6</v>
      </c>
    </row>
    <row r="6" spans="1:59" ht="15" customHeight="1" x14ac:dyDescent="0.25">
      <c r="A6" t="s">
        <v>465</v>
      </c>
      <c r="B6" s="21">
        <v>78</v>
      </c>
      <c r="C6" s="21">
        <v>1</v>
      </c>
      <c r="D6" s="21">
        <v>16</v>
      </c>
      <c r="E6" s="21">
        <v>1</v>
      </c>
      <c r="F6" s="21">
        <v>1</v>
      </c>
      <c r="G6" s="21">
        <v>2</v>
      </c>
      <c r="H6" s="21">
        <v>1</v>
      </c>
      <c r="I6" s="21">
        <v>2</v>
      </c>
      <c r="J6">
        <v>2</v>
      </c>
      <c r="K6" s="21">
        <v>2</v>
      </c>
      <c r="L6" s="21">
        <v>2</v>
      </c>
      <c r="M6" s="21">
        <v>2</v>
      </c>
      <c r="N6" s="21">
        <v>2</v>
      </c>
      <c r="O6">
        <v>13.1</v>
      </c>
      <c r="P6">
        <v>39.9</v>
      </c>
      <c r="Q6">
        <v>84.2</v>
      </c>
      <c r="R6">
        <v>8.3000000000000007</v>
      </c>
      <c r="S6">
        <v>6.4</v>
      </c>
      <c r="T6">
        <v>157</v>
      </c>
      <c r="U6">
        <v>90.4</v>
      </c>
      <c r="V6">
        <v>43</v>
      </c>
      <c r="W6">
        <v>118</v>
      </c>
      <c r="X6">
        <v>23.6</v>
      </c>
      <c r="AA6">
        <v>8</v>
      </c>
      <c r="AB6">
        <v>2</v>
      </c>
      <c r="AC6">
        <v>1</v>
      </c>
      <c r="AD6">
        <v>2</v>
      </c>
      <c r="AE6">
        <v>5</v>
      </c>
      <c r="AF6" s="21">
        <v>0</v>
      </c>
      <c r="AG6">
        <v>1</v>
      </c>
      <c r="AH6">
        <v>2</v>
      </c>
      <c r="AI6">
        <v>1</v>
      </c>
      <c r="AJ6">
        <v>1</v>
      </c>
      <c r="AL6">
        <v>2</v>
      </c>
      <c r="AM6">
        <v>2</v>
      </c>
      <c r="AN6">
        <v>65</v>
      </c>
      <c r="AO6">
        <v>0</v>
      </c>
      <c r="AP6">
        <v>2</v>
      </c>
      <c r="AQ6">
        <v>2</v>
      </c>
      <c r="AR6">
        <v>2</v>
      </c>
      <c r="AS6">
        <v>1</v>
      </c>
      <c r="AT6">
        <v>1</v>
      </c>
      <c r="AU6">
        <v>1</v>
      </c>
      <c r="AV6">
        <v>0</v>
      </c>
      <c r="AW6">
        <v>0</v>
      </c>
      <c r="AX6">
        <v>0</v>
      </c>
      <c r="AY6">
        <v>0</v>
      </c>
      <c r="AZ6">
        <v>0</v>
      </c>
      <c r="BA6">
        <v>0</v>
      </c>
      <c r="BB6">
        <v>0</v>
      </c>
      <c r="BC6" s="21">
        <v>9</v>
      </c>
      <c r="BD6">
        <v>0</v>
      </c>
      <c r="BE6">
        <v>0</v>
      </c>
      <c r="BF6">
        <v>0</v>
      </c>
      <c r="BG6" s="21">
        <v>2</v>
      </c>
    </row>
    <row r="7" spans="1:59" ht="15" customHeight="1" x14ac:dyDescent="0.25">
      <c r="A7" s="8" t="s">
        <v>485</v>
      </c>
      <c r="B7" s="21">
        <v>71</v>
      </c>
      <c r="C7" s="21">
        <v>1</v>
      </c>
      <c r="D7" s="21">
        <v>3</v>
      </c>
      <c r="E7" s="21">
        <v>2</v>
      </c>
      <c r="F7" s="21">
        <v>2</v>
      </c>
      <c r="G7" s="21">
        <v>1</v>
      </c>
      <c r="H7" s="21">
        <v>1</v>
      </c>
      <c r="I7" s="21">
        <v>2</v>
      </c>
      <c r="J7" s="8">
        <v>2</v>
      </c>
      <c r="K7" s="21">
        <v>2</v>
      </c>
      <c r="L7" s="21">
        <v>2</v>
      </c>
      <c r="M7" s="21">
        <v>2</v>
      </c>
      <c r="N7" s="21">
        <v>2</v>
      </c>
      <c r="O7" s="8">
        <v>18</v>
      </c>
      <c r="P7" s="8">
        <v>53.8</v>
      </c>
      <c r="Q7" s="8">
        <v>10.59</v>
      </c>
      <c r="R7" s="8">
        <v>29.81</v>
      </c>
      <c r="S7" s="8"/>
      <c r="T7" s="8"/>
      <c r="U7" s="8"/>
      <c r="V7" s="8"/>
      <c r="W7" s="8"/>
      <c r="X7" s="8"/>
      <c r="Y7" s="8">
        <v>148</v>
      </c>
      <c r="Z7" s="8"/>
      <c r="AA7" s="8">
        <v>8</v>
      </c>
      <c r="AB7" s="8">
        <v>2</v>
      </c>
      <c r="AC7" s="8">
        <v>1</v>
      </c>
      <c r="AD7" s="8">
        <v>2</v>
      </c>
      <c r="AE7" s="8">
        <v>4</v>
      </c>
      <c r="AF7" s="21">
        <v>0</v>
      </c>
      <c r="AG7" s="8">
        <v>1</v>
      </c>
      <c r="AH7" s="8">
        <v>1</v>
      </c>
      <c r="AI7" s="8">
        <v>2</v>
      </c>
      <c r="AJ7" s="8"/>
      <c r="AK7" s="8"/>
      <c r="AL7" s="8">
        <v>2</v>
      </c>
      <c r="AM7" s="8">
        <v>2</v>
      </c>
      <c r="AN7" s="8">
        <v>100</v>
      </c>
      <c r="AO7" s="8"/>
      <c r="AP7" s="8"/>
      <c r="AQ7" s="8"/>
      <c r="AR7" s="8"/>
      <c r="AS7" s="8"/>
      <c r="AT7" s="8"/>
      <c r="AU7" s="8"/>
      <c r="AV7" s="8">
        <v>0</v>
      </c>
      <c r="AW7" s="8">
        <v>1</v>
      </c>
      <c r="AX7" s="8">
        <v>2</v>
      </c>
      <c r="AY7" s="8">
        <v>2</v>
      </c>
      <c r="AZ7" s="8">
        <v>1</v>
      </c>
      <c r="BA7" s="8">
        <v>1</v>
      </c>
      <c r="BB7" s="8">
        <v>1</v>
      </c>
      <c r="BC7" s="21">
        <v>8</v>
      </c>
      <c r="BD7" s="8">
        <v>1</v>
      </c>
      <c r="BE7" s="8">
        <v>1</v>
      </c>
      <c r="BF7" s="8" t="s">
        <v>1051</v>
      </c>
      <c r="BG7" s="21">
        <v>0</v>
      </c>
    </row>
    <row r="8" spans="1:59" ht="15" customHeight="1" x14ac:dyDescent="0.25">
      <c r="A8" t="s">
        <v>308</v>
      </c>
      <c r="B8" s="21">
        <v>47</v>
      </c>
      <c r="C8" s="21">
        <v>1</v>
      </c>
      <c r="D8" s="21">
        <v>0</v>
      </c>
      <c r="E8" s="21">
        <v>1</v>
      </c>
      <c r="F8" s="21">
        <v>2</v>
      </c>
      <c r="G8" s="21">
        <v>2</v>
      </c>
      <c r="H8" s="21">
        <v>2</v>
      </c>
      <c r="I8" s="21">
        <v>2</v>
      </c>
      <c r="J8">
        <v>2</v>
      </c>
      <c r="K8" s="21">
        <v>2</v>
      </c>
      <c r="L8" s="21">
        <v>2</v>
      </c>
      <c r="M8" s="21">
        <v>2</v>
      </c>
      <c r="N8" s="21">
        <v>2</v>
      </c>
      <c r="O8">
        <v>12.9</v>
      </c>
      <c r="P8">
        <v>39</v>
      </c>
      <c r="Q8">
        <v>80</v>
      </c>
      <c r="R8">
        <v>40</v>
      </c>
      <c r="S8">
        <v>5.8</v>
      </c>
      <c r="Y8">
        <v>177</v>
      </c>
      <c r="AA8">
        <v>10</v>
      </c>
      <c r="AB8">
        <v>2</v>
      </c>
      <c r="AC8">
        <v>1</v>
      </c>
      <c r="AD8">
        <v>3</v>
      </c>
      <c r="AE8">
        <v>4</v>
      </c>
      <c r="AF8" s="21">
        <v>0</v>
      </c>
      <c r="AG8">
        <v>1</v>
      </c>
      <c r="AH8">
        <v>1</v>
      </c>
      <c r="AI8">
        <v>2</v>
      </c>
      <c r="AL8">
        <v>2</v>
      </c>
      <c r="AM8">
        <v>2</v>
      </c>
      <c r="AN8">
        <v>100</v>
      </c>
      <c r="AO8">
        <v>0</v>
      </c>
      <c r="AP8">
        <v>0</v>
      </c>
      <c r="AQ8">
        <v>0</v>
      </c>
      <c r="AR8">
        <v>0</v>
      </c>
      <c r="AS8">
        <v>0</v>
      </c>
      <c r="AT8">
        <v>0</v>
      </c>
      <c r="AU8">
        <v>0</v>
      </c>
      <c r="AV8">
        <v>1</v>
      </c>
      <c r="AW8">
        <v>1</v>
      </c>
      <c r="AX8">
        <v>2</v>
      </c>
      <c r="AY8">
        <v>2</v>
      </c>
      <c r="AZ8">
        <v>1</v>
      </c>
      <c r="BA8">
        <v>1</v>
      </c>
      <c r="BB8">
        <v>1</v>
      </c>
      <c r="BC8" s="21">
        <v>9</v>
      </c>
      <c r="BD8">
        <v>1</v>
      </c>
      <c r="BE8">
        <v>1</v>
      </c>
      <c r="BF8" t="s">
        <v>1040</v>
      </c>
      <c r="BG8" s="21">
        <v>0</v>
      </c>
    </row>
    <row r="9" spans="1:59" ht="15" customHeight="1" x14ac:dyDescent="0.25">
      <c r="A9" t="s">
        <v>479</v>
      </c>
      <c r="B9" s="21">
        <v>51</v>
      </c>
      <c r="C9" s="21">
        <v>1</v>
      </c>
      <c r="D9" s="21">
        <v>20</v>
      </c>
      <c r="E9" s="21">
        <v>1</v>
      </c>
      <c r="F9" s="21">
        <v>1</v>
      </c>
      <c r="G9" s="21">
        <v>1</v>
      </c>
      <c r="H9" s="21">
        <v>1</v>
      </c>
      <c r="I9" s="21">
        <v>1</v>
      </c>
      <c r="J9">
        <v>2</v>
      </c>
      <c r="K9" s="21">
        <v>2</v>
      </c>
      <c r="L9" s="21">
        <v>2</v>
      </c>
      <c r="M9" s="21">
        <v>2</v>
      </c>
      <c r="N9" s="21">
        <v>2</v>
      </c>
      <c r="O9">
        <v>8.5</v>
      </c>
      <c r="P9">
        <v>29.3</v>
      </c>
      <c r="Q9">
        <v>59.7</v>
      </c>
      <c r="R9">
        <v>4.3600000000000003</v>
      </c>
      <c r="S9">
        <v>8.1999999999999993</v>
      </c>
      <c r="T9">
        <v>90</v>
      </c>
      <c r="U9">
        <v>42.2</v>
      </c>
      <c r="V9">
        <v>21</v>
      </c>
      <c r="W9">
        <v>134</v>
      </c>
      <c r="X9">
        <v>26.3</v>
      </c>
      <c r="Y9">
        <v>795</v>
      </c>
      <c r="AA9">
        <v>3</v>
      </c>
      <c r="AB9">
        <v>2</v>
      </c>
      <c r="AC9">
        <v>2</v>
      </c>
      <c r="AD9">
        <v>2</v>
      </c>
      <c r="AE9">
        <v>3</v>
      </c>
      <c r="AF9" s="21">
        <v>0</v>
      </c>
      <c r="AG9">
        <v>1</v>
      </c>
      <c r="AI9">
        <v>2</v>
      </c>
      <c r="AJ9">
        <v>1</v>
      </c>
      <c r="AL9">
        <v>2</v>
      </c>
      <c r="AM9">
        <v>2</v>
      </c>
      <c r="AN9">
        <v>55</v>
      </c>
      <c r="AO9">
        <v>0</v>
      </c>
      <c r="AP9">
        <v>0</v>
      </c>
      <c r="AQ9">
        <v>0</v>
      </c>
      <c r="AR9">
        <v>0</v>
      </c>
      <c r="AS9">
        <v>0</v>
      </c>
      <c r="AT9">
        <v>0</v>
      </c>
      <c r="AU9">
        <v>0</v>
      </c>
      <c r="AV9">
        <v>1</v>
      </c>
      <c r="AW9">
        <v>2</v>
      </c>
      <c r="AX9">
        <v>2</v>
      </c>
      <c r="AY9">
        <v>2</v>
      </c>
      <c r="AZ9">
        <v>0</v>
      </c>
      <c r="BA9">
        <v>1</v>
      </c>
      <c r="BB9">
        <v>1</v>
      </c>
      <c r="BC9" s="21">
        <v>9</v>
      </c>
      <c r="BD9">
        <v>0</v>
      </c>
      <c r="BE9">
        <v>1</v>
      </c>
      <c r="BF9">
        <v>0</v>
      </c>
      <c r="BG9" s="21">
        <v>3</v>
      </c>
    </row>
    <row r="10" spans="1:59" ht="15" customHeight="1" x14ac:dyDescent="0.25">
      <c r="A10" t="s">
        <v>539</v>
      </c>
      <c r="B10" s="21">
        <v>50</v>
      </c>
      <c r="C10" s="21">
        <v>2</v>
      </c>
      <c r="D10" s="21">
        <v>3</v>
      </c>
      <c r="E10" s="21">
        <v>2</v>
      </c>
      <c r="F10" s="21">
        <v>2</v>
      </c>
      <c r="G10" s="21">
        <v>2</v>
      </c>
      <c r="H10" s="21">
        <v>1</v>
      </c>
      <c r="I10" s="21">
        <v>2</v>
      </c>
      <c r="J10">
        <v>2</v>
      </c>
      <c r="K10" s="21">
        <v>2</v>
      </c>
      <c r="L10" s="21">
        <v>2</v>
      </c>
      <c r="M10" s="21">
        <v>2</v>
      </c>
      <c r="N10" s="21">
        <v>2</v>
      </c>
      <c r="O10">
        <v>13.2</v>
      </c>
      <c r="P10">
        <v>40.299999999999997</v>
      </c>
      <c r="Q10">
        <v>76.5</v>
      </c>
      <c r="R10">
        <v>7.34</v>
      </c>
      <c r="S10">
        <v>5.8</v>
      </c>
      <c r="T10">
        <v>173</v>
      </c>
      <c r="U10">
        <v>102.8</v>
      </c>
      <c r="V10">
        <v>39</v>
      </c>
      <c r="W10">
        <v>156</v>
      </c>
      <c r="X10">
        <v>31.2</v>
      </c>
      <c r="Y10">
        <v>1099</v>
      </c>
      <c r="AA10">
        <v>10</v>
      </c>
      <c r="AB10">
        <v>2</v>
      </c>
      <c r="AC10">
        <v>2</v>
      </c>
      <c r="AD10">
        <v>1</v>
      </c>
      <c r="AE10">
        <v>4</v>
      </c>
      <c r="AF10" s="21">
        <v>0</v>
      </c>
      <c r="AG10">
        <v>2</v>
      </c>
      <c r="AH10">
        <v>2</v>
      </c>
      <c r="AI10">
        <v>2</v>
      </c>
      <c r="AL10">
        <v>2</v>
      </c>
      <c r="AM10">
        <v>2</v>
      </c>
      <c r="AN10">
        <v>100</v>
      </c>
      <c r="AO10">
        <v>0</v>
      </c>
      <c r="AP10">
        <v>0</v>
      </c>
      <c r="AQ10">
        <v>0</v>
      </c>
      <c r="AR10">
        <v>0</v>
      </c>
      <c r="AS10">
        <v>0</v>
      </c>
      <c r="AT10">
        <v>0</v>
      </c>
      <c r="AU10">
        <v>0</v>
      </c>
      <c r="AV10">
        <v>0</v>
      </c>
      <c r="AW10">
        <v>0</v>
      </c>
      <c r="AX10">
        <v>2</v>
      </c>
      <c r="AY10">
        <v>2</v>
      </c>
      <c r="AZ10">
        <v>1</v>
      </c>
      <c r="BA10">
        <v>1</v>
      </c>
      <c r="BB10">
        <v>1</v>
      </c>
      <c r="BC10" s="21">
        <v>7</v>
      </c>
      <c r="BD10">
        <v>0</v>
      </c>
      <c r="BE10">
        <v>1</v>
      </c>
      <c r="BF10">
        <v>0</v>
      </c>
      <c r="BG10" s="21">
        <v>0</v>
      </c>
    </row>
    <row r="11" spans="1:59" ht="15" customHeight="1" x14ac:dyDescent="0.25">
      <c r="A11" t="s">
        <v>375</v>
      </c>
      <c r="B11" s="21">
        <v>84</v>
      </c>
      <c r="C11" s="21">
        <v>1</v>
      </c>
      <c r="D11" s="21">
        <v>7</v>
      </c>
      <c r="E11" s="21">
        <v>1</v>
      </c>
      <c r="F11" s="21">
        <v>2</v>
      </c>
      <c r="G11" s="21">
        <v>2</v>
      </c>
      <c r="H11" s="21">
        <v>2</v>
      </c>
      <c r="I11" s="21">
        <v>2</v>
      </c>
      <c r="J11">
        <v>2</v>
      </c>
      <c r="K11" s="21">
        <v>2</v>
      </c>
      <c r="L11" s="21">
        <v>2</v>
      </c>
      <c r="M11" s="21">
        <v>2</v>
      </c>
      <c r="N11" s="21">
        <v>2</v>
      </c>
      <c r="O11">
        <v>13.1</v>
      </c>
      <c r="P11">
        <v>37.799999999999997</v>
      </c>
      <c r="Q11">
        <v>90</v>
      </c>
      <c r="S11">
        <v>5.5</v>
      </c>
      <c r="T11">
        <v>229</v>
      </c>
      <c r="U11">
        <v>162.6</v>
      </c>
      <c r="V11">
        <v>35</v>
      </c>
      <c r="W11">
        <v>157</v>
      </c>
      <c r="X11">
        <v>31.4</v>
      </c>
      <c r="Y11">
        <v>421</v>
      </c>
      <c r="AA11">
        <v>10</v>
      </c>
      <c r="AB11">
        <v>2</v>
      </c>
      <c r="AC11">
        <v>2</v>
      </c>
      <c r="AD11">
        <v>3</v>
      </c>
      <c r="AE11">
        <v>4</v>
      </c>
      <c r="AF11" s="21">
        <v>0</v>
      </c>
      <c r="AG11">
        <v>1</v>
      </c>
      <c r="AH11">
        <v>2</v>
      </c>
      <c r="AI11">
        <v>1</v>
      </c>
      <c r="AJ11">
        <v>1</v>
      </c>
      <c r="AL11">
        <v>2</v>
      </c>
      <c r="AM11">
        <v>2</v>
      </c>
      <c r="AN11">
        <v>0</v>
      </c>
      <c r="AO11">
        <v>0</v>
      </c>
      <c r="AP11">
        <v>2</v>
      </c>
      <c r="AQ11">
        <v>2</v>
      </c>
      <c r="AR11">
        <v>2</v>
      </c>
      <c r="AS11">
        <v>1</v>
      </c>
      <c r="AT11">
        <v>1</v>
      </c>
      <c r="AU11">
        <v>1</v>
      </c>
      <c r="AV11">
        <v>0</v>
      </c>
      <c r="AW11">
        <v>0</v>
      </c>
      <c r="AX11">
        <v>0</v>
      </c>
      <c r="AY11">
        <v>0</v>
      </c>
      <c r="AZ11">
        <v>0</v>
      </c>
      <c r="BA11">
        <v>0</v>
      </c>
      <c r="BB11">
        <v>0</v>
      </c>
      <c r="BC11" s="21">
        <v>9</v>
      </c>
      <c r="BD11">
        <v>0</v>
      </c>
      <c r="BE11">
        <v>1</v>
      </c>
      <c r="BF11">
        <v>0</v>
      </c>
      <c r="BG11" s="21">
        <v>6</v>
      </c>
    </row>
    <row r="12" spans="1:59" s="8" customFormat="1" ht="15" customHeight="1" x14ac:dyDescent="0.25">
      <c r="A12" t="s">
        <v>894</v>
      </c>
      <c r="B12" s="21">
        <v>43</v>
      </c>
      <c r="C12" s="21">
        <v>1</v>
      </c>
      <c r="D12" s="21">
        <v>12</v>
      </c>
      <c r="E12" s="21">
        <v>1</v>
      </c>
      <c r="F12" s="21">
        <v>1</v>
      </c>
      <c r="G12" s="21">
        <v>2</v>
      </c>
      <c r="H12" s="21">
        <v>2</v>
      </c>
      <c r="I12" s="21">
        <v>2</v>
      </c>
      <c r="J12">
        <v>2</v>
      </c>
      <c r="K12" s="21">
        <v>2</v>
      </c>
      <c r="L12" s="21">
        <v>1</v>
      </c>
      <c r="M12" s="21">
        <v>2</v>
      </c>
      <c r="N12" s="21">
        <v>2</v>
      </c>
      <c r="O12">
        <v>10.5</v>
      </c>
      <c r="P12">
        <v>32.700000000000003</v>
      </c>
      <c r="Q12">
        <v>79.400000000000006</v>
      </c>
      <c r="R12">
        <v>10.77</v>
      </c>
      <c r="S12"/>
      <c r="T12">
        <v>190</v>
      </c>
      <c r="U12">
        <v>135</v>
      </c>
      <c r="V12">
        <v>25</v>
      </c>
      <c r="W12">
        <v>150</v>
      </c>
      <c r="X12">
        <v>30</v>
      </c>
      <c r="Y12">
        <v>259</v>
      </c>
      <c r="Z12"/>
      <c r="AA12">
        <v>9</v>
      </c>
      <c r="AB12">
        <v>2</v>
      </c>
      <c r="AC12">
        <v>1</v>
      </c>
      <c r="AD12">
        <v>3</v>
      </c>
      <c r="AE12">
        <v>4</v>
      </c>
      <c r="AF12" s="21">
        <v>0</v>
      </c>
      <c r="AG12">
        <v>1</v>
      </c>
      <c r="AH12">
        <v>1</v>
      </c>
      <c r="AI12">
        <v>2</v>
      </c>
      <c r="AJ12"/>
      <c r="AK12">
        <v>4</v>
      </c>
      <c r="AL12">
        <v>2</v>
      </c>
      <c r="AM12">
        <v>2</v>
      </c>
      <c r="AN12">
        <v>0</v>
      </c>
      <c r="AO12"/>
      <c r="AP12"/>
      <c r="AQ12"/>
      <c r="AR12"/>
      <c r="AS12"/>
      <c r="AT12"/>
      <c r="AU12"/>
      <c r="AV12">
        <v>0</v>
      </c>
      <c r="AW12">
        <v>1</v>
      </c>
      <c r="AX12">
        <v>2</v>
      </c>
      <c r="AY12">
        <v>2</v>
      </c>
      <c r="AZ12">
        <v>1</v>
      </c>
      <c r="BA12">
        <v>1</v>
      </c>
      <c r="BB12">
        <v>1</v>
      </c>
      <c r="BC12" s="21">
        <v>8</v>
      </c>
      <c r="BD12">
        <v>0</v>
      </c>
      <c r="BE12">
        <v>1</v>
      </c>
      <c r="BF12">
        <v>0</v>
      </c>
      <c r="BG12" s="21">
        <v>6</v>
      </c>
    </row>
    <row r="13" spans="1:59" ht="15" customHeight="1" x14ac:dyDescent="0.25">
      <c r="A13" t="s">
        <v>44</v>
      </c>
      <c r="B13" s="21">
        <v>30</v>
      </c>
      <c r="C13" s="21">
        <v>1</v>
      </c>
      <c r="D13" s="21">
        <v>9</v>
      </c>
      <c r="E13" s="21">
        <v>2</v>
      </c>
      <c r="F13" s="21">
        <v>2</v>
      </c>
      <c r="G13" s="21">
        <v>1</v>
      </c>
      <c r="H13" s="21">
        <v>2</v>
      </c>
      <c r="I13" s="21">
        <v>1</v>
      </c>
      <c r="J13">
        <v>2</v>
      </c>
      <c r="K13" s="21">
        <v>2</v>
      </c>
      <c r="L13" s="21">
        <v>2</v>
      </c>
      <c r="M13" s="21">
        <v>2</v>
      </c>
      <c r="N13" s="21">
        <v>1</v>
      </c>
      <c r="AA13">
        <v>10</v>
      </c>
      <c r="AB13">
        <v>2</v>
      </c>
      <c r="AC13">
        <v>2</v>
      </c>
      <c r="AD13">
        <v>2</v>
      </c>
      <c r="AE13">
        <v>4</v>
      </c>
      <c r="AF13" s="21">
        <v>0</v>
      </c>
      <c r="AG13">
        <v>1</v>
      </c>
      <c r="AH13">
        <v>2</v>
      </c>
      <c r="AI13">
        <v>1</v>
      </c>
      <c r="AJ13">
        <v>1</v>
      </c>
      <c r="AN13">
        <v>95</v>
      </c>
      <c r="AO13">
        <v>1</v>
      </c>
      <c r="AP13">
        <v>2</v>
      </c>
      <c r="AQ13">
        <v>0</v>
      </c>
      <c r="AR13">
        <v>0</v>
      </c>
      <c r="AS13">
        <v>1</v>
      </c>
      <c r="AT13">
        <v>1</v>
      </c>
      <c r="AU13">
        <v>1</v>
      </c>
      <c r="AV13">
        <v>0</v>
      </c>
      <c r="AW13">
        <v>0</v>
      </c>
      <c r="AX13">
        <v>0</v>
      </c>
      <c r="AY13">
        <v>0</v>
      </c>
      <c r="AZ13">
        <v>0</v>
      </c>
      <c r="BA13">
        <v>0</v>
      </c>
      <c r="BB13">
        <v>0</v>
      </c>
      <c r="BC13" s="21">
        <v>6</v>
      </c>
      <c r="BD13">
        <v>1</v>
      </c>
      <c r="BE13">
        <v>1</v>
      </c>
      <c r="BF13">
        <v>0</v>
      </c>
      <c r="BG13" s="21">
        <v>0</v>
      </c>
    </row>
    <row r="14" spans="1:59" ht="15" customHeight="1" x14ac:dyDescent="0.25">
      <c r="A14" t="s">
        <v>462</v>
      </c>
      <c r="B14" s="21">
        <v>57</v>
      </c>
      <c r="C14" s="21">
        <v>1</v>
      </c>
      <c r="D14" s="21">
        <v>7</v>
      </c>
      <c r="E14" s="21">
        <v>1</v>
      </c>
      <c r="F14" s="21">
        <v>1</v>
      </c>
      <c r="G14" s="21">
        <v>2</v>
      </c>
      <c r="H14" s="21">
        <v>1</v>
      </c>
      <c r="I14" s="21">
        <v>2</v>
      </c>
      <c r="J14">
        <v>2</v>
      </c>
      <c r="K14" s="21">
        <v>2</v>
      </c>
      <c r="L14" s="21">
        <v>1</v>
      </c>
      <c r="M14" s="21">
        <v>2</v>
      </c>
      <c r="N14" s="21">
        <v>2</v>
      </c>
      <c r="O14">
        <v>14.3</v>
      </c>
      <c r="P14">
        <v>44.4</v>
      </c>
      <c r="Q14">
        <v>81.8</v>
      </c>
      <c r="R14">
        <v>20.170000000000002</v>
      </c>
      <c r="S14">
        <v>7</v>
      </c>
      <c r="T14">
        <v>141</v>
      </c>
      <c r="U14">
        <v>88.4</v>
      </c>
      <c r="V14">
        <v>29</v>
      </c>
      <c r="W14">
        <v>118</v>
      </c>
      <c r="X14">
        <v>23.6</v>
      </c>
      <c r="Y14">
        <v>208</v>
      </c>
      <c r="AA14">
        <v>7</v>
      </c>
      <c r="AB14">
        <v>2</v>
      </c>
      <c r="AC14">
        <v>1</v>
      </c>
      <c r="AD14">
        <v>2</v>
      </c>
      <c r="AE14">
        <v>5</v>
      </c>
      <c r="AF14" s="21">
        <v>0</v>
      </c>
      <c r="AG14">
        <v>1</v>
      </c>
      <c r="AH14">
        <v>1</v>
      </c>
      <c r="AI14">
        <v>2</v>
      </c>
      <c r="AL14">
        <v>2</v>
      </c>
      <c r="AM14">
        <v>2</v>
      </c>
      <c r="AN14">
        <v>100</v>
      </c>
      <c r="AO14">
        <v>0</v>
      </c>
      <c r="AP14">
        <v>1</v>
      </c>
      <c r="AQ14">
        <v>0</v>
      </c>
      <c r="AR14">
        <v>1</v>
      </c>
      <c r="AS14">
        <v>1</v>
      </c>
      <c r="AT14">
        <v>1</v>
      </c>
      <c r="AU14">
        <v>1</v>
      </c>
      <c r="AV14">
        <v>0</v>
      </c>
      <c r="AW14">
        <v>0</v>
      </c>
      <c r="AX14">
        <v>0</v>
      </c>
      <c r="AY14">
        <v>0</v>
      </c>
      <c r="AZ14">
        <v>0</v>
      </c>
      <c r="BA14">
        <v>0</v>
      </c>
      <c r="BB14">
        <v>0</v>
      </c>
      <c r="BC14" s="21">
        <v>5</v>
      </c>
      <c r="BD14">
        <v>1</v>
      </c>
      <c r="BE14">
        <v>0</v>
      </c>
      <c r="BF14">
        <v>0</v>
      </c>
      <c r="BG14" s="21">
        <v>0</v>
      </c>
    </row>
    <row r="15" spans="1:59" ht="15" customHeight="1" x14ac:dyDescent="0.25">
      <c r="A15" t="s">
        <v>794</v>
      </c>
      <c r="B15" s="21">
        <v>67</v>
      </c>
      <c r="C15" s="21">
        <v>2</v>
      </c>
      <c r="D15" s="21">
        <v>23</v>
      </c>
      <c r="E15" s="21">
        <v>2</v>
      </c>
      <c r="F15" s="21">
        <v>2</v>
      </c>
      <c r="G15" s="21">
        <v>2</v>
      </c>
      <c r="H15" s="21">
        <v>2</v>
      </c>
      <c r="I15" s="21">
        <v>2</v>
      </c>
      <c r="J15">
        <v>2</v>
      </c>
      <c r="K15" s="21">
        <v>2</v>
      </c>
      <c r="L15" s="21">
        <v>2</v>
      </c>
      <c r="M15" s="21">
        <v>1</v>
      </c>
      <c r="N15" s="21">
        <v>2</v>
      </c>
      <c r="O15">
        <v>9.4</v>
      </c>
      <c r="P15">
        <v>29.3</v>
      </c>
      <c r="Q15">
        <v>95.9</v>
      </c>
      <c r="AA15">
        <v>8</v>
      </c>
      <c r="AB15">
        <v>2</v>
      </c>
      <c r="AC15">
        <v>2</v>
      </c>
      <c r="AD15">
        <v>3</v>
      </c>
      <c r="AE15">
        <v>4</v>
      </c>
      <c r="AF15" s="21">
        <v>0</v>
      </c>
      <c r="AG15">
        <v>1</v>
      </c>
      <c r="AH15">
        <v>1</v>
      </c>
      <c r="AI15">
        <v>2</v>
      </c>
      <c r="AL15">
        <v>2</v>
      </c>
      <c r="AM15">
        <v>2</v>
      </c>
      <c r="AO15">
        <v>0</v>
      </c>
      <c r="AP15">
        <v>0</v>
      </c>
      <c r="AQ15">
        <v>2</v>
      </c>
      <c r="AR15">
        <v>2</v>
      </c>
      <c r="AS15">
        <v>1</v>
      </c>
      <c r="AT15">
        <v>1</v>
      </c>
      <c r="AU15">
        <v>1</v>
      </c>
      <c r="AV15">
        <v>0</v>
      </c>
      <c r="AW15">
        <v>0</v>
      </c>
      <c r="AX15">
        <v>0</v>
      </c>
      <c r="AY15">
        <v>0</v>
      </c>
      <c r="AZ15">
        <v>0</v>
      </c>
      <c r="BA15">
        <v>0</v>
      </c>
      <c r="BB15">
        <v>0</v>
      </c>
      <c r="BC15" s="21">
        <v>7</v>
      </c>
      <c r="BD15">
        <v>1</v>
      </c>
      <c r="BE15">
        <v>0</v>
      </c>
      <c r="BF15" t="s">
        <v>1084</v>
      </c>
      <c r="BG15" s="21">
        <v>6</v>
      </c>
    </row>
    <row r="16" spans="1:59" ht="15" customHeight="1" x14ac:dyDescent="0.25">
      <c r="A16" t="s">
        <v>502</v>
      </c>
      <c r="B16" s="21">
        <v>77</v>
      </c>
      <c r="C16" s="21">
        <v>2</v>
      </c>
      <c r="D16" s="21">
        <v>1</v>
      </c>
      <c r="E16" s="21">
        <v>1</v>
      </c>
      <c r="F16" s="21">
        <v>1</v>
      </c>
      <c r="G16" s="21">
        <v>2</v>
      </c>
      <c r="H16" s="21">
        <v>2</v>
      </c>
      <c r="I16" s="21">
        <v>2</v>
      </c>
      <c r="J16">
        <v>2</v>
      </c>
      <c r="K16" s="21">
        <v>2</v>
      </c>
      <c r="L16" s="21">
        <v>2</v>
      </c>
      <c r="M16" s="21">
        <v>2</v>
      </c>
      <c r="N16" s="21">
        <v>2</v>
      </c>
      <c r="O16">
        <v>14</v>
      </c>
      <c r="P16">
        <v>42.4</v>
      </c>
      <c r="Q16">
        <v>88.9</v>
      </c>
      <c r="R16">
        <v>15.99</v>
      </c>
      <c r="S16">
        <v>10.4</v>
      </c>
      <c r="T16">
        <v>250</v>
      </c>
      <c r="U16">
        <v>126</v>
      </c>
      <c r="V16">
        <v>37</v>
      </c>
      <c r="W16">
        <v>435</v>
      </c>
      <c r="X16">
        <v>87</v>
      </c>
      <c r="AA16">
        <v>8</v>
      </c>
      <c r="AB16">
        <v>2</v>
      </c>
      <c r="AC16">
        <v>1</v>
      </c>
      <c r="AD16">
        <v>4</v>
      </c>
      <c r="AE16">
        <v>5</v>
      </c>
      <c r="AF16" s="21">
        <v>0</v>
      </c>
      <c r="AG16">
        <v>1</v>
      </c>
      <c r="AH16">
        <v>1</v>
      </c>
      <c r="AI16">
        <v>2</v>
      </c>
      <c r="AL16">
        <v>2</v>
      </c>
      <c r="AM16">
        <v>2</v>
      </c>
      <c r="AN16">
        <v>100</v>
      </c>
      <c r="AO16">
        <v>0</v>
      </c>
      <c r="AP16">
        <v>2</v>
      </c>
      <c r="AQ16">
        <v>2</v>
      </c>
      <c r="AR16">
        <v>2</v>
      </c>
      <c r="AS16">
        <v>1</v>
      </c>
      <c r="AT16">
        <v>1</v>
      </c>
      <c r="AU16">
        <v>1</v>
      </c>
      <c r="AV16">
        <v>0</v>
      </c>
      <c r="AW16">
        <v>0</v>
      </c>
      <c r="AX16">
        <v>0</v>
      </c>
      <c r="AY16">
        <v>0</v>
      </c>
      <c r="AZ16">
        <v>0</v>
      </c>
      <c r="BA16">
        <v>0</v>
      </c>
      <c r="BB16">
        <v>0</v>
      </c>
      <c r="BC16" s="21">
        <v>9</v>
      </c>
      <c r="BD16">
        <v>1</v>
      </c>
      <c r="BE16">
        <v>0</v>
      </c>
      <c r="BF16" t="s">
        <v>1110</v>
      </c>
      <c r="BG16" s="21">
        <v>0</v>
      </c>
    </row>
    <row r="17" spans="1:59" ht="15" customHeight="1" x14ac:dyDescent="0.25">
      <c r="A17" t="s">
        <v>560</v>
      </c>
      <c r="B17" s="21">
        <v>80</v>
      </c>
      <c r="C17" s="21">
        <v>2</v>
      </c>
      <c r="D17" s="21">
        <v>17</v>
      </c>
      <c r="E17" s="21">
        <v>1</v>
      </c>
      <c r="F17" s="21">
        <v>1</v>
      </c>
      <c r="G17" s="21">
        <v>2</v>
      </c>
      <c r="H17" s="21">
        <v>2</v>
      </c>
      <c r="I17" s="21">
        <v>2</v>
      </c>
      <c r="J17">
        <v>2</v>
      </c>
      <c r="K17" s="21">
        <v>2</v>
      </c>
      <c r="L17" s="21">
        <v>2</v>
      </c>
      <c r="M17" s="21">
        <v>2</v>
      </c>
      <c r="N17" s="21">
        <v>2</v>
      </c>
      <c r="O17">
        <v>12.9</v>
      </c>
      <c r="P17">
        <v>38.5</v>
      </c>
      <c r="Q17">
        <v>92</v>
      </c>
      <c r="R17">
        <v>31.04</v>
      </c>
      <c r="S17">
        <v>11.4</v>
      </c>
      <c r="T17">
        <v>130</v>
      </c>
      <c r="U17">
        <v>68.8</v>
      </c>
      <c r="V17">
        <v>31</v>
      </c>
      <c r="W17">
        <v>151</v>
      </c>
      <c r="X17">
        <v>30.2</v>
      </c>
      <c r="Y17">
        <v>198</v>
      </c>
      <c r="AA17">
        <v>9</v>
      </c>
      <c r="AB17">
        <v>2</v>
      </c>
      <c r="AC17">
        <v>2</v>
      </c>
      <c r="AD17">
        <v>3</v>
      </c>
      <c r="AE17">
        <v>4</v>
      </c>
      <c r="AF17" s="21">
        <v>0</v>
      </c>
      <c r="AG17">
        <v>1</v>
      </c>
      <c r="AH17">
        <v>1</v>
      </c>
      <c r="AI17">
        <v>2</v>
      </c>
      <c r="AL17">
        <v>2</v>
      </c>
      <c r="AM17">
        <v>2</v>
      </c>
      <c r="AN17">
        <v>100</v>
      </c>
      <c r="AO17">
        <v>0</v>
      </c>
      <c r="AP17">
        <v>0</v>
      </c>
      <c r="AQ17">
        <v>0</v>
      </c>
      <c r="AR17">
        <v>0</v>
      </c>
      <c r="AS17">
        <v>0</v>
      </c>
      <c r="AT17">
        <v>0</v>
      </c>
      <c r="AU17">
        <v>0</v>
      </c>
      <c r="AV17">
        <v>0</v>
      </c>
      <c r="AW17">
        <v>2</v>
      </c>
      <c r="AX17">
        <v>1</v>
      </c>
      <c r="AY17">
        <v>2</v>
      </c>
      <c r="AZ17">
        <v>1</v>
      </c>
      <c r="BA17">
        <v>1</v>
      </c>
      <c r="BB17">
        <v>1</v>
      </c>
      <c r="BC17" s="21">
        <v>8</v>
      </c>
      <c r="BD17">
        <v>1</v>
      </c>
      <c r="BE17">
        <v>0</v>
      </c>
      <c r="BF17">
        <v>0</v>
      </c>
      <c r="BG17" s="21">
        <v>5</v>
      </c>
    </row>
    <row r="18" spans="1:59" ht="15" customHeight="1" x14ac:dyDescent="0.25">
      <c r="A18" t="s">
        <v>14</v>
      </c>
      <c r="B18" s="21">
        <v>70</v>
      </c>
      <c r="C18" s="21">
        <v>1</v>
      </c>
      <c r="E18" s="21">
        <v>2</v>
      </c>
      <c r="F18" s="21">
        <v>1</v>
      </c>
      <c r="G18" s="21">
        <v>2</v>
      </c>
      <c r="H18" s="21">
        <v>1</v>
      </c>
      <c r="I18" s="21">
        <v>2</v>
      </c>
      <c r="J18">
        <v>2</v>
      </c>
      <c r="K18" s="21">
        <v>2</v>
      </c>
      <c r="L18" s="21">
        <v>2</v>
      </c>
      <c r="M18" s="21">
        <v>2</v>
      </c>
      <c r="N18" s="21">
        <v>2</v>
      </c>
      <c r="O18">
        <v>12</v>
      </c>
      <c r="P18">
        <v>30.2</v>
      </c>
      <c r="Q18">
        <v>78.2</v>
      </c>
      <c r="R18">
        <v>37.22</v>
      </c>
      <c r="S18">
        <v>11</v>
      </c>
      <c r="T18">
        <v>137</v>
      </c>
      <c r="U18">
        <v>82.4</v>
      </c>
      <c r="V18">
        <v>40</v>
      </c>
      <c r="W18">
        <v>73</v>
      </c>
      <c r="X18">
        <v>14.6</v>
      </c>
      <c r="Y18">
        <v>7200</v>
      </c>
      <c r="AA18">
        <v>1</v>
      </c>
      <c r="AB18">
        <v>2</v>
      </c>
      <c r="AC18">
        <v>2</v>
      </c>
      <c r="AD18">
        <v>1</v>
      </c>
      <c r="AE18">
        <v>2</v>
      </c>
      <c r="AF18" s="21">
        <v>0</v>
      </c>
      <c r="AG18">
        <v>1</v>
      </c>
      <c r="AH18">
        <v>1</v>
      </c>
      <c r="AI18">
        <v>2</v>
      </c>
      <c r="AK18">
        <v>4</v>
      </c>
      <c r="AN18">
        <v>85</v>
      </c>
      <c r="AO18">
        <v>0</v>
      </c>
      <c r="AP18">
        <v>0</v>
      </c>
      <c r="AQ18">
        <v>0</v>
      </c>
      <c r="AR18">
        <v>0</v>
      </c>
      <c r="AS18">
        <v>0</v>
      </c>
      <c r="AT18">
        <v>0</v>
      </c>
      <c r="AU18">
        <v>0</v>
      </c>
      <c r="AV18">
        <v>1</v>
      </c>
      <c r="AW18">
        <v>2</v>
      </c>
      <c r="AX18">
        <v>2</v>
      </c>
      <c r="AY18">
        <v>0</v>
      </c>
      <c r="AZ18">
        <v>0</v>
      </c>
      <c r="BA18">
        <v>0</v>
      </c>
      <c r="BB18">
        <v>1</v>
      </c>
      <c r="BC18" s="21">
        <v>6</v>
      </c>
      <c r="BD18">
        <v>1</v>
      </c>
      <c r="BE18">
        <v>1</v>
      </c>
      <c r="BF18">
        <v>0</v>
      </c>
      <c r="BG18" s="21">
        <v>0</v>
      </c>
    </row>
    <row r="19" spans="1:59" ht="15" customHeight="1" x14ac:dyDescent="0.25">
      <c r="A19" t="s">
        <v>22</v>
      </c>
      <c r="B19" s="21">
        <v>70</v>
      </c>
      <c r="C19" s="21">
        <v>2</v>
      </c>
      <c r="D19" s="21">
        <v>19</v>
      </c>
      <c r="E19" s="21">
        <v>1</v>
      </c>
      <c r="F19" s="21">
        <v>2</v>
      </c>
      <c r="G19" s="21">
        <v>2</v>
      </c>
      <c r="H19" s="21">
        <v>2</v>
      </c>
      <c r="I19" s="21">
        <v>2</v>
      </c>
      <c r="J19">
        <v>2</v>
      </c>
      <c r="K19" s="21">
        <v>2</v>
      </c>
      <c r="L19" s="21">
        <v>2</v>
      </c>
      <c r="M19" s="21">
        <v>2</v>
      </c>
      <c r="N19" s="21">
        <v>2</v>
      </c>
      <c r="O19">
        <v>9.8000000000000007</v>
      </c>
      <c r="P19">
        <v>30.8</v>
      </c>
      <c r="Q19">
        <v>96.3</v>
      </c>
      <c r="R19">
        <v>7.81</v>
      </c>
      <c r="S19">
        <v>6.3</v>
      </c>
      <c r="T19">
        <v>128</v>
      </c>
      <c r="U19">
        <v>68.8</v>
      </c>
      <c r="V19">
        <v>24</v>
      </c>
      <c r="W19">
        <v>176</v>
      </c>
      <c r="X19">
        <v>35.200000000000003</v>
      </c>
      <c r="Y19">
        <v>1539</v>
      </c>
      <c r="AA19">
        <v>9</v>
      </c>
      <c r="AB19">
        <v>2</v>
      </c>
      <c r="AC19">
        <v>1</v>
      </c>
      <c r="AD19">
        <v>1</v>
      </c>
      <c r="AE19">
        <v>4</v>
      </c>
      <c r="AF19" s="21">
        <v>0</v>
      </c>
      <c r="AG19">
        <v>1</v>
      </c>
      <c r="AH19">
        <v>1</v>
      </c>
      <c r="AI19">
        <v>1</v>
      </c>
      <c r="AJ19">
        <v>2</v>
      </c>
      <c r="AL19">
        <v>1</v>
      </c>
      <c r="AM19">
        <v>2</v>
      </c>
      <c r="AO19">
        <v>0</v>
      </c>
      <c r="AP19">
        <v>0</v>
      </c>
      <c r="AQ19">
        <v>0</v>
      </c>
      <c r="AR19">
        <v>0</v>
      </c>
      <c r="AS19">
        <v>0</v>
      </c>
      <c r="AT19">
        <v>0</v>
      </c>
      <c r="AU19">
        <v>0</v>
      </c>
      <c r="AV19">
        <v>1</v>
      </c>
      <c r="AW19">
        <v>2</v>
      </c>
      <c r="AX19">
        <v>2</v>
      </c>
      <c r="AY19">
        <v>0</v>
      </c>
      <c r="AZ19">
        <v>0</v>
      </c>
      <c r="BA19">
        <v>0</v>
      </c>
      <c r="BB19">
        <v>1</v>
      </c>
      <c r="BC19" s="21">
        <v>6</v>
      </c>
      <c r="BD19">
        <v>1</v>
      </c>
      <c r="BE19">
        <v>1</v>
      </c>
      <c r="BF19">
        <v>0</v>
      </c>
      <c r="BG19" s="21">
        <v>6</v>
      </c>
    </row>
    <row r="20" spans="1:59" s="8" customFormat="1" ht="15" customHeight="1" x14ac:dyDescent="0.25">
      <c r="A20" t="s">
        <v>513</v>
      </c>
      <c r="B20" s="21">
        <v>45</v>
      </c>
      <c r="C20" s="21">
        <v>1</v>
      </c>
      <c r="D20" s="21">
        <v>20</v>
      </c>
      <c r="E20" s="21">
        <v>1</v>
      </c>
      <c r="F20" s="21">
        <v>1</v>
      </c>
      <c r="G20" s="21">
        <v>2</v>
      </c>
      <c r="H20" s="21">
        <v>2</v>
      </c>
      <c r="I20" s="21">
        <v>2</v>
      </c>
      <c r="J20">
        <v>2</v>
      </c>
      <c r="K20" s="21">
        <v>2</v>
      </c>
      <c r="L20" s="21">
        <v>2</v>
      </c>
      <c r="M20" s="21">
        <v>2</v>
      </c>
      <c r="N20" s="21">
        <v>2</v>
      </c>
      <c r="O20">
        <v>13.9</v>
      </c>
      <c r="P20">
        <v>43.1</v>
      </c>
      <c r="Q20">
        <v>91.6</v>
      </c>
      <c r="R20">
        <v>12.63</v>
      </c>
      <c r="S20">
        <v>13</v>
      </c>
      <c r="T20">
        <v>193</v>
      </c>
      <c r="U20">
        <v>124.6</v>
      </c>
      <c r="V20">
        <v>39</v>
      </c>
      <c r="W20">
        <v>147</v>
      </c>
      <c r="X20">
        <v>29.4</v>
      </c>
      <c r="Y20">
        <v>192</v>
      </c>
      <c r="Z20"/>
      <c r="AA20">
        <v>9</v>
      </c>
      <c r="AB20">
        <v>2</v>
      </c>
      <c r="AC20">
        <v>1</v>
      </c>
      <c r="AD20">
        <v>3</v>
      </c>
      <c r="AE20">
        <v>5</v>
      </c>
      <c r="AF20" s="21">
        <v>0</v>
      </c>
      <c r="AG20">
        <v>1</v>
      </c>
      <c r="AH20">
        <v>2</v>
      </c>
      <c r="AI20">
        <v>1</v>
      </c>
      <c r="AJ20">
        <v>1</v>
      </c>
      <c r="AK20"/>
      <c r="AL20">
        <v>2</v>
      </c>
      <c r="AM20">
        <v>2</v>
      </c>
      <c r="AN20">
        <v>100</v>
      </c>
      <c r="AO20">
        <v>1</v>
      </c>
      <c r="AP20">
        <v>2</v>
      </c>
      <c r="AQ20">
        <v>2</v>
      </c>
      <c r="AR20">
        <v>2</v>
      </c>
      <c r="AS20">
        <v>0</v>
      </c>
      <c r="AT20">
        <v>1</v>
      </c>
      <c r="AU20">
        <v>1</v>
      </c>
      <c r="AV20">
        <v>0</v>
      </c>
      <c r="AW20">
        <v>0</v>
      </c>
      <c r="AX20">
        <v>0</v>
      </c>
      <c r="AY20">
        <v>0</v>
      </c>
      <c r="AZ20">
        <v>0</v>
      </c>
      <c r="BA20">
        <v>0</v>
      </c>
      <c r="BB20">
        <v>0</v>
      </c>
      <c r="BC20" s="21">
        <v>9</v>
      </c>
      <c r="BD20">
        <v>1</v>
      </c>
      <c r="BE20">
        <v>1</v>
      </c>
      <c r="BF20">
        <v>0</v>
      </c>
      <c r="BG20" s="21">
        <v>0</v>
      </c>
    </row>
    <row r="21" spans="1:59" ht="15" customHeight="1" x14ac:dyDescent="0.25">
      <c r="A21" t="s">
        <v>387</v>
      </c>
      <c r="B21" s="21">
        <v>70</v>
      </c>
      <c r="C21" s="21">
        <v>1</v>
      </c>
      <c r="D21" s="21">
        <v>14</v>
      </c>
      <c r="E21" s="21">
        <v>2</v>
      </c>
      <c r="F21" s="21">
        <v>2</v>
      </c>
      <c r="G21" s="21">
        <v>1</v>
      </c>
      <c r="H21" s="21">
        <v>2</v>
      </c>
      <c r="I21" s="21">
        <v>1</v>
      </c>
      <c r="J21">
        <v>2</v>
      </c>
      <c r="K21" s="21">
        <v>2</v>
      </c>
      <c r="L21" s="21">
        <v>2</v>
      </c>
      <c r="M21" s="21">
        <v>2</v>
      </c>
      <c r="N21" s="21">
        <v>2</v>
      </c>
      <c r="O21">
        <v>13.5</v>
      </c>
      <c r="P21">
        <v>41.4</v>
      </c>
      <c r="Q21">
        <v>87.6</v>
      </c>
      <c r="R21">
        <v>41.69</v>
      </c>
      <c r="S21">
        <v>6.9</v>
      </c>
      <c r="T21">
        <v>195</v>
      </c>
      <c r="U21">
        <v>125.2</v>
      </c>
      <c r="V21">
        <v>50</v>
      </c>
      <c r="W21">
        <v>99</v>
      </c>
      <c r="X21">
        <v>19.8</v>
      </c>
      <c r="Y21">
        <v>162</v>
      </c>
      <c r="AA21">
        <v>8</v>
      </c>
      <c r="AB21">
        <v>2</v>
      </c>
      <c r="AC21">
        <v>2</v>
      </c>
      <c r="AD21">
        <v>3</v>
      </c>
      <c r="AE21">
        <v>4</v>
      </c>
      <c r="AF21" s="21">
        <v>0</v>
      </c>
      <c r="AG21">
        <v>1</v>
      </c>
      <c r="AH21">
        <v>2</v>
      </c>
      <c r="AI21">
        <v>2</v>
      </c>
      <c r="AL21">
        <v>2</v>
      </c>
      <c r="AM21">
        <v>2</v>
      </c>
      <c r="AN21">
        <v>80</v>
      </c>
      <c r="AO21">
        <v>0</v>
      </c>
      <c r="AP21">
        <v>2</v>
      </c>
      <c r="AQ21">
        <v>2</v>
      </c>
      <c r="AR21">
        <v>0</v>
      </c>
      <c r="AS21">
        <v>1</v>
      </c>
      <c r="AT21">
        <v>1</v>
      </c>
      <c r="AU21">
        <v>1</v>
      </c>
      <c r="AV21">
        <v>0</v>
      </c>
      <c r="AW21">
        <v>0</v>
      </c>
      <c r="AX21">
        <v>0</v>
      </c>
      <c r="AY21">
        <v>0</v>
      </c>
      <c r="AZ21">
        <v>0</v>
      </c>
      <c r="BA21">
        <v>0</v>
      </c>
      <c r="BB21">
        <v>0</v>
      </c>
      <c r="BC21" s="21">
        <v>7</v>
      </c>
      <c r="BD21">
        <v>1</v>
      </c>
      <c r="BE21">
        <v>1</v>
      </c>
      <c r="BF21">
        <v>0</v>
      </c>
      <c r="BG21" s="21">
        <v>0</v>
      </c>
    </row>
    <row r="22" spans="1:59" ht="15" customHeight="1" x14ac:dyDescent="0.25">
      <c r="A22" s="8" t="s">
        <v>1167</v>
      </c>
      <c r="B22" s="21">
        <v>38</v>
      </c>
      <c r="C22" s="21">
        <v>2</v>
      </c>
      <c r="D22" s="21">
        <v>17</v>
      </c>
      <c r="E22" s="21">
        <v>2</v>
      </c>
      <c r="F22" s="21">
        <v>2</v>
      </c>
      <c r="G22" s="21">
        <v>2</v>
      </c>
      <c r="H22" s="21">
        <v>2</v>
      </c>
      <c r="I22" s="21">
        <v>2</v>
      </c>
      <c r="J22" s="8">
        <v>2</v>
      </c>
      <c r="K22" s="21">
        <v>2</v>
      </c>
      <c r="L22" s="21">
        <v>2</v>
      </c>
      <c r="M22" s="21">
        <v>2</v>
      </c>
      <c r="N22" s="21">
        <v>2</v>
      </c>
      <c r="O22" s="8">
        <v>12</v>
      </c>
      <c r="P22" s="8">
        <v>35.4</v>
      </c>
      <c r="Q22" s="8">
        <v>90</v>
      </c>
      <c r="R22" s="8">
        <v>12.75</v>
      </c>
      <c r="S22" s="8">
        <v>5.5</v>
      </c>
      <c r="T22" s="8"/>
      <c r="U22" s="8"/>
      <c r="V22" s="8"/>
      <c r="W22" s="8"/>
      <c r="X22" s="8"/>
      <c r="Y22" s="8">
        <v>166</v>
      </c>
      <c r="Z22" s="8"/>
      <c r="AA22" s="8">
        <v>9</v>
      </c>
      <c r="AB22" s="8">
        <v>2</v>
      </c>
      <c r="AC22" s="8">
        <v>2</v>
      </c>
      <c r="AD22" s="8">
        <v>2</v>
      </c>
      <c r="AE22" s="8">
        <v>4</v>
      </c>
      <c r="AF22" s="21">
        <v>0</v>
      </c>
      <c r="AG22" s="8">
        <v>1</v>
      </c>
      <c r="AH22" s="8"/>
      <c r="AI22" s="8">
        <v>1</v>
      </c>
      <c r="AJ22" s="8">
        <v>2</v>
      </c>
      <c r="AK22" s="8"/>
      <c r="AL22" s="8">
        <v>2</v>
      </c>
      <c r="AM22" s="8">
        <v>2</v>
      </c>
      <c r="AN22" s="8">
        <v>100</v>
      </c>
      <c r="AO22" s="8"/>
      <c r="AP22" s="8"/>
      <c r="AQ22" s="8"/>
      <c r="AR22" s="8"/>
      <c r="AS22" s="8"/>
      <c r="AT22" s="8"/>
      <c r="AU22" s="8"/>
      <c r="AV22" s="8">
        <v>1</v>
      </c>
      <c r="AW22" s="8">
        <v>2</v>
      </c>
      <c r="AX22" s="8">
        <v>0</v>
      </c>
      <c r="AY22" s="8">
        <v>2</v>
      </c>
      <c r="AZ22" s="8">
        <v>1</v>
      </c>
      <c r="BA22" s="8">
        <v>1</v>
      </c>
      <c r="BB22" s="8">
        <v>1</v>
      </c>
      <c r="BC22" s="21">
        <v>8</v>
      </c>
      <c r="BD22" s="8">
        <v>1</v>
      </c>
      <c r="BE22" s="8">
        <v>1</v>
      </c>
      <c r="BF22" s="8">
        <v>1</v>
      </c>
      <c r="BG22" s="21">
        <v>1</v>
      </c>
    </row>
    <row r="23" spans="1:59" ht="15" customHeight="1" x14ac:dyDescent="0.25">
      <c r="A23" t="s">
        <v>349</v>
      </c>
      <c r="B23" s="21">
        <v>50</v>
      </c>
      <c r="C23" s="21">
        <v>1</v>
      </c>
      <c r="D23" s="21">
        <v>24</v>
      </c>
      <c r="E23" s="21">
        <v>1</v>
      </c>
      <c r="F23" s="21">
        <v>2</v>
      </c>
      <c r="G23" s="21">
        <v>2</v>
      </c>
      <c r="H23" s="21">
        <v>1</v>
      </c>
      <c r="I23" s="21">
        <v>2</v>
      </c>
      <c r="J23">
        <v>2</v>
      </c>
      <c r="K23" s="21">
        <v>2</v>
      </c>
      <c r="L23" s="21">
        <v>2</v>
      </c>
      <c r="M23" s="21">
        <v>2</v>
      </c>
      <c r="N23" s="21">
        <v>2</v>
      </c>
      <c r="O23">
        <v>13.5</v>
      </c>
      <c r="P23">
        <v>41</v>
      </c>
      <c r="Q23">
        <v>97.2</v>
      </c>
      <c r="R23">
        <v>33.42</v>
      </c>
      <c r="S23">
        <v>5.6</v>
      </c>
      <c r="T23">
        <v>115</v>
      </c>
      <c r="U23">
        <v>64.400000000000006</v>
      </c>
      <c r="V23">
        <v>31</v>
      </c>
      <c r="W23">
        <v>98</v>
      </c>
      <c r="X23">
        <v>19.600000000000001</v>
      </c>
      <c r="Y23">
        <v>156</v>
      </c>
      <c r="AA23">
        <v>8</v>
      </c>
      <c r="AB23">
        <v>2</v>
      </c>
      <c r="AC23">
        <v>1</v>
      </c>
      <c r="AD23">
        <v>1</v>
      </c>
      <c r="AE23">
        <v>3</v>
      </c>
      <c r="AF23" s="21">
        <v>0</v>
      </c>
      <c r="AG23">
        <v>1</v>
      </c>
      <c r="AH23">
        <v>2</v>
      </c>
      <c r="AI23">
        <v>1</v>
      </c>
      <c r="AJ23">
        <v>1</v>
      </c>
      <c r="AL23">
        <v>2</v>
      </c>
      <c r="AM23">
        <v>2</v>
      </c>
      <c r="AN23">
        <v>25</v>
      </c>
      <c r="AO23">
        <v>0</v>
      </c>
      <c r="AP23">
        <v>0</v>
      </c>
      <c r="AQ23">
        <v>0</v>
      </c>
      <c r="AR23">
        <v>0</v>
      </c>
      <c r="AS23">
        <v>0</v>
      </c>
      <c r="AT23">
        <v>0</v>
      </c>
      <c r="AU23">
        <v>0</v>
      </c>
      <c r="AV23">
        <v>0</v>
      </c>
      <c r="AW23">
        <v>0</v>
      </c>
      <c r="AX23">
        <v>0</v>
      </c>
      <c r="AY23">
        <v>0</v>
      </c>
      <c r="AZ23">
        <v>0</v>
      </c>
      <c r="BA23">
        <v>0</v>
      </c>
      <c r="BB23">
        <v>1</v>
      </c>
      <c r="BC23" s="21">
        <v>1</v>
      </c>
      <c r="BD23">
        <v>0</v>
      </c>
      <c r="BE23">
        <v>1</v>
      </c>
      <c r="BF23">
        <v>0</v>
      </c>
      <c r="BG23" s="21">
        <v>4</v>
      </c>
    </row>
    <row r="24" spans="1:59" ht="15" customHeight="1" x14ac:dyDescent="0.25">
      <c r="A24" t="s">
        <v>5</v>
      </c>
      <c r="B24" s="21">
        <v>50</v>
      </c>
      <c r="C24" s="21">
        <v>1</v>
      </c>
      <c r="D24" s="21">
        <v>13</v>
      </c>
      <c r="E24" s="21">
        <v>1</v>
      </c>
      <c r="F24" s="21">
        <v>2</v>
      </c>
      <c r="G24" s="21">
        <v>1</v>
      </c>
      <c r="H24" s="21">
        <v>1</v>
      </c>
      <c r="I24" s="21">
        <v>1</v>
      </c>
      <c r="J24">
        <v>2</v>
      </c>
      <c r="K24" s="21">
        <v>2</v>
      </c>
      <c r="L24" s="21">
        <v>2</v>
      </c>
      <c r="M24" s="21">
        <v>2</v>
      </c>
      <c r="N24" s="21">
        <v>2</v>
      </c>
      <c r="O24">
        <v>11.3</v>
      </c>
      <c r="P24">
        <v>32</v>
      </c>
      <c r="Q24">
        <v>79</v>
      </c>
      <c r="R24">
        <v>44.6</v>
      </c>
      <c r="S24">
        <v>5.3</v>
      </c>
      <c r="T24">
        <v>195</v>
      </c>
      <c r="U24">
        <v>116</v>
      </c>
      <c r="V24">
        <v>46</v>
      </c>
      <c r="W24">
        <v>162</v>
      </c>
      <c r="X24">
        <v>32</v>
      </c>
      <c r="Y24">
        <v>148</v>
      </c>
      <c r="AA24">
        <v>8</v>
      </c>
      <c r="AB24">
        <v>2</v>
      </c>
      <c r="AC24">
        <v>1</v>
      </c>
      <c r="AD24">
        <v>2</v>
      </c>
      <c r="AE24">
        <v>4</v>
      </c>
      <c r="AF24" s="21">
        <v>0</v>
      </c>
      <c r="AG24">
        <v>1</v>
      </c>
      <c r="AH24">
        <v>2</v>
      </c>
      <c r="AI24">
        <v>2</v>
      </c>
      <c r="AJ24">
        <v>2</v>
      </c>
      <c r="AK24">
        <v>2</v>
      </c>
      <c r="AL24">
        <v>2</v>
      </c>
      <c r="AM24">
        <v>2</v>
      </c>
      <c r="AN24">
        <v>100</v>
      </c>
      <c r="AO24">
        <v>1</v>
      </c>
      <c r="AP24">
        <v>2</v>
      </c>
      <c r="AQ24">
        <v>0</v>
      </c>
      <c r="AR24">
        <v>0</v>
      </c>
      <c r="AS24">
        <v>0</v>
      </c>
      <c r="AT24">
        <v>0</v>
      </c>
      <c r="AU24">
        <v>1</v>
      </c>
      <c r="AV24">
        <v>0</v>
      </c>
      <c r="AW24">
        <v>0</v>
      </c>
      <c r="AX24">
        <v>0</v>
      </c>
      <c r="AY24">
        <v>0</v>
      </c>
      <c r="AZ24">
        <v>0</v>
      </c>
      <c r="BA24">
        <v>0</v>
      </c>
      <c r="BB24">
        <v>0</v>
      </c>
      <c r="BC24" s="21">
        <v>4</v>
      </c>
      <c r="BD24">
        <v>1</v>
      </c>
      <c r="BE24">
        <v>0</v>
      </c>
      <c r="BF24">
        <v>0</v>
      </c>
      <c r="BG24" s="21">
        <v>0</v>
      </c>
    </row>
    <row r="25" spans="1:59" ht="15" customHeight="1" x14ac:dyDescent="0.25">
      <c r="A25" t="s">
        <v>878</v>
      </c>
      <c r="B25" s="21">
        <v>74</v>
      </c>
      <c r="C25" s="21">
        <v>2</v>
      </c>
      <c r="D25" s="21">
        <v>11</v>
      </c>
      <c r="E25" s="21">
        <v>1</v>
      </c>
      <c r="F25" s="21">
        <v>1</v>
      </c>
      <c r="G25" s="21">
        <v>2</v>
      </c>
      <c r="H25" s="21">
        <v>2</v>
      </c>
      <c r="I25" s="21">
        <v>2</v>
      </c>
      <c r="J25">
        <v>2</v>
      </c>
      <c r="K25" s="21">
        <v>2</v>
      </c>
      <c r="L25" s="21">
        <v>1</v>
      </c>
      <c r="M25" s="21">
        <v>2</v>
      </c>
      <c r="N25" s="21">
        <v>2</v>
      </c>
      <c r="O25">
        <v>11.8</v>
      </c>
      <c r="P25">
        <v>36.700000000000003</v>
      </c>
      <c r="Q25">
        <v>90.4</v>
      </c>
      <c r="R25">
        <v>13.29</v>
      </c>
      <c r="S25">
        <v>6.7</v>
      </c>
      <c r="T25">
        <v>153</v>
      </c>
      <c r="U25">
        <v>96</v>
      </c>
      <c r="V25">
        <v>34</v>
      </c>
      <c r="W25">
        <v>111</v>
      </c>
      <c r="X25">
        <v>22</v>
      </c>
      <c r="Y25">
        <v>397</v>
      </c>
      <c r="AA25">
        <v>4</v>
      </c>
      <c r="AB25">
        <v>2</v>
      </c>
      <c r="AC25">
        <v>2</v>
      </c>
      <c r="AD25">
        <v>3</v>
      </c>
      <c r="AE25">
        <v>3</v>
      </c>
      <c r="AF25" s="21">
        <v>0</v>
      </c>
      <c r="AG25">
        <v>1</v>
      </c>
      <c r="AH25">
        <v>1</v>
      </c>
      <c r="AI25">
        <v>1</v>
      </c>
      <c r="AJ25">
        <v>1</v>
      </c>
      <c r="AK25">
        <v>4</v>
      </c>
      <c r="AL25">
        <v>2</v>
      </c>
      <c r="AM25">
        <v>2</v>
      </c>
      <c r="AN25">
        <v>0</v>
      </c>
      <c r="AO25" s="13">
        <v>0</v>
      </c>
      <c r="AP25" s="13">
        <v>1</v>
      </c>
      <c r="AQ25" s="13">
        <v>2</v>
      </c>
      <c r="AR25" s="13">
        <v>2</v>
      </c>
      <c r="AS25" s="13">
        <v>1</v>
      </c>
      <c r="AT25" s="13">
        <v>1</v>
      </c>
      <c r="AU25" s="13">
        <v>1</v>
      </c>
      <c r="AV25" s="13"/>
      <c r="AW25" s="13"/>
      <c r="AX25" s="13"/>
      <c r="AY25" s="13"/>
      <c r="AZ25" s="13"/>
      <c r="BA25" s="13"/>
      <c r="BB25" s="13"/>
      <c r="BC25" s="24">
        <v>8</v>
      </c>
      <c r="BD25" s="13">
        <v>0</v>
      </c>
      <c r="BE25" s="13">
        <v>1</v>
      </c>
      <c r="BG25" s="21">
        <v>6</v>
      </c>
    </row>
    <row r="26" spans="1:59" ht="15" customHeight="1" x14ac:dyDescent="0.25">
      <c r="A26" t="s">
        <v>357</v>
      </c>
      <c r="B26" s="21">
        <v>85</v>
      </c>
      <c r="C26" s="21">
        <v>2</v>
      </c>
      <c r="D26" s="21">
        <v>21</v>
      </c>
      <c r="E26" s="21">
        <v>1</v>
      </c>
      <c r="F26" s="21">
        <v>2</v>
      </c>
      <c r="G26" s="21">
        <v>2</v>
      </c>
      <c r="H26" s="21">
        <v>2</v>
      </c>
      <c r="I26" s="21">
        <v>2</v>
      </c>
      <c r="J26">
        <v>2</v>
      </c>
      <c r="K26" s="21">
        <v>2</v>
      </c>
      <c r="L26" s="21">
        <v>2</v>
      </c>
      <c r="M26" s="21">
        <v>2</v>
      </c>
      <c r="N26" s="21">
        <v>2</v>
      </c>
      <c r="AA26">
        <v>7</v>
      </c>
      <c r="AB26">
        <v>2</v>
      </c>
      <c r="AC26">
        <v>2</v>
      </c>
      <c r="AD26">
        <v>1</v>
      </c>
      <c r="AE26">
        <v>3</v>
      </c>
      <c r="AF26" s="21">
        <v>0</v>
      </c>
      <c r="AG26">
        <v>1</v>
      </c>
      <c r="AI26">
        <v>1</v>
      </c>
      <c r="AJ26">
        <v>1</v>
      </c>
      <c r="AK26">
        <v>4</v>
      </c>
      <c r="AL26">
        <v>2</v>
      </c>
      <c r="AM26">
        <v>2</v>
      </c>
      <c r="AN26">
        <v>0</v>
      </c>
      <c r="AO26">
        <v>0</v>
      </c>
      <c r="AP26">
        <v>0</v>
      </c>
      <c r="AQ26">
        <v>0</v>
      </c>
      <c r="AR26">
        <v>0</v>
      </c>
      <c r="AS26">
        <v>0</v>
      </c>
      <c r="AT26">
        <v>0</v>
      </c>
      <c r="AU26">
        <v>0</v>
      </c>
      <c r="AV26">
        <v>0</v>
      </c>
      <c r="AW26">
        <v>2</v>
      </c>
      <c r="AX26">
        <v>0</v>
      </c>
      <c r="AY26">
        <v>0</v>
      </c>
      <c r="AZ26">
        <v>0</v>
      </c>
      <c r="BA26">
        <v>0</v>
      </c>
      <c r="BB26">
        <v>1</v>
      </c>
      <c r="BC26" s="21">
        <v>3</v>
      </c>
      <c r="BD26">
        <v>0</v>
      </c>
      <c r="BE26">
        <v>1</v>
      </c>
      <c r="BF26" t="s">
        <v>1026</v>
      </c>
      <c r="BG26" s="21">
        <v>6</v>
      </c>
    </row>
    <row r="27" spans="1:59" ht="15" customHeight="1" x14ac:dyDescent="0.25">
      <c r="A27" t="s">
        <v>959</v>
      </c>
      <c r="B27" s="21">
        <v>75</v>
      </c>
      <c r="C27" s="21">
        <v>2</v>
      </c>
      <c r="D27" s="21">
        <v>22</v>
      </c>
      <c r="E27" s="21">
        <v>1</v>
      </c>
      <c r="F27" s="21">
        <v>1</v>
      </c>
      <c r="G27" s="21">
        <v>2</v>
      </c>
      <c r="H27" s="21">
        <v>2</v>
      </c>
      <c r="I27" s="21">
        <v>2</v>
      </c>
      <c r="J27">
        <v>2</v>
      </c>
      <c r="K27" s="21">
        <v>2</v>
      </c>
      <c r="L27" s="21">
        <v>2</v>
      </c>
      <c r="M27" s="21">
        <v>2</v>
      </c>
      <c r="N27" s="21">
        <v>2</v>
      </c>
      <c r="O27">
        <v>10.7</v>
      </c>
      <c r="P27">
        <v>32.700000000000003</v>
      </c>
      <c r="Q27">
        <v>82.6</v>
      </c>
      <c r="R27">
        <v>13.7</v>
      </c>
      <c r="Y27">
        <v>1136</v>
      </c>
      <c r="AA27">
        <v>3</v>
      </c>
      <c r="AB27">
        <v>2</v>
      </c>
      <c r="AC27">
        <v>2</v>
      </c>
      <c r="AD27">
        <v>1</v>
      </c>
      <c r="AE27">
        <v>4</v>
      </c>
      <c r="AF27" s="21">
        <v>0</v>
      </c>
      <c r="AG27">
        <v>1</v>
      </c>
      <c r="AH27">
        <v>1</v>
      </c>
      <c r="AI27">
        <v>2</v>
      </c>
      <c r="AK27">
        <v>4</v>
      </c>
      <c r="AL27">
        <v>2</v>
      </c>
      <c r="AM27">
        <v>2</v>
      </c>
      <c r="AO27">
        <v>1</v>
      </c>
      <c r="AP27">
        <v>2</v>
      </c>
      <c r="AQ27">
        <v>1</v>
      </c>
      <c r="AR27">
        <v>2</v>
      </c>
      <c r="AS27">
        <v>1</v>
      </c>
      <c r="AT27">
        <v>1</v>
      </c>
      <c r="AU27">
        <v>1</v>
      </c>
      <c r="AV27">
        <v>0</v>
      </c>
      <c r="AW27">
        <v>0</v>
      </c>
      <c r="AX27">
        <v>0</v>
      </c>
      <c r="AY27">
        <v>0</v>
      </c>
      <c r="AZ27">
        <v>0</v>
      </c>
      <c r="BA27">
        <v>0</v>
      </c>
      <c r="BB27">
        <v>0</v>
      </c>
      <c r="BC27" s="21">
        <v>9</v>
      </c>
      <c r="BD27">
        <v>1</v>
      </c>
      <c r="BE27">
        <v>1</v>
      </c>
      <c r="BF27">
        <v>1</v>
      </c>
      <c r="BG27" s="21">
        <v>6</v>
      </c>
    </row>
    <row r="28" spans="1:59" ht="15" customHeight="1" x14ac:dyDescent="0.25">
      <c r="A28" t="s">
        <v>265</v>
      </c>
      <c r="B28" s="21">
        <v>26</v>
      </c>
      <c r="C28" s="21">
        <v>1</v>
      </c>
      <c r="D28" s="21">
        <v>20</v>
      </c>
      <c r="E28" s="21">
        <v>2</v>
      </c>
      <c r="F28" s="21">
        <v>2</v>
      </c>
      <c r="G28" s="21">
        <v>1</v>
      </c>
      <c r="H28" s="21">
        <v>1</v>
      </c>
      <c r="I28" s="21">
        <v>1</v>
      </c>
      <c r="J28">
        <v>2</v>
      </c>
      <c r="K28" s="21">
        <v>2</v>
      </c>
      <c r="L28" s="21">
        <v>2</v>
      </c>
      <c r="M28" s="21">
        <v>2</v>
      </c>
      <c r="N28" s="21">
        <v>2</v>
      </c>
      <c r="O28">
        <v>15.7</v>
      </c>
      <c r="P28">
        <v>45.2</v>
      </c>
      <c r="Q28">
        <v>11.76</v>
      </c>
      <c r="R28">
        <v>17.3</v>
      </c>
      <c r="S28">
        <v>4.5</v>
      </c>
      <c r="T28">
        <v>120</v>
      </c>
      <c r="U28">
        <v>66.2</v>
      </c>
      <c r="V28">
        <v>36</v>
      </c>
      <c r="W28">
        <v>89</v>
      </c>
      <c r="X28">
        <v>17.8</v>
      </c>
      <c r="Y28">
        <v>148</v>
      </c>
      <c r="AA28">
        <v>8</v>
      </c>
      <c r="AB28">
        <v>2</v>
      </c>
      <c r="AC28">
        <v>1</v>
      </c>
      <c r="AD28">
        <v>3</v>
      </c>
      <c r="AE28">
        <v>4</v>
      </c>
      <c r="AF28" s="21">
        <v>0</v>
      </c>
      <c r="AG28">
        <v>1</v>
      </c>
      <c r="AH28">
        <v>2</v>
      </c>
      <c r="AI28">
        <v>1</v>
      </c>
      <c r="AJ28">
        <v>1</v>
      </c>
      <c r="AK28">
        <v>1</v>
      </c>
      <c r="AL28">
        <v>2</v>
      </c>
      <c r="AM28">
        <v>2</v>
      </c>
      <c r="AN28">
        <v>90</v>
      </c>
      <c r="AO28">
        <v>0</v>
      </c>
      <c r="AP28">
        <v>0</v>
      </c>
      <c r="AQ28">
        <v>0</v>
      </c>
      <c r="AR28">
        <v>0</v>
      </c>
      <c r="AS28">
        <v>0</v>
      </c>
      <c r="AT28">
        <v>0</v>
      </c>
      <c r="AU28">
        <v>0</v>
      </c>
      <c r="AV28">
        <v>1</v>
      </c>
      <c r="AW28">
        <v>2</v>
      </c>
      <c r="AX28">
        <v>2</v>
      </c>
      <c r="AY28">
        <v>2</v>
      </c>
      <c r="AZ28">
        <v>1</v>
      </c>
      <c r="BA28">
        <v>1</v>
      </c>
      <c r="BB28">
        <v>1</v>
      </c>
      <c r="BC28" s="21">
        <v>10</v>
      </c>
      <c r="BD28">
        <v>1</v>
      </c>
      <c r="BE28">
        <v>0</v>
      </c>
      <c r="BF28" t="s">
        <v>971</v>
      </c>
      <c r="BG28" s="21">
        <v>1</v>
      </c>
    </row>
    <row r="29" spans="1:59" ht="15" customHeight="1" x14ac:dyDescent="0.25">
      <c r="A29" t="s">
        <v>469</v>
      </c>
      <c r="B29" s="21">
        <v>41</v>
      </c>
      <c r="C29" s="21">
        <v>1</v>
      </c>
      <c r="D29" s="21">
        <v>9</v>
      </c>
      <c r="E29" s="21">
        <v>1</v>
      </c>
      <c r="F29" s="21">
        <v>1</v>
      </c>
      <c r="G29" s="21">
        <v>2</v>
      </c>
      <c r="H29" s="21">
        <v>1</v>
      </c>
      <c r="I29" s="21">
        <v>2</v>
      </c>
      <c r="J29">
        <v>2</v>
      </c>
      <c r="K29" s="21">
        <v>2</v>
      </c>
      <c r="L29" s="21">
        <v>2</v>
      </c>
      <c r="M29" s="21">
        <v>2</v>
      </c>
      <c r="N29" s="21">
        <v>2</v>
      </c>
      <c r="O29">
        <v>15.4</v>
      </c>
      <c r="P29">
        <v>43.8</v>
      </c>
      <c r="Q29">
        <v>90.6</v>
      </c>
      <c r="R29">
        <v>32.46</v>
      </c>
      <c r="S29">
        <v>6.1</v>
      </c>
      <c r="T29">
        <v>229</v>
      </c>
      <c r="V29">
        <v>34</v>
      </c>
      <c r="W29">
        <v>553</v>
      </c>
      <c r="Y29">
        <v>213</v>
      </c>
      <c r="AA29">
        <v>8</v>
      </c>
      <c r="AB29">
        <v>2</v>
      </c>
      <c r="AC29">
        <v>1</v>
      </c>
      <c r="AD29">
        <v>2</v>
      </c>
      <c r="AE29">
        <v>5</v>
      </c>
      <c r="AF29" s="21">
        <v>0</v>
      </c>
      <c r="AG29">
        <v>1</v>
      </c>
      <c r="AH29">
        <v>1</v>
      </c>
      <c r="AI29">
        <v>1</v>
      </c>
      <c r="AJ29">
        <v>1</v>
      </c>
      <c r="AK29">
        <v>4</v>
      </c>
      <c r="AL29">
        <v>2</v>
      </c>
      <c r="AM29">
        <v>1</v>
      </c>
      <c r="AN29">
        <v>100</v>
      </c>
      <c r="AO29">
        <v>1</v>
      </c>
      <c r="AP29">
        <v>2</v>
      </c>
      <c r="AQ29">
        <v>2</v>
      </c>
      <c r="AR29">
        <v>2</v>
      </c>
      <c r="AS29">
        <v>1</v>
      </c>
      <c r="AT29">
        <v>1</v>
      </c>
      <c r="AU29">
        <v>1</v>
      </c>
      <c r="AV29">
        <v>0</v>
      </c>
      <c r="AW29">
        <v>0</v>
      </c>
      <c r="AX29">
        <v>0</v>
      </c>
      <c r="AY29">
        <v>0</v>
      </c>
      <c r="AZ29">
        <v>0</v>
      </c>
      <c r="BA29">
        <v>0</v>
      </c>
      <c r="BB29">
        <v>0</v>
      </c>
      <c r="BC29" s="21">
        <v>10</v>
      </c>
      <c r="BD29">
        <v>1</v>
      </c>
      <c r="BE29">
        <v>1</v>
      </c>
      <c r="BF29">
        <v>0</v>
      </c>
      <c r="BG29" s="21">
        <v>0</v>
      </c>
    </row>
    <row r="30" spans="1:59" ht="15" customHeight="1" x14ac:dyDescent="0.25">
      <c r="A30" t="s">
        <v>114</v>
      </c>
      <c r="B30" s="21">
        <v>60</v>
      </c>
      <c r="C30" s="21">
        <v>1</v>
      </c>
      <c r="D30" s="21">
        <v>18</v>
      </c>
      <c r="E30" s="21">
        <v>2</v>
      </c>
      <c r="F30" s="21">
        <v>2</v>
      </c>
      <c r="G30" s="21">
        <v>2</v>
      </c>
      <c r="H30" s="21">
        <v>2</v>
      </c>
      <c r="I30" s="21">
        <v>2</v>
      </c>
      <c r="J30">
        <v>2</v>
      </c>
      <c r="K30" s="21">
        <v>1</v>
      </c>
      <c r="L30" s="21">
        <v>2</v>
      </c>
      <c r="M30" s="21">
        <v>2</v>
      </c>
      <c r="N30" s="21">
        <v>2</v>
      </c>
      <c r="O30">
        <v>14</v>
      </c>
      <c r="P30">
        <v>32</v>
      </c>
      <c r="Q30">
        <v>95</v>
      </c>
      <c r="R30">
        <v>22</v>
      </c>
      <c r="S30">
        <v>5.5</v>
      </c>
      <c r="Y30">
        <v>171</v>
      </c>
      <c r="AA30">
        <v>3</v>
      </c>
      <c r="AB30">
        <v>2</v>
      </c>
      <c r="AC30">
        <v>2</v>
      </c>
      <c r="AD30">
        <v>1</v>
      </c>
      <c r="AE30">
        <v>3</v>
      </c>
      <c r="AF30" s="21">
        <v>0</v>
      </c>
      <c r="AG30">
        <v>1</v>
      </c>
      <c r="AH30">
        <v>2</v>
      </c>
      <c r="AI30">
        <v>1</v>
      </c>
      <c r="AJ30">
        <v>1</v>
      </c>
      <c r="AK30">
        <v>3</v>
      </c>
      <c r="AN30">
        <v>30</v>
      </c>
      <c r="AO30">
        <v>1</v>
      </c>
      <c r="AP30">
        <v>2</v>
      </c>
      <c r="AQ30">
        <v>2</v>
      </c>
      <c r="AR30">
        <v>0</v>
      </c>
      <c r="AS30">
        <v>1</v>
      </c>
      <c r="AT30">
        <v>1</v>
      </c>
      <c r="AU30">
        <v>1</v>
      </c>
      <c r="AV30">
        <v>0</v>
      </c>
      <c r="AW30">
        <v>0</v>
      </c>
      <c r="AX30">
        <v>0</v>
      </c>
      <c r="AY30">
        <v>0</v>
      </c>
      <c r="AZ30">
        <v>0</v>
      </c>
      <c r="BA30">
        <v>0</v>
      </c>
      <c r="BB30">
        <v>0</v>
      </c>
      <c r="BC30" s="21">
        <v>8</v>
      </c>
      <c r="BD30">
        <v>1</v>
      </c>
      <c r="BE30">
        <v>1</v>
      </c>
      <c r="BF30">
        <v>0</v>
      </c>
      <c r="BG30" s="21">
        <v>4</v>
      </c>
    </row>
    <row r="31" spans="1:59" ht="15" customHeight="1" x14ac:dyDescent="0.25">
      <c r="A31" t="s">
        <v>551</v>
      </c>
      <c r="B31" s="21">
        <v>45</v>
      </c>
      <c r="C31" s="21">
        <v>1</v>
      </c>
      <c r="D31" s="21">
        <v>12</v>
      </c>
      <c r="E31" s="21">
        <v>2</v>
      </c>
      <c r="F31" s="21">
        <v>2</v>
      </c>
      <c r="G31" s="21">
        <v>1</v>
      </c>
      <c r="H31" s="21">
        <v>1</v>
      </c>
      <c r="I31" s="21">
        <v>2</v>
      </c>
      <c r="J31">
        <v>2</v>
      </c>
      <c r="K31" s="21">
        <v>2</v>
      </c>
      <c r="L31" s="21">
        <v>2</v>
      </c>
      <c r="M31" s="21">
        <v>2</v>
      </c>
      <c r="N31" s="21">
        <v>2</v>
      </c>
      <c r="O31">
        <v>16</v>
      </c>
      <c r="P31">
        <v>48.3</v>
      </c>
      <c r="Q31">
        <v>99.6</v>
      </c>
      <c r="R31">
        <v>16.739999999999998</v>
      </c>
      <c r="S31">
        <v>4.5</v>
      </c>
      <c r="T31">
        <v>125</v>
      </c>
      <c r="U31">
        <v>66.8</v>
      </c>
      <c r="V31">
        <v>48</v>
      </c>
      <c r="W31">
        <v>51</v>
      </c>
      <c r="X31">
        <v>10.199999999999999</v>
      </c>
      <c r="Y31">
        <v>151</v>
      </c>
      <c r="AA31">
        <v>8</v>
      </c>
      <c r="AB31">
        <v>2</v>
      </c>
      <c r="AC31">
        <v>2</v>
      </c>
      <c r="AD31">
        <v>2</v>
      </c>
      <c r="AE31">
        <v>2</v>
      </c>
      <c r="AF31" s="21">
        <v>0</v>
      </c>
      <c r="AG31">
        <v>1</v>
      </c>
      <c r="AH31">
        <v>1</v>
      </c>
      <c r="AI31">
        <v>1</v>
      </c>
      <c r="AJ31">
        <v>1</v>
      </c>
      <c r="AL31">
        <v>1</v>
      </c>
      <c r="AM31">
        <v>1</v>
      </c>
      <c r="AN31">
        <v>45</v>
      </c>
      <c r="AO31">
        <v>0</v>
      </c>
      <c r="AP31">
        <v>0</v>
      </c>
      <c r="AQ31">
        <v>0</v>
      </c>
      <c r="AR31">
        <v>0</v>
      </c>
      <c r="AS31">
        <v>1</v>
      </c>
      <c r="AT31">
        <v>1</v>
      </c>
      <c r="AU31">
        <v>1</v>
      </c>
      <c r="AV31">
        <v>0</v>
      </c>
      <c r="AW31">
        <v>0</v>
      </c>
      <c r="AX31">
        <v>0</v>
      </c>
      <c r="AY31">
        <v>0</v>
      </c>
      <c r="AZ31">
        <v>0</v>
      </c>
      <c r="BA31">
        <v>0</v>
      </c>
      <c r="BB31">
        <v>0</v>
      </c>
      <c r="BC31" s="21">
        <v>3</v>
      </c>
      <c r="BD31">
        <v>1</v>
      </c>
      <c r="BE31">
        <v>0</v>
      </c>
      <c r="BF31">
        <v>0</v>
      </c>
      <c r="BG31" s="21">
        <v>4</v>
      </c>
    </row>
    <row r="32" spans="1:59" ht="15" customHeight="1" x14ac:dyDescent="0.25">
      <c r="A32" t="s">
        <v>499</v>
      </c>
      <c r="B32" s="21">
        <v>57</v>
      </c>
      <c r="C32" s="21">
        <v>2</v>
      </c>
      <c r="D32" s="21">
        <v>21</v>
      </c>
      <c r="E32" s="21">
        <v>2</v>
      </c>
      <c r="F32" s="21">
        <v>2</v>
      </c>
      <c r="G32" s="21">
        <v>2</v>
      </c>
      <c r="H32" s="21">
        <v>2</v>
      </c>
      <c r="I32" s="21">
        <v>2</v>
      </c>
      <c r="J32">
        <v>2</v>
      </c>
      <c r="K32" s="21">
        <v>1</v>
      </c>
      <c r="L32" s="21">
        <v>2</v>
      </c>
      <c r="M32" s="21">
        <v>2</v>
      </c>
      <c r="N32" s="21">
        <v>2</v>
      </c>
      <c r="O32">
        <v>14.4</v>
      </c>
      <c r="P32">
        <v>43</v>
      </c>
      <c r="Q32">
        <v>97.3</v>
      </c>
      <c r="AA32">
        <v>3</v>
      </c>
      <c r="AB32">
        <v>2</v>
      </c>
      <c r="AC32">
        <v>1</v>
      </c>
      <c r="AD32">
        <v>3</v>
      </c>
      <c r="AE32">
        <v>4</v>
      </c>
      <c r="AF32" s="21">
        <v>0</v>
      </c>
      <c r="AG32">
        <v>1</v>
      </c>
      <c r="AH32">
        <v>2</v>
      </c>
      <c r="AI32">
        <v>2</v>
      </c>
      <c r="AL32">
        <v>2</v>
      </c>
      <c r="AM32">
        <v>2</v>
      </c>
      <c r="AN32">
        <v>0</v>
      </c>
      <c r="AO32">
        <v>0</v>
      </c>
      <c r="AP32">
        <v>0</v>
      </c>
      <c r="AQ32">
        <v>0</v>
      </c>
      <c r="AR32">
        <v>0</v>
      </c>
      <c r="AS32">
        <v>0</v>
      </c>
      <c r="AT32">
        <v>0</v>
      </c>
      <c r="AU32">
        <v>0</v>
      </c>
      <c r="AV32">
        <v>1</v>
      </c>
      <c r="AW32">
        <v>2</v>
      </c>
      <c r="AX32">
        <v>2</v>
      </c>
      <c r="AY32">
        <v>1</v>
      </c>
      <c r="AZ32">
        <v>1</v>
      </c>
      <c r="BA32">
        <v>1</v>
      </c>
      <c r="BB32">
        <v>1</v>
      </c>
      <c r="BC32" s="21">
        <v>9</v>
      </c>
      <c r="BD32">
        <v>0</v>
      </c>
      <c r="BE32">
        <v>1</v>
      </c>
      <c r="BF32" t="s">
        <v>1109</v>
      </c>
      <c r="BG32" s="21">
        <v>6</v>
      </c>
    </row>
    <row r="33" spans="1:59" s="8" customFormat="1" ht="15" customHeight="1" x14ac:dyDescent="0.25">
      <c r="A33" s="8" t="s">
        <v>941</v>
      </c>
      <c r="B33" s="21">
        <v>39</v>
      </c>
      <c r="C33" s="21">
        <v>2</v>
      </c>
      <c r="D33" s="21">
        <v>22</v>
      </c>
      <c r="E33" s="21">
        <v>2</v>
      </c>
      <c r="F33" s="21">
        <v>2</v>
      </c>
      <c r="G33" s="21">
        <v>2</v>
      </c>
      <c r="H33" s="21">
        <v>2</v>
      </c>
      <c r="I33" s="21">
        <v>2</v>
      </c>
      <c r="J33" s="8">
        <v>2</v>
      </c>
      <c r="K33" s="21">
        <v>2</v>
      </c>
      <c r="L33" s="21">
        <v>2</v>
      </c>
      <c r="M33" s="21">
        <v>2</v>
      </c>
      <c r="N33" s="21">
        <v>2</v>
      </c>
      <c r="O33" s="8">
        <v>12</v>
      </c>
      <c r="R33" s="8">
        <v>4.6500000000000004</v>
      </c>
      <c r="S33" s="8">
        <v>5.9</v>
      </c>
      <c r="T33" s="8">
        <v>105</v>
      </c>
      <c r="U33" s="8">
        <v>126.2</v>
      </c>
      <c r="V33" s="8">
        <v>47</v>
      </c>
      <c r="W33" s="8">
        <v>109</v>
      </c>
      <c r="X33" s="8">
        <v>4.8</v>
      </c>
      <c r="AA33" s="8">
        <v>5</v>
      </c>
      <c r="AB33" s="8">
        <v>2</v>
      </c>
      <c r="AC33" s="8">
        <v>2</v>
      </c>
      <c r="AD33" s="8">
        <v>1</v>
      </c>
      <c r="AE33" s="8">
        <v>4</v>
      </c>
      <c r="AF33" s="21">
        <v>0</v>
      </c>
      <c r="AG33" s="8">
        <v>1</v>
      </c>
      <c r="AH33" s="8">
        <v>2</v>
      </c>
      <c r="AI33" s="8">
        <v>2</v>
      </c>
      <c r="AL33" s="8">
        <v>2</v>
      </c>
      <c r="AM33" s="8">
        <v>1</v>
      </c>
      <c r="AN33" s="8">
        <v>60</v>
      </c>
      <c r="AV33" s="8">
        <v>0</v>
      </c>
      <c r="AW33" s="8">
        <v>0</v>
      </c>
      <c r="AX33" s="8">
        <v>0</v>
      </c>
      <c r="AY33" s="8">
        <v>0</v>
      </c>
      <c r="AZ33" s="8">
        <v>1</v>
      </c>
      <c r="BA33" s="8">
        <v>1</v>
      </c>
      <c r="BB33" s="8">
        <v>1</v>
      </c>
      <c r="BC33" s="21">
        <v>3</v>
      </c>
      <c r="BD33" s="8">
        <v>0</v>
      </c>
      <c r="BE33" s="8">
        <v>1</v>
      </c>
      <c r="BF33" s="8" t="s">
        <v>1145</v>
      </c>
      <c r="BG33" s="21">
        <v>3</v>
      </c>
    </row>
    <row r="34" spans="1:59" ht="15" customHeight="1" x14ac:dyDescent="0.25">
      <c r="A34" t="s">
        <v>111</v>
      </c>
      <c r="B34" s="21">
        <v>48</v>
      </c>
      <c r="C34" s="21">
        <v>1</v>
      </c>
      <c r="D34" s="21">
        <v>20</v>
      </c>
      <c r="K34" s="21">
        <v>1</v>
      </c>
      <c r="L34" s="21">
        <v>1</v>
      </c>
      <c r="M34" s="21">
        <v>1</v>
      </c>
      <c r="N34" s="21">
        <v>1</v>
      </c>
      <c r="O34">
        <v>11</v>
      </c>
      <c r="Q34">
        <v>77</v>
      </c>
      <c r="R34">
        <v>21</v>
      </c>
      <c r="Y34">
        <v>410</v>
      </c>
      <c r="AA34">
        <v>3</v>
      </c>
      <c r="AB34">
        <v>2</v>
      </c>
      <c r="AC34">
        <v>2</v>
      </c>
      <c r="AD34">
        <v>2</v>
      </c>
      <c r="AE34">
        <v>3</v>
      </c>
      <c r="AF34" s="21">
        <v>0</v>
      </c>
      <c r="AG34">
        <v>1</v>
      </c>
      <c r="AI34">
        <v>2</v>
      </c>
      <c r="AK34">
        <v>4</v>
      </c>
      <c r="AN34">
        <v>0</v>
      </c>
      <c r="AO34">
        <v>0</v>
      </c>
      <c r="AP34">
        <v>0</v>
      </c>
      <c r="AQ34">
        <v>0</v>
      </c>
      <c r="AR34">
        <v>0</v>
      </c>
      <c r="AS34">
        <v>0</v>
      </c>
      <c r="AT34">
        <v>0</v>
      </c>
      <c r="AU34">
        <v>0</v>
      </c>
      <c r="AV34">
        <v>1</v>
      </c>
      <c r="AW34">
        <v>2</v>
      </c>
      <c r="AX34">
        <v>2</v>
      </c>
      <c r="AY34">
        <v>0</v>
      </c>
      <c r="AZ34">
        <v>0</v>
      </c>
      <c r="BA34">
        <v>0</v>
      </c>
      <c r="BB34">
        <v>1</v>
      </c>
      <c r="BC34" s="21">
        <v>6</v>
      </c>
      <c r="BD34">
        <v>1</v>
      </c>
      <c r="BE34">
        <v>1</v>
      </c>
      <c r="BF34">
        <v>0</v>
      </c>
      <c r="BG34" s="21">
        <v>6</v>
      </c>
    </row>
    <row r="35" spans="1:59" ht="15" customHeight="1" x14ac:dyDescent="0.25">
      <c r="A35" t="s">
        <v>509</v>
      </c>
      <c r="B35" s="21">
        <v>63</v>
      </c>
      <c r="C35" s="21">
        <v>1</v>
      </c>
      <c r="D35" s="21">
        <v>14</v>
      </c>
      <c r="E35" s="21">
        <v>1</v>
      </c>
      <c r="F35" s="21">
        <v>2</v>
      </c>
      <c r="G35" s="21">
        <v>2</v>
      </c>
      <c r="H35" s="21">
        <v>2</v>
      </c>
      <c r="I35" s="21">
        <v>2</v>
      </c>
      <c r="J35">
        <v>2</v>
      </c>
      <c r="K35" s="21">
        <v>2</v>
      </c>
      <c r="L35" s="21">
        <v>2</v>
      </c>
      <c r="M35" s="21">
        <v>2</v>
      </c>
      <c r="N35" s="21">
        <v>2</v>
      </c>
      <c r="O35">
        <v>13.3</v>
      </c>
      <c r="R35">
        <v>14.94</v>
      </c>
      <c r="S35">
        <v>5.8</v>
      </c>
      <c r="T35">
        <v>212</v>
      </c>
      <c r="U35">
        <v>123.4</v>
      </c>
      <c r="V35">
        <v>66</v>
      </c>
      <c r="W35">
        <v>113</v>
      </c>
      <c r="X35">
        <v>22.6</v>
      </c>
      <c r="AA35">
        <v>8</v>
      </c>
      <c r="AB35">
        <v>2</v>
      </c>
      <c r="AC35">
        <v>1</v>
      </c>
      <c r="AD35">
        <v>4</v>
      </c>
      <c r="AE35">
        <v>5</v>
      </c>
      <c r="AF35" s="21">
        <v>0</v>
      </c>
      <c r="AG35">
        <v>1</v>
      </c>
      <c r="AH35">
        <v>1</v>
      </c>
      <c r="AI35">
        <v>2</v>
      </c>
      <c r="AK35">
        <v>4</v>
      </c>
      <c r="AL35">
        <v>2</v>
      </c>
      <c r="AM35">
        <v>2</v>
      </c>
      <c r="AN35">
        <v>95</v>
      </c>
      <c r="AV35">
        <v>1</v>
      </c>
      <c r="AW35">
        <v>2</v>
      </c>
      <c r="AX35">
        <v>1</v>
      </c>
      <c r="AY35">
        <v>2</v>
      </c>
      <c r="AZ35">
        <v>1</v>
      </c>
      <c r="BA35">
        <v>1</v>
      </c>
      <c r="BB35">
        <v>1</v>
      </c>
      <c r="BC35" s="21">
        <v>9</v>
      </c>
      <c r="BD35">
        <v>1</v>
      </c>
      <c r="BE35">
        <v>1</v>
      </c>
      <c r="BF35">
        <v>1</v>
      </c>
      <c r="BG35" s="21">
        <v>1</v>
      </c>
    </row>
    <row r="36" spans="1:59" ht="15" customHeight="1" x14ac:dyDescent="0.25">
      <c r="A36" t="s">
        <v>301</v>
      </c>
      <c r="B36" s="21">
        <v>65</v>
      </c>
      <c r="C36" s="21">
        <v>2</v>
      </c>
      <c r="D36" s="21">
        <v>10</v>
      </c>
      <c r="E36" s="21">
        <v>2</v>
      </c>
      <c r="F36" s="21">
        <v>1</v>
      </c>
      <c r="G36" s="21">
        <v>2</v>
      </c>
      <c r="H36" s="21">
        <v>2</v>
      </c>
      <c r="I36" s="21">
        <v>2</v>
      </c>
      <c r="J36">
        <v>2</v>
      </c>
      <c r="K36" s="21">
        <v>2</v>
      </c>
      <c r="L36" s="21">
        <v>2</v>
      </c>
      <c r="M36" s="21">
        <v>2</v>
      </c>
      <c r="N36" s="21">
        <v>2</v>
      </c>
      <c r="O36">
        <v>13</v>
      </c>
      <c r="P36">
        <v>39.700000000000003</v>
      </c>
      <c r="R36">
        <v>6.51</v>
      </c>
      <c r="S36">
        <v>14.3</v>
      </c>
      <c r="T36">
        <v>198</v>
      </c>
      <c r="U36">
        <v>109.2</v>
      </c>
      <c r="V36">
        <v>29</v>
      </c>
      <c r="W36">
        <v>299</v>
      </c>
      <c r="Y36">
        <v>413</v>
      </c>
      <c r="AA36">
        <v>7</v>
      </c>
      <c r="AB36">
        <v>2</v>
      </c>
      <c r="AC36">
        <v>1</v>
      </c>
      <c r="AD36">
        <v>2</v>
      </c>
      <c r="AE36">
        <v>4</v>
      </c>
      <c r="AF36" s="21">
        <v>0</v>
      </c>
      <c r="AG36">
        <v>1</v>
      </c>
      <c r="AH36">
        <v>1</v>
      </c>
      <c r="AI36">
        <v>2</v>
      </c>
      <c r="AK36">
        <v>4</v>
      </c>
      <c r="AL36">
        <v>2</v>
      </c>
      <c r="AM36">
        <v>2</v>
      </c>
      <c r="AN36">
        <v>100</v>
      </c>
      <c r="AO36">
        <v>1</v>
      </c>
      <c r="AP36">
        <v>2</v>
      </c>
      <c r="AQ36">
        <v>2</v>
      </c>
      <c r="AR36">
        <v>2</v>
      </c>
      <c r="AS36">
        <v>1</v>
      </c>
      <c r="AT36">
        <v>1</v>
      </c>
      <c r="AU36">
        <v>1</v>
      </c>
      <c r="BC36" s="21">
        <v>10</v>
      </c>
      <c r="BD36">
        <v>1</v>
      </c>
      <c r="BE36">
        <v>1</v>
      </c>
      <c r="BG36" s="21">
        <v>0</v>
      </c>
    </row>
    <row r="37" spans="1:59" ht="15" customHeight="1" x14ac:dyDescent="0.25">
      <c r="A37" t="s">
        <v>419</v>
      </c>
      <c r="B37" s="21">
        <v>76</v>
      </c>
      <c r="C37" s="21">
        <v>1</v>
      </c>
      <c r="D37" s="21">
        <v>13</v>
      </c>
      <c r="E37" s="21">
        <v>1</v>
      </c>
      <c r="F37" s="21">
        <v>2</v>
      </c>
      <c r="G37" s="21">
        <v>2</v>
      </c>
      <c r="H37" s="21">
        <v>1</v>
      </c>
      <c r="I37" s="21">
        <v>2</v>
      </c>
      <c r="J37">
        <v>2</v>
      </c>
      <c r="K37" s="21">
        <v>2</v>
      </c>
      <c r="L37" s="21">
        <v>2</v>
      </c>
      <c r="M37" s="21">
        <v>2</v>
      </c>
      <c r="N37" s="21">
        <v>2</v>
      </c>
      <c r="O37">
        <v>13.1</v>
      </c>
      <c r="S37">
        <v>5.7</v>
      </c>
      <c r="T37">
        <v>175</v>
      </c>
      <c r="U37">
        <v>112.4</v>
      </c>
      <c r="V37">
        <v>36</v>
      </c>
      <c r="W37">
        <v>133</v>
      </c>
      <c r="X37">
        <v>26.6</v>
      </c>
      <c r="Y37">
        <v>332</v>
      </c>
      <c r="Z37">
        <v>61</v>
      </c>
      <c r="AA37">
        <v>9</v>
      </c>
      <c r="AB37">
        <v>3</v>
      </c>
      <c r="AC37">
        <v>1</v>
      </c>
      <c r="AD37">
        <v>3</v>
      </c>
      <c r="AE37">
        <v>5</v>
      </c>
      <c r="AF37" s="21">
        <v>1</v>
      </c>
      <c r="AG37">
        <v>1</v>
      </c>
      <c r="AH37">
        <v>2</v>
      </c>
      <c r="AI37">
        <v>1</v>
      </c>
      <c r="AJ37">
        <v>1</v>
      </c>
      <c r="AL37">
        <v>2</v>
      </c>
      <c r="AM37">
        <v>2</v>
      </c>
      <c r="AO37">
        <v>0</v>
      </c>
      <c r="AP37">
        <v>1</v>
      </c>
      <c r="AQ37">
        <v>1</v>
      </c>
      <c r="AR37">
        <v>2</v>
      </c>
      <c r="AS37">
        <v>1</v>
      </c>
      <c r="AT37">
        <v>1</v>
      </c>
      <c r="AU37">
        <v>1</v>
      </c>
      <c r="AV37">
        <v>0</v>
      </c>
      <c r="AW37">
        <v>0</v>
      </c>
      <c r="AX37">
        <v>0</v>
      </c>
      <c r="AY37">
        <v>0</v>
      </c>
      <c r="AZ37">
        <v>0</v>
      </c>
      <c r="BA37">
        <v>0</v>
      </c>
      <c r="BB37">
        <v>0</v>
      </c>
      <c r="BC37" s="21">
        <v>7</v>
      </c>
      <c r="BD37">
        <v>1</v>
      </c>
      <c r="BE37">
        <v>0</v>
      </c>
      <c r="BF37" t="s">
        <v>1084</v>
      </c>
      <c r="BG37" s="21">
        <v>6</v>
      </c>
    </row>
    <row r="38" spans="1:59" ht="15" customHeight="1" x14ac:dyDescent="0.25">
      <c r="A38" t="s">
        <v>445</v>
      </c>
      <c r="B38" s="21">
        <v>68</v>
      </c>
      <c r="C38" s="21">
        <v>2</v>
      </c>
      <c r="D38" s="21">
        <v>0</v>
      </c>
      <c r="E38" s="21">
        <v>1</v>
      </c>
      <c r="F38" s="21">
        <v>2</v>
      </c>
      <c r="G38" s="21">
        <v>2</v>
      </c>
      <c r="H38" s="21">
        <v>2</v>
      </c>
      <c r="I38" s="21">
        <v>2</v>
      </c>
      <c r="J38">
        <v>2</v>
      </c>
      <c r="K38" s="21">
        <v>2</v>
      </c>
      <c r="L38" s="21">
        <v>2</v>
      </c>
      <c r="M38" s="21">
        <v>2</v>
      </c>
      <c r="N38" s="21">
        <v>2</v>
      </c>
      <c r="O38">
        <v>10.8</v>
      </c>
      <c r="P38">
        <v>33.9</v>
      </c>
      <c r="Q38">
        <v>13.6</v>
      </c>
      <c r="R38">
        <v>6.18</v>
      </c>
      <c r="S38">
        <v>6.9</v>
      </c>
      <c r="T38">
        <v>239</v>
      </c>
      <c r="U38">
        <v>156.4</v>
      </c>
      <c r="V38">
        <v>48</v>
      </c>
      <c r="W38">
        <v>173</v>
      </c>
      <c r="X38">
        <v>34.6</v>
      </c>
      <c r="Y38">
        <v>1560</v>
      </c>
      <c r="AA38">
        <v>10</v>
      </c>
      <c r="AB38">
        <v>3</v>
      </c>
      <c r="AC38">
        <v>1</v>
      </c>
      <c r="AD38">
        <v>3</v>
      </c>
      <c r="AE38">
        <v>5</v>
      </c>
      <c r="AF38" s="21">
        <v>1</v>
      </c>
      <c r="AG38">
        <v>1</v>
      </c>
      <c r="AH38">
        <v>1</v>
      </c>
      <c r="AI38">
        <v>2</v>
      </c>
      <c r="AL38">
        <v>2</v>
      </c>
      <c r="AM38">
        <v>2</v>
      </c>
      <c r="AN38">
        <v>70</v>
      </c>
      <c r="AO38">
        <v>1</v>
      </c>
      <c r="AP38">
        <v>2</v>
      </c>
      <c r="AQ38">
        <v>2</v>
      </c>
      <c r="AR38">
        <v>0</v>
      </c>
      <c r="AS38">
        <v>1</v>
      </c>
      <c r="AT38">
        <v>1</v>
      </c>
      <c r="AU38">
        <v>1</v>
      </c>
      <c r="AV38">
        <v>0</v>
      </c>
      <c r="AW38">
        <v>0</v>
      </c>
      <c r="AX38">
        <v>0</v>
      </c>
      <c r="AY38">
        <v>0</v>
      </c>
      <c r="AZ38">
        <v>0</v>
      </c>
      <c r="BA38">
        <v>0</v>
      </c>
      <c r="BB38">
        <v>0</v>
      </c>
      <c r="BC38" s="21">
        <v>8</v>
      </c>
      <c r="BD38">
        <v>1</v>
      </c>
      <c r="BE38">
        <v>1</v>
      </c>
      <c r="BF38">
        <v>0</v>
      </c>
      <c r="BG38" s="21">
        <v>2</v>
      </c>
    </row>
    <row r="39" spans="1:59" ht="15" customHeight="1" x14ac:dyDescent="0.25">
      <c r="A39" t="s">
        <v>477</v>
      </c>
      <c r="B39" s="21">
        <v>54</v>
      </c>
      <c r="C39" s="21">
        <v>1</v>
      </c>
      <c r="D39" s="21">
        <v>3</v>
      </c>
      <c r="E39" s="21">
        <v>1</v>
      </c>
      <c r="F39" s="21">
        <v>2</v>
      </c>
      <c r="G39" s="21">
        <v>1</v>
      </c>
      <c r="H39" s="21">
        <v>1</v>
      </c>
      <c r="I39" s="21">
        <v>1</v>
      </c>
      <c r="J39">
        <v>2</v>
      </c>
      <c r="K39" s="21">
        <v>2</v>
      </c>
      <c r="L39" s="21">
        <v>2</v>
      </c>
      <c r="M39" s="21">
        <v>2</v>
      </c>
      <c r="N39" s="21">
        <v>2</v>
      </c>
      <c r="O39">
        <v>16</v>
      </c>
      <c r="P39">
        <v>47.2</v>
      </c>
      <c r="Q39">
        <v>96.7</v>
      </c>
      <c r="R39">
        <v>16.260000000000002</v>
      </c>
      <c r="S39">
        <v>5.4</v>
      </c>
      <c r="Y39">
        <v>178</v>
      </c>
      <c r="AA39">
        <v>8</v>
      </c>
      <c r="AB39">
        <v>3</v>
      </c>
      <c r="AC39">
        <v>1</v>
      </c>
      <c r="AD39">
        <v>3</v>
      </c>
      <c r="AE39">
        <v>5</v>
      </c>
      <c r="AF39" s="21">
        <v>1</v>
      </c>
      <c r="AG39">
        <v>1</v>
      </c>
      <c r="AH39">
        <v>1</v>
      </c>
      <c r="AI39">
        <v>2</v>
      </c>
      <c r="AL39">
        <v>2</v>
      </c>
      <c r="AM39">
        <v>2</v>
      </c>
      <c r="AN39">
        <v>100</v>
      </c>
      <c r="AO39">
        <v>0</v>
      </c>
      <c r="AP39">
        <v>0</v>
      </c>
      <c r="AQ39">
        <v>0</v>
      </c>
      <c r="AR39">
        <v>0</v>
      </c>
      <c r="AS39">
        <v>0</v>
      </c>
      <c r="AT39">
        <v>0</v>
      </c>
      <c r="AU39">
        <v>0</v>
      </c>
      <c r="AV39">
        <v>0</v>
      </c>
      <c r="AW39">
        <v>2</v>
      </c>
      <c r="AX39">
        <v>2</v>
      </c>
      <c r="AY39">
        <v>2</v>
      </c>
      <c r="AZ39">
        <v>1</v>
      </c>
      <c r="BA39">
        <v>1</v>
      </c>
      <c r="BB39">
        <v>1</v>
      </c>
      <c r="BC39" s="21">
        <v>9</v>
      </c>
      <c r="BD39">
        <v>1</v>
      </c>
      <c r="BE39">
        <v>1</v>
      </c>
      <c r="BF39">
        <v>0</v>
      </c>
      <c r="BG39" s="21">
        <v>0</v>
      </c>
    </row>
    <row r="40" spans="1:59" ht="15" customHeight="1" x14ac:dyDescent="0.25">
      <c r="A40" t="s">
        <v>415</v>
      </c>
      <c r="B40" s="21">
        <v>75</v>
      </c>
      <c r="C40" s="21">
        <v>2</v>
      </c>
      <c r="D40" s="21">
        <v>2</v>
      </c>
      <c r="E40" s="21">
        <v>1</v>
      </c>
      <c r="F40" s="21">
        <v>1</v>
      </c>
      <c r="G40" s="21">
        <v>2</v>
      </c>
      <c r="H40" s="21">
        <v>1</v>
      </c>
      <c r="I40" s="21">
        <v>2</v>
      </c>
      <c r="J40">
        <v>2</v>
      </c>
      <c r="K40" s="21">
        <v>2</v>
      </c>
      <c r="L40" s="21">
        <v>2</v>
      </c>
      <c r="M40" s="21">
        <v>2</v>
      </c>
      <c r="N40" s="21">
        <v>2</v>
      </c>
      <c r="O40">
        <v>9.2200000000000006</v>
      </c>
      <c r="P40">
        <v>33.5</v>
      </c>
      <c r="Q40">
        <v>82.2</v>
      </c>
      <c r="R40">
        <v>17</v>
      </c>
      <c r="S40">
        <v>6.1</v>
      </c>
      <c r="T40">
        <v>132</v>
      </c>
      <c r="U40">
        <v>78</v>
      </c>
      <c r="V40">
        <v>42</v>
      </c>
      <c r="W40">
        <v>58</v>
      </c>
      <c r="X40">
        <v>11.6</v>
      </c>
      <c r="Y40">
        <v>576</v>
      </c>
      <c r="AA40">
        <v>10</v>
      </c>
      <c r="AB40">
        <v>3</v>
      </c>
      <c r="AC40">
        <v>1</v>
      </c>
      <c r="AD40">
        <v>3</v>
      </c>
      <c r="AE40">
        <v>5</v>
      </c>
      <c r="AF40" s="21">
        <v>1</v>
      </c>
      <c r="AG40">
        <v>1</v>
      </c>
      <c r="AH40">
        <v>1</v>
      </c>
      <c r="AI40">
        <v>2</v>
      </c>
      <c r="AK40">
        <v>4</v>
      </c>
      <c r="AL40">
        <v>2</v>
      </c>
      <c r="AM40">
        <v>2</v>
      </c>
      <c r="AN40">
        <v>100</v>
      </c>
      <c r="AO40">
        <v>1</v>
      </c>
      <c r="AP40">
        <v>2</v>
      </c>
      <c r="AQ40">
        <v>2</v>
      </c>
      <c r="AR40">
        <v>2</v>
      </c>
      <c r="AS40">
        <v>1</v>
      </c>
      <c r="AT40">
        <v>1</v>
      </c>
      <c r="AU40">
        <v>1</v>
      </c>
      <c r="AV40">
        <v>0</v>
      </c>
      <c r="AW40">
        <v>0</v>
      </c>
      <c r="AX40">
        <v>0</v>
      </c>
      <c r="AY40">
        <v>0</v>
      </c>
      <c r="AZ40">
        <v>0</v>
      </c>
      <c r="BA40">
        <v>0</v>
      </c>
      <c r="BB40">
        <v>0</v>
      </c>
      <c r="BC40" s="21">
        <v>10</v>
      </c>
      <c r="BD40">
        <v>1</v>
      </c>
      <c r="BE40">
        <v>0</v>
      </c>
      <c r="BF40" t="s">
        <v>1051</v>
      </c>
      <c r="BG40" s="21">
        <v>0</v>
      </c>
    </row>
    <row r="41" spans="1:59" ht="15" customHeight="1" x14ac:dyDescent="0.25">
      <c r="A41" t="s">
        <v>468</v>
      </c>
      <c r="B41" s="21">
        <v>75</v>
      </c>
      <c r="C41" s="21">
        <v>1</v>
      </c>
      <c r="D41" s="21">
        <v>24</v>
      </c>
      <c r="E41" s="21">
        <v>1</v>
      </c>
      <c r="F41" s="21">
        <v>1</v>
      </c>
      <c r="G41" s="21">
        <v>2</v>
      </c>
      <c r="H41" s="21">
        <v>2</v>
      </c>
      <c r="I41" s="21">
        <v>2</v>
      </c>
      <c r="J41">
        <v>2</v>
      </c>
      <c r="K41" s="21">
        <v>2</v>
      </c>
      <c r="L41" s="21">
        <v>2</v>
      </c>
      <c r="M41" s="21">
        <v>2</v>
      </c>
      <c r="N41" s="21">
        <v>2</v>
      </c>
      <c r="O41">
        <v>13</v>
      </c>
      <c r="P41">
        <v>39.5</v>
      </c>
      <c r="Q41">
        <v>78.5</v>
      </c>
      <c r="AA41">
        <v>9</v>
      </c>
      <c r="AB41">
        <v>3</v>
      </c>
      <c r="AC41">
        <v>1</v>
      </c>
      <c r="AD41">
        <v>2</v>
      </c>
      <c r="AE41">
        <v>5</v>
      </c>
      <c r="AF41" s="21">
        <v>0</v>
      </c>
      <c r="AG41">
        <v>1</v>
      </c>
      <c r="AH41">
        <v>2</v>
      </c>
      <c r="AI41">
        <v>2</v>
      </c>
      <c r="AL41">
        <v>2</v>
      </c>
      <c r="AM41">
        <v>2</v>
      </c>
      <c r="AO41">
        <v>0</v>
      </c>
      <c r="AP41">
        <v>0</v>
      </c>
      <c r="AQ41">
        <v>0</v>
      </c>
      <c r="AR41">
        <v>0</v>
      </c>
      <c r="AS41">
        <v>0</v>
      </c>
      <c r="AT41">
        <v>0</v>
      </c>
      <c r="AU41">
        <v>0</v>
      </c>
      <c r="AV41">
        <v>1</v>
      </c>
      <c r="AW41">
        <v>2</v>
      </c>
      <c r="AX41">
        <v>2</v>
      </c>
      <c r="AY41">
        <v>2</v>
      </c>
      <c r="AZ41">
        <v>1</v>
      </c>
      <c r="BA41">
        <v>1</v>
      </c>
      <c r="BB41">
        <v>1</v>
      </c>
      <c r="BC41" s="21">
        <v>10</v>
      </c>
      <c r="BD41">
        <v>1</v>
      </c>
      <c r="BE41">
        <v>1</v>
      </c>
      <c r="BF41">
        <v>0</v>
      </c>
      <c r="BG41" s="21">
        <v>0</v>
      </c>
    </row>
    <row r="42" spans="1:59" ht="15" customHeight="1" x14ac:dyDescent="0.25">
      <c r="A42" t="s">
        <v>86</v>
      </c>
      <c r="B42" s="21">
        <v>80</v>
      </c>
      <c r="C42" s="21">
        <v>1</v>
      </c>
      <c r="E42" s="21">
        <v>2</v>
      </c>
      <c r="F42" s="21">
        <v>2</v>
      </c>
      <c r="G42" s="21">
        <v>2</v>
      </c>
      <c r="H42" s="21">
        <v>2</v>
      </c>
      <c r="I42" s="21">
        <v>1</v>
      </c>
      <c r="J42">
        <v>2</v>
      </c>
      <c r="K42" s="21">
        <v>2</v>
      </c>
      <c r="L42" s="21">
        <v>2</v>
      </c>
      <c r="M42" s="21">
        <v>2</v>
      </c>
      <c r="N42" s="21">
        <v>2</v>
      </c>
      <c r="O42">
        <v>12.6</v>
      </c>
      <c r="P42">
        <v>36.299999999999997</v>
      </c>
      <c r="Q42">
        <v>96.7</v>
      </c>
      <c r="R42">
        <v>14.5</v>
      </c>
      <c r="S42">
        <v>5.0999999999999996</v>
      </c>
      <c r="Y42">
        <v>197</v>
      </c>
      <c r="AA42">
        <v>9</v>
      </c>
      <c r="AB42">
        <v>3</v>
      </c>
      <c r="AC42">
        <v>1</v>
      </c>
      <c r="AD42">
        <v>3</v>
      </c>
      <c r="AE42">
        <v>5</v>
      </c>
      <c r="AF42" s="21">
        <v>1</v>
      </c>
      <c r="AG42">
        <v>1</v>
      </c>
      <c r="AH42">
        <v>1</v>
      </c>
      <c r="AI42">
        <v>2</v>
      </c>
      <c r="AK42">
        <v>4</v>
      </c>
      <c r="AN42">
        <v>45</v>
      </c>
      <c r="AO42">
        <v>0</v>
      </c>
      <c r="AP42">
        <v>0</v>
      </c>
      <c r="AQ42">
        <v>0</v>
      </c>
      <c r="AR42">
        <v>0</v>
      </c>
      <c r="AS42">
        <v>0</v>
      </c>
      <c r="AT42">
        <v>0</v>
      </c>
      <c r="AU42">
        <v>0</v>
      </c>
      <c r="AV42">
        <v>1</v>
      </c>
      <c r="AW42">
        <v>2</v>
      </c>
      <c r="AX42">
        <v>2</v>
      </c>
      <c r="AY42">
        <v>2</v>
      </c>
      <c r="AZ42">
        <v>1</v>
      </c>
      <c r="BA42">
        <v>1</v>
      </c>
      <c r="BB42">
        <v>1</v>
      </c>
      <c r="BC42" s="21">
        <v>10</v>
      </c>
      <c r="BD42">
        <v>1</v>
      </c>
      <c r="BE42">
        <v>1</v>
      </c>
      <c r="BF42">
        <v>0</v>
      </c>
      <c r="BG42" s="21">
        <v>4</v>
      </c>
    </row>
    <row r="43" spans="1:59" ht="15" customHeight="1" x14ac:dyDescent="0.25">
      <c r="A43" t="s">
        <v>424</v>
      </c>
      <c r="B43" s="21">
        <v>59</v>
      </c>
      <c r="C43" s="21">
        <v>1</v>
      </c>
      <c r="D43" s="21">
        <v>0</v>
      </c>
      <c r="E43" s="21">
        <v>1</v>
      </c>
      <c r="F43" s="21">
        <v>2</v>
      </c>
      <c r="G43" s="21">
        <v>2</v>
      </c>
      <c r="H43" s="21">
        <v>2</v>
      </c>
      <c r="I43" s="21">
        <v>2</v>
      </c>
      <c r="J43">
        <v>2</v>
      </c>
      <c r="K43" s="21">
        <v>2</v>
      </c>
      <c r="L43" s="21">
        <v>2</v>
      </c>
      <c r="M43" s="21">
        <v>2</v>
      </c>
      <c r="N43" s="21">
        <v>2</v>
      </c>
      <c r="O43">
        <v>13.6</v>
      </c>
      <c r="P43">
        <v>40.9</v>
      </c>
      <c r="Q43">
        <v>87.7</v>
      </c>
      <c r="R43">
        <v>24.17</v>
      </c>
      <c r="S43">
        <v>5.2</v>
      </c>
      <c r="Y43">
        <v>243</v>
      </c>
      <c r="AA43">
        <v>9</v>
      </c>
      <c r="AB43">
        <v>3</v>
      </c>
      <c r="AC43">
        <v>1</v>
      </c>
      <c r="AD43">
        <v>3</v>
      </c>
      <c r="AE43">
        <v>5</v>
      </c>
      <c r="AF43" s="21">
        <v>1</v>
      </c>
      <c r="AG43">
        <v>1</v>
      </c>
      <c r="AH43">
        <v>1</v>
      </c>
      <c r="AI43">
        <v>2</v>
      </c>
      <c r="AL43">
        <v>2</v>
      </c>
      <c r="AM43">
        <v>2</v>
      </c>
      <c r="AN43">
        <v>100</v>
      </c>
      <c r="AO43">
        <v>0</v>
      </c>
      <c r="AP43">
        <v>2</v>
      </c>
      <c r="AQ43">
        <v>2</v>
      </c>
      <c r="AR43">
        <v>2</v>
      </c>
      <c r="AS43">
        <v>1</v>
      </c>
      <c r="AT43">
        <v>1</v>
      </c>
      <c r="AU43">
        <v>1</v>
      </c>
      <c r="AV43">
        <v>0</v>
      </c>
      <c r="AW43">
        <v>0</v>
      </c>
      <c r="AX43">
        <v>0</v>
      </c>
      <c r="AY43">
        <v>0</v>
      </c>
      <c r="AZ43">
        <v>0</v>
      </c>
      <c r="BA43">
        <v>0</v>
      </c>
      <c r="BB43">
        <v>0</v>
      </c>
      <c r="BC43" s="21">
        <v>9</v>
      </c>
      <c r="BD43">
        <v>1</v>
      </c>
      <c r="BE43">
        <v>1</v>
      </c>
      <c r="BF43">
        <v>0</v>
      </c>
      <c r="BG43" s="21">
        <v>0</v>
      </c>
    </row>
    <row r="44" spans="1:59" ht="15" customHeight="1" x14ac:dyDescent="0.25">
      <c r="A44" t="s">
        <v>871</v>
      </c>
      <c r="B44" s="21">
        <v>76</v>
      </c>
      <c r="C44" s="21">
        <v>1</v>
      </c>
      <c r="E44" s="21">
        <v>1</v>
      </c>
      <c r="F44" s="21">
        <v>1</v>
      </c>
      <c r="G44" s="21">
        <v>2</v>
      </c>
      <c r="H44" s="21">
        <v>1</v>
      </c>
      <c r="I44" s="21">
        <v>2</v>
      </c>
      <c r="J44">
        <v>2</v>
      </c>
      <c r="K44" s="21">
        <v>2</v>
      </c>
      <c r="L44" s="21">
        <v>2</v>
      </c>
      <c r="M44" s="21">
        <v>2</v>
      </c>
      <c r="N44" s="21">
        <v>2</v>
      </c>
      <c r="O44">
        <v>13</v>
      </c>
      <c r="P44">
        <v>38.799999999999997</v>
      </c>
      <c r="Q44">
        <v>90.8</v>
      </c>
      <c r="Y44">
        <v>148</v>
      </c>
      <c r="AA44">
        <v>8</v>
      </c>
      <c r="AB44">
        <v>3</v>
      </c>
      <c r="AC44">
        <v>1</v>
      </c>
      <c r="AD44">
        <v>3</v>
      </c>
      <c r="AE44">
        <v>5</v>
      </c>
      <c r="AF44" s="21">
        <v>1</v>
      </c>
      <c r="AG44">
        <v>1</v>
      </c>
      <c r="AH44">
        <v>1</v>
      </c>
      <c r="AI44">
        <v>2</v>
      </c>
      <c r="AK44">
        <v>4</v>
      </c>
      <c r="AL44">
        <v>2</v>
      </c>
      <c r="AM44">
        <v>2</v>
      </c>
      <c r="AN44">
        <v>100</v>
      </c>
      <c r="AO44">
        <v>0</v>
      </c>
      <c r="AP44">
        <v>0</v>
      </c>
      <c r="AQ44">
        <v>0</v>
      </c>
      <c r="AR44">
        <v>0</v>
      </c>
      <c r="AS44">
        <v>0</v>
      </c>
      <c r="AT44">
        <v>0</v>
      </c>
      <c r="AU44">
        <v>0</v>
      </c>
      <c r="AV44">
        <v>0</v>
      </c>
      <c r="AW44">
        <v>1</v>
      </c>
      <c r="AX44">
        <v>2</v>
      </c>
      <c r="AY44">
        <v>2</v>
      </c>
      <c r="AZ44">
        <v>1</v>
      </c>
      <c r="BA44">
        <v>1</v>
      </c>
      <c r="BB44">
        <v>1</v>
      </c>
      <c r="BC44" s="21">
        <v>8</v>
      </c>
      <c r="BD44">
        <v>1</v>
      </c>
      <c r="BE44">
        <v>1</v>
      </c>
      <c r="BF44">
        <v>1</v>
      </c>
      <c r="BG44" s="21">
        <v>0</v>
      </c>
    </row>
    <row r="45" spans="1:59" ht="15" customHeight="1" x14ac:dyDescent="0.25">
      <c r="A45" t="s">
        <v>804</v>
      </c>
      <c r="B45" s="21">
        <v>81</v>
      </c>
      <c r="C45" s="21">
        <v>1</v>
      </c>
      <c r="D45" s="21">
        <v>11</v>
      </c>
      <c r="E45" s="21">
        <v>1</v>
      </c>
      <c r="F45" s="21">
        <v>2</v>
      </c>
      <c r="G45" s="21">
        <v>2</v>
      </c>
      <c r="H45" s="21">
        <v>2</v>
      </c>
      <c r="I45" s="21">
        <v>2</v>
      </c>
      <c r="J45">
        <v>2</v>
      </c>
      <c r="K45" s="21">
        <v>2</v>
      </c>
      <c r="L45" s="21">
        <v>2</v>
      </c>
      <c r="M45" s="21">
        <v>2</v>
      </c>
      <c r="N45" s="21">
        <v>2</v>
      </c>
      <c r="O45">
        <v>13.4</v>
      </c>
      <c r="P45">
        <v>39.1</v>
      </c>
      <c r="Q45">
        <v>10.39</v>
      </c>
      <c r="T45">
        <v>215</v>
      </c>
      <c r="U45">
        <v>139</v>
      </c>
      <c r="V45">
        <v>35</v>
      </c>
      <c r="W45">
        <v>205</v>
      </c>
      <c r="X45">
        <v>41</v>
      </c>
      <c r="AA45">
        <v>10</v>
      </c>
      <c r="AB45">
        <v>3</v>
      </c>
      <c r="AC45">
        <v>1</v>
      </c>
      <c r="AD45">
        <v>3</v>
      </c>
      <c r="AE45">
        <v>5</v>
      </c>
      <c r="AF45" s="21">
        <v>1</v>
      </c>
      <c r="AG45">
        <v>1</v>
      </c>
      <c r="AI45">
        <v>1</v>
      </c>
      <c r="AJ45">
        <v>1</v>
      </c>
      <c r="AL45">
        <v>2</v>
      </c>
      <c r="AM45">
        <v>2</v>
      </c>
      <c r="AN45">
        <v>80</v>
      </c>
      <c r="AV45">
        <v>0</v>
      </c>
      <c r="AW45">
        <v>1</v>
      </c>
      <c r="AX45">
        <v>2</v>
      </c>
      <c r="AY45">
        <v>2</v>
      </c>
      <c r="AZ45">
        <v>1</v>
      </c>
      <c r="BA45">
        <v>1</v>
      </c>
      <c r="BB45">
        <v>1</v>
      </c>
      <c r="BC45" s="21">
        <v>8</v>
      </c>
      <c r="BD45">
        <v>1</v>
      </c>
      <c r="BE45">
        <v>1</v>
      </c>
      <c r="BF45">
        <v>0</v>
      </c>
      <c r="BG45" s="21">
        <v>1</v>
      </c>
    </row>
    <row r="46" spans="1:59" ht="15" customHeight="1" x14ac:dyDescent="0.25">
      <c r="A46" t="s">
        <v>355</v>
      </c>
      <c r="B46" s="21">
        <v>70</v>
      </c>
      <c r="C46" s="21">
        <v>1</v>
      </c>
      <c r="D46" s="21">
        <v>1</v>
      </c>
      <c r="E46" s="21">
        <v>1</v>
      </c>
      <c r="F46" s="21">
        <v>1</v>
      </c>
      <c r="G46" s="21">
        <v>2</v>
      </c>
      <c r="H46" s="21">
        <v>1</v>
      </c>
      <c r="I46" s="21">
        <v>2</v>
      </c>
      <c r="J46">
        <v>2</v>
      </c>
      <c r="K46" s="21">
        <v>2</v>
      </c>
      <c r="L46" s="21">
        <v>2</v>
      </c>
      <c r="M46" s="21">
        <v>2</v>
      </c>
      <c r="N46" s="21">
        <v>2</v>
      </c>
      <c r="O46">
        <v>13.5</v>
      </c>
      <c r="P46">
        <v>39.299999999999997</v>
      </c>
      <c r="Q46">
        <v>88.5</v>
      </c>
      <c r="S46">
        <v>6.6</v>
      </c>
      <c r="T46">
        <v>149</v>
      </c>
      <c r="U46">
        <v>97.6</v>
      </c>
      <c r="V46">
        <v>32</v>
      </c>
      <c r="W46">
        <v>97</v>
      </c>
      <c r="X46">
        <v>19.399999999999999</v>
      </c>
      <c r="Y46">
        <v>304</v>
      </c>
      <c r="AA46">
        <v>9</v>
      </c>
      <c r="AB46">
        <v>3</v>
      </c>
      <c r="AC46">
        <v>1</v>
      </c>
      <c r="AD46">
        <v>3</v>
      </c>
      <c r="AE46">
        <v>5</v>
      </c>
      <c r="AF46" s="21">
        <v>1</v>
      </c>
      <c r="AG46">
        <v>1</v>
      </c>
      <c r="AH46">
        <v>1</v>
      </c>
      <c r="AI46">
        <v>2</v>
      </c>
      <c r="AL46">
        <v>2</v>
      </c>
      <c r="AM46">
        <v>2</v>
      </c>
      <c r="AN46">
        <v>100</v>
      </c>
      <c r="AO46">
        <v>0</v>
      </c>
      <c r="AP46">
        <v>0</v>
      </c>
      <c r="AQ46">
        <v>0</v>
      </c>
      <c r="AR46">
        <v>0</v>
      </c>
      <c r="AS46">
        <v>0</v>
      </c>
      <c r="AT46">
        <v>0</v>
      </c>
      <c r="AU46">
        <v>0</v>
      </c>
      <c r="AV46">
        <v>0</v>
      </c>
      <c r="AW46">
        <v>2</v>
      </c>
      <c r="AX46">
        <v>2</v>
      </c>
      <c r="AY46">
        <v>2</v>
      </c>
      <c r="AZ46">
        <v>1</v>
      </c>
      <c r="BA46">
        <v>1</v>
      </c>
      <c r="BB46">
        <v>1</v>
      </c>
      <c r="BC46" s="21">
        <v>9</v>
      </c>
      <c r="BD46">
        <v>1</v>
      </c>
      <c r="BE46">
        <v>1</v>
      </c>
      <c r="BF46">
        <v>0</v>
      </c>
      <c r="BG46" s="21">
        <v>0</v>
      </c>
    </row>
    <row r="47" spans="1:59" ht="15" customHeight="1" x14ac:dyDescent="0.25">
      <c r="A47" t="s">
        <v>305</v>
      </c>
      <c r="B47" s="21">
        <v>32</v>
      </c>
      <c r="C47" s="21">
        <v>1</v>
      </c>
      <c r="D47" s="21">
        <v>1</v>
      </c>
      <c r="E47" s="21">
        <v>2</v>
      </c>
      <c r="F47" s="21">
        <v>2</v>
      </c>
      <c r="G47" s="21">
        <v>2</v>
      </c>
      <c r="H47" s="21">
        <v>2</v>
      </c>
      <c r="I47" s="21">
        <v>2</v>
      </c>
      <c r="J47">
        <v>2</v>
      </c>
      <c r="K47" s="21">
        <v>2</v>
      </c>
      <c r="L47" s="21">
        <v>2</v>
      </c>
      <c r="M47" s="21">
        <v>2</v>
      </c>
      <c r="N47" s="21">
        <v>2</v>
      </c>
      <c r="O47">
        <v>14.6</v>
      </c>
      <c r="R47">
        <v>27</v>
      </c>
      <c r="T47">
        <v>237</v>
      </c>
      <c r="U47">
        <v>156</v>
      </c>
      <c r="V47">
        <v>54</v>
      </c>
      <c r="W47">
        <v>133</v>
      </c>
      <c r="X47">
        <v>26</v>
      </c>
      <c r="Y47">
        <v>156</v>
      </c>
      <c r="AA47">
        <v>10</v>
      </c>
      <c r="AB47">
        <v>3</v>
      </c>
      <c r="AC47">
        <v>1</v>
      </c>
      <c r="AD47">
        <v>3</v>
      </c>
      <c r="AE47">
        <v>5</v>
      </c>
      <c r="AF47" s="21">
        <v>1</v>
      </c>
      <c r="AG47">
        <v>1</v>
      </c>
      <c r="AH47">
        <v>1</v>
      </c>
      <c r="AI47">
        <v>2</v>
      </c>
      <c r="AK47">
        <v>4</v>
      </c>
      <c r="AL47">
        <v>2</v>
      </c>
      <c r="AM47">
        <v>2</v>
      </c>
      <c r="AN47">
        <v>95</v>
      </c>
      <c r="AO47">
        <v>0</v>
      </c>
      <c r="AP47">
        <v>0</v>
      </c>
      <c r="AQ47">
        <v>0</v>
      </c>
      <c r="AR47">
        <v>0</v>
      </c>
      <c r="AS47">
        <v>0</v>
      </c>
      <c r="AT47">
        <v>0</v>
      </c>
      <c r="AU47">
        <v>0</v>
      </c>
      <c r="AV47">
        <v>1</v>
      </c>
      <c r="AW47">
        <v>2</v>
      </c>
      <c r="AX47">
        <v>2</v>
      </c>
      <c r="AY47">
        <v>2</v>
      </c>
      <c r="AZ47">
        <v>1</v>
      </c>
      <c r="BA47">
        <v>1</v>
      </c>
      <c r="BB47">
        <v>1</v>
      </c>
      <c r="BC47" s="21">
        <v>10</v>
      </c>
      <c r="BD47">
        <v>0</v>
      </c>
      <c r="BE47">
        <v>1</v>
      </c>
      <c r="BF47">
        <v>0</v>
      </c>
      <c r="BG47" s="21">
        <v>1</v>
      </c>
    </row>
    <row r="48" spans="1:59" s="8" customFormat="1" ht="15" customHeight="1" x14ac:dyDescent="0.25">
      <c r="A48" t="s">
        <v>220</v>
      </c>
      <c r="B48" s="21">
        <v>32</v>
      </c>
      <c r="C48" s="21">
        <v>1</v>
      </c>
      <c r="D48" s="21">
        <v>2</v>
      </c>
      <c r="E48" s="21">
        <v>1</v>
      </c>
      <c r="F48" s="21">
        <v>2</v>
      </c>
      <c r="G48" s="21">
        <v>2</v>
      </c>
      <c r="H48" s="21">
        <v>2</v>
      </c>
      <c r="I48" s="21">
        <v>2</v>
      </c>
      <c r="J48">
        <v>2</v>
      </c>
      <c r="K48" s="21">
        <v>2</v>
      </c>
      <c r="L48" s="21">
        <v>2</v>
      </c>
      <c r="M48" s="21">
        <v>2</v>
      </c>
      <c r="N48" s="21">
        <v>2</v>
      </c>
      <c r="O48">
        <v>15.1</v>
      </c>
      <c r="P48">
        <v>45.3</v>
      </c>
      <c r="Q48">
        <v>85.9</v>
      </c>
      <c r="R48">
        <v>24.49</v>
      </c>
      <c r="S48">
        <v>5.2</v>
      </c>
      <c r="T48"/>
      <c r="U48"/>
      <c r="V48"/>
      <c r="W48"/>
      <c r="X48"/>
      <c r="Y48">
        <v>148</v>
      </c>
      <c r="Z48"/>
      <c r="AA48">
        <v>10</v>
      </c>
      <c r="AB48">
        <v>3</v>
      </c>
      <c r="AC48">
        <v>1</v>
      </c>
      <c r="AD48">
        <v>3</v>
      </c>
      <c r="AE48">
        <v>5</v>
      </c>
      <c r="AF48" s="21">
        <v>1</v>
      </c>
      <c r="AG48">
        <v>1</v>
      </c>
      <c r="AH48">
        <v>1</v>
      </c>
      <c r="AI48">
        <v>2</v>
      </c>
      <c r="AJ48"/>
      <c r="AK48">
        <v>4</v>
      </c>
      <c r="AL48">
        <v>2</v>
      </c>
      <c r="AM48">
        <v>2</v>
      </c>
      <c r="AN48">
        <v>100</v>
      </c>
      <c r="AO48">
        <v>1</v>
      </c>
      <c r="AP48">
        <v>2</v>
      </c>
      <c r="AQ48">
        <v>2</v>
      </c>
      <c r="AR48">
        <v>2</v>
      </c>
      <c r="AS48">
        <v>1</v>
      </c>
      <c r="AT48">
        <v>1</v>
      </c>
      <c r="AU48">
        <v>1</v>
      </c>
      <c r="AV48">
        <v>0</v>
      </c>
      <c r="AW48">
        <v>0</v>
      </c>
      <c r="AX48">
        <v>0</v>
      </c>
      <c r="AY48">
        <v>0</v>
      </c>
      <c r="AZ48">
        <v>0</v>
      </c>
      <c r="BA48">
        <v>0</v>
      </c>
      <c r="BB48">
        <v>0</v>
      </c>
      <c r="BC48" s="21">
        <v>10</v>
      </c>
      <c r="BD48">
        <v>1</v>
      </c>
      <c r="BE48">
        <v>1</v>
      </c>
      <c r="BF48">
        <v>0</v>
      </c>
      <c r="BG48" s="21">
        <v>0</v>
      </c>
    </row>
    <row r="49" spans="1:59" s="8" customFormat="1" ht="15" customHeight="1" x14ac:dyDescent="0.25">
      <c r="A49" t="s">
        <v>347</v>
      </c>
      <c r="B49" s="21">
        <v>30</v>
      </c>
      <c r="C49" s="21">
        <v>1</v>
      </c>
      <c r="D49" s="21">
        <v>1</v>
      </c>
      <c r="E49" s="21">
        <v>2</v>
      </c>
      <c r="F49" s="21">
        <v>2</v>
      </c>
      <c r="G49" s="21">
        <v>2</v>
      </c>
      <c r="H49" s="21">
        <v>2</v>
      </c>
      <c r="I49" s="21">
        <v>2</v>
      </c>
      <c r="J49">
        <v>2</v>
      </c>
      <c r="K49" s="21">
        <v>2</v>
      </c>
      <c r="L49" s="21">
        <v>2</v>
      </c>
      <c r="M49" s="21">
        <v>2</v>
      </c>
      <c r="N49" s="21">
        <v>2</v>
      </c>
      <c r="O49">
        <v>15.4</v>
      </c>
      <c r="P49">
        <v>46.4</v>
      </c>
      <c r="Q49">
        <v>85.9</v>
      </c>
      <c r="R49">
        <v>16.399999999999999</v>
      </c>
      <c r="S49"/>
      <c r="T49">
        <v>144</v>
      </c>
      <c r="U49">
        <v>96.6</v>
      </c>
      <c r="V49">
        <v>32</v>
      </c>
      <c r="W49">
        <v>77</v>
      </c>
      <c r="X49">
        <v>15.4</v>
      </c>
      <c r="Y49">
        <v>184</v>
      </c>
      <c r="Z49"/>
      <c r="AA49">
        <v>9</v>
      </c>
      <c r="AB49">
        <v>3</v>
      </c>
      <c r="AC49">
        <v>1</v>
      </c>
      <c r="AD49">
        <v>3</v>
      </c>
      <c r="AE49">
        <v>5</v>
      </c>
      <c r="AF49" s="21">
        <v>1</v>
      </c>
      <c r="AG49">
        <v>1</v>
      </c>
      <c r="AH49">
        <v>1</v>
      </c>
      <c r="AI49">
        <v>2</v>
      </c>
      <c r="AJ49"/>
      <c r="AK49"/>
      <c r="AL49">
        <v>2</v>
      </c>
      <c r="AM49">
        <v>2</v>
      </c>
      <c r="AN49">
        <v>100</v>
      </c>
      <c r="AO49">
        <v>1</v>
      </c>
      <c r="AP49">
        <v>2</v>
      </c>
      <c r="AQ49">
        <v>2</v>
      </c>
      <c r="AR49">
        <v>2</v>
      </c>
      <c r="AS49">
        <v>1</v>
      </c>
      <c r="AT49">
        <v>1</v>
      </c>
      <c r="AU49">
        <v>1</v>
      </c>
      <c r="AV49">
        <v>0</v>
      </c>
      <c r="AW49">
        <v>0</v>
      </c>
      <c r="AX49">
        <v>0</v>
      </c>
      <c r="AY49">
        <v>0</v>
      </c>
      <c r="AZ49">
        <v>0</v>
      </c>
      <c r="BA49">
        <v>0</v>
      </c>
      <c r="BB49">
        <v>0</v>
      </c>
      <c r="BC49" s="21">
        <v>10</v>
      </c>
      <c r="BD49">
        <v>1</v>
      </c>
      <c r="BE49">
        <v>1</v>
      </c>
      <c r="BF49">
        <v>0</v>
      </c>
      <c r="BG49" s="21">
        <v>0</v>
      </c>
    </row>
    <row r="50" spans="1:59" ht="15" customHeight="1" x14ac:dyDescent="0.25">
      <c r="A50" t="s">
        <v>406</v>
      </c>
      <c r="B50" s="21">
        <v>50</v>
      </c>
      <c r="C50" s="21">
        <v>1</v>
      </c>
      <c r="D50" s="21">
        <v>3</v>
      </c>
      <c r="E50" s="21">
        <v>2</v>
      </c>
      <c r="F50" s="21">
        <v>1</v>
      </c>
      <c r="G50" s="21">
        <v>1</v>
      </c>
      <c r="H50" s="21">
        <v>1</v>
      </c>
      <c r="I50" s="21">
        <v>2</v>
      </c>
      <c r="J50">
        <v>2</v>
      </c>
      <c r="K50" s="21">
        <v>2</v>
      </c>
      <c r="L50" s="21">
        <v>2</v>
      </c>
      <c r="M50" s="21">
        <v>2</v>
      </c>
      <c r="N50" s="21">
        <v>2</v>
      </c>
      <c r="AA50">
        <v>10</v>
      </c>
      <c r="AB50">
        <v>3</v>
      </c>
      <c r="AC50">
        <v>1</v>
      </c>
      <c r="AD50">
        <v>3</v>
      </c>
      <c r="AE50">
        <v>5</v>
      </c>
      <c r="AF50" s="21">
        <v>1</v>
      </c>
      <c r="AG50">
        <v>2</v>
      </c>
      <c r="AH50">
        <v>2</v>
      </c>
      <c r="AI50">
        <v>2</v>
      </c>
      <c r="AL50">
        <v>2</v>
      </c>
      <c r="AM50">
        <v>2</v>
      </c>
      <c r="AN50">
        <v>100</v>
      </c>
      <c r="AO50">
        <v>0</v>
      </c>
      <c r="AP50">
        <v>0</v>
      </c>
      <c r="AQ50">
        <v>0</v>
      </c>
      <c r="AR50">
        <v>0</v>
      </c>
      <c r="AS50">
        <v>0</v>
      </c>
      <c r="AT50">
        <v>0</v>
      </c>
      <c r="AU50">
        <v>0</v>
      </c>
      <c r="AV50">
        <v>1</v>
      </c>
      <c r="AW50">
        <v>2</v>
      </c>
      <c r="AX50">
        <v>2</v>
      </c>
      <c r="AY50">
        <v>2</v>
      </c>
      <c r="AZ50">
        <v>1</v>
      </c>
      <c r="BA50">
        <v>1</v>
      </c>
      <c r="BB50">
        <v>1</v>
      </c>
      <c r="BC50" s="21">
        <v>10</v>
      </c>
      <c r="BD50">
        <v>1</v>
      </c>
      <c r="BE50">
        <v>1</v>
      </c>
      <c r="BF50">
        <v>0</v>
      </c>
      <c r="BG50" s="21">
        <v>0</v>
      </c>
    </row>
    <row r="51" spans="1:59" ht="15" customHeight="1" x14ac:dyDescent="0.25">
      <c r="A51" t="s">
        <v>315</v>
      </c>
      <c r="B51" s="21">
        <v>50</v>
      </c>
      <c r="C51" s="21">
        <v>1</v>
      </c>
      <c r="D51" s="21">
        <v>3</v>
      </c>
      <c r="E51" s="21">
        <v>1</v>
      </c>
      <c r="F51" s="21">
        <v>2</v>
      </c>
      <c r="G51" s="21">
        <v>2</v>
      </c>
      <c r="H51" s="21">
        <v>2</v>
      </c>
      <c r="I51" s="21">
        <v>2</v>
      </c>
      <c r="J51">
        <v>2</v>
      </c>
      <c r="K51" s="21">
        <v>2</v>
      </c>
      <c r="L51" s="21">
        <v>2</v>
      </c>
      <c r="M51" s="21">
        <v>2</v>
      </c>
      <c r="N51" s="21">
        <v>2</v>
      </c>
      <c r="O51">
        <v>16.2</v>
      </c>
      <c r="P51">
        <v>47</v>
      </c>
      <c r="Q51">
        <v>96</v>
      </c>
      <c r="R51">
        <v>70</v>
      </c>
      <c r="S51">
        <v>5.4</v>
      </c>
      <c r="Y51">
        <v>153</v>
      </c>
      <c r="AA51">
        <v>10</v>
      </c>
      <c r="AB51">
        <v>3</v>
      </c>
      <c r="AC51">
        <v>1</v>
      </c>
      <c r="AD51">
        <v>3</v>
      </c>
      <c r="AE51">
        <v>5</v>
      </c>
      <c r="AF51" s="21">
        <v>1</v>
      </c>
      <c r="AG51">
        <v>1</v>
      </c>
      <c r="AH51">
        <v>2</v>
      </c>
      <c r="AI51">
        <v>1</v>
      </c>
      <c r="AJ51">
        <v>1</v>
      </c>
      <c r="AL51">
        <v>2</v>
      </c>
      <c r="AM51">
        <v>2</v>
      </c>
      <c r="AN51">
        <v>85</v>
      </c>
      <c r="AO51">
        <v>1</v>
      </c>
      <c r="AP51">
        <v>2</v>
      </c>
      <c r="AQ51">
        <v>2</v>
      </c>
      <c r="AR51">
        <v>2</v>
      </c>
      <c r="AS51">
        <v>1</v>
      </c>
      <c r="AT51">
        <v>1</v>
      </c>
      <c r="AU51">
        <v>1</v>
      </c>
      <c r="AV51">
        <v>0</v>
      </c>
      <c r="AW51">
        <v>0</v>
      </c>
      <c r="AX51">
        <v>0</v>
      </c>
      <c r="AY51">
        <v>0</v>
      </c>
      <c r="AZ51">
        <v>0</v>
      </c>
      <c r="BA51">
        <v>0</v>
      </c>
      <c r="BB51">
        <v>0</v>
      </c>
      <c r="BC51" s="21">
        <v>10</v>
      </c>
      <c r="BD51">
        <v>1</v>
      </c>
      <c r="BE51">
        <v>1</v>
      </c>
      <c r="BF51">
        <v>0</v>
      </c>
      <c r="BG51" s="21">
        <v>1</v>
      </c>
    </row>
    <row r="52" spans="1:59" ht="15" customHeight="1" x14ac:dyDescent="0.25">
      <c r="A52" t="s">
        <v>339</v>
      </c>
      <c r="B52" s="21">
        <v>54</v>
      </c>
      <c r="C52" s="21">
        <v>1</v>
      </c>
      <c r="D52" s="21">
        <v>2</v>
      </c>
      <c r="E52" s="21">
        <v>1</v>
      </c>
      <c r="F52" s="21">
        <v>2</v>
      </c>
      <c r="G52" s="21">
        <v>2</v>
      </c>
      <c r="H52" s="21">
        <v>2</v>
      </c>
      <c r="I52" s="21">
        <v>2</v>
      </c>
      <c r="J52">
        <v>2</v>
      </c>
      <c r="K52" s="21">
        <v>2</v>
      </c>
      <c r="L52" s="21">
        <v>2</v>
      </c>
      <c r="M52" s="21">
        <v>2</v>
      </c>
      <c r="N52" s="21">
        <v>2</v>
      </c>
      <c r="O52">
        <v>13.2</v>
      </c>
      <c r="P52">
        <v>39.299999999999997</v>
      </c>
      <c r="Q52">
        <v>82.9</v>
      </c>
      <c r="R52">
        <v>48.66</v>
      </c>
      <c r="T52">
        <v>145</v>
      </c>
      <c r="U52">
        <v>94.6</v>
      </c>
      <c r="V52">
        <v>43</v>
      </c>
      <c r="W52">
        <v>37</v>
      </c>
      <c r="X52">
        <v>7.4</v>
      </c>
      <c r="Y52">
        <v>148</v>
      </c>
      <c r="AA52">
        <v>9</v>
      </c>
      <c r="AB52">
        <v>3</v>
      </c>
      <c r="AC52">
        <v>1</v>
      </c>
      <c r="AD52">
        <v>3</v>
      </c>
      <c r="AE52">
        <v>5</v>
      </c>
      <c r="AF52" s="21">
        <v>1</v>
      </c>
      <c r="AG52">
        <v>1</v>
      </c>
      <c r="AH52">
        <v>1</v>
      </c>
      <c r="AI52">
        <v>2</v>
      </c>
      <c r="AL52">
        <v>2</v>
      </c>
      <c r="AM52">
        <v>2</v>
      </c>
      <c r="AN52">
        <v>100</v>
      </c>
      <c r="AO52">
        <v>1</v>
      </c>
      <c r="AP52">
        <v>2</v>
      </c>
      <c r="AQ52">
        <v>2</v>
      </c>
      <c r="AR52">
        <v>2</v>
      </c>
      <c r="AS52">
        <v>1</v>
      </c>
      <c r="AT52">
        <v>1</v>
      </c>
      <c r="AU52">
        <v>1</v>
      </c>
      <c r="AV52">
        <v>0</v>
      </c>
      <c r="AW52">
        <v>0</v>
      </c>
      <c r="AX52">
        <v>0</v>
      </c>
      <c r="AY52">
        <v>0</v>
      </c>
      <c r="AZ52">
        <v>0</v>
      </c>
      <c r="BA52">
        <v>0</v>
      </c>
      <c r="BB52">
        <v>0</v>
      </c>
      <c r="BC52" s="21">
        <v>10</v>
      </c>
      <c r="BD52">
        <v>1</v>
      </c>
      <c r="BE52">
        <v>1</v>
      </c>
      <c r="BF52">
        <v>0</v>
      </c>
      <c r="BG52" s="21">
        <v>0</v>
      </c>
    </row>
    <row r="53" spans="1:59" s="8" customFormat="1" ht="15" customHeight="1" x14ac:dyDescent="0.25">
      <c r="A53" t="s">
        <v>217</v>
      </c>
      <c r="B53" s="21">
        <v>45</v>
      </c>
      <c r="C53" s="21">
        <v>1</v>
      </c>
      <c r="D53" s="21">
        <v>1</v>
      </c>
      <c r="E53" s="21">
        <v>2</v>
      </c>
      <c r="F53" s="21">
        <v>1</v>
      </c>
      <c r="G53" s="21">
        <v>2</v>
      </c>
      <c r="H53" s="21">
        <v>2</v>
      </c>
      <c r="I53" s="21">
        <v>2</v>
      </c>
      <c r="J53">
        <v>2</v>
      </c>
      <c r="K53" s="21">
        <v>2</v>
      </c>
      <c r="L53" s="21">
        <v>2</v>
      </c>
      <c r="M53" s="21">
        <v>2</v>
      </c>
      <c r="N53" s="21">
        <v>2</v>
      </c>
      <c r="O53">
        <v>14.6</v>
      </c>
      <c r="P53">
        <v>43.8</v>
      </c>
      <c r="Q53">
        <v>80.5</v>
      </c>
      <c r="R53">
        <v>13.4</v>
      </c>
      <c r="S53">
        <v>10.9</v>
      </c>
      <c r="T53">
        <v>246</v>
      </c>
      <c r="U53">
        <v>174.4</v>
      </c>
      <c r="V53">
        <v>38</v>
      </c>
      <c r="W53">
        <v>168</v>
      </c>
      <c r="X53">
        <v>33.6</v>
      </c>
      <c r="Y53"/>
      <c r="Z53"/>
      <c r="AA53">
        <v>10</v>
      </c>
      <c r="AB53">
        <v>3</v>
      </c>
      <c r="AC53">
        <v>1</v>
      </c>
      <c r="AD53">
        <v>3</v>
      </c>
      <c r="AE53">
        <v>5</v>
      </c>
      <c r="AF53" s="21">
        <v>1</v>
      </c>
      <c r="AG53">
        <v>1</v>
      </c>
      <c r="AH53">
        <v>1</v>
      </c>
      <c r="AI53">
        <v>2</v>
      </c>
      <c r="AJ53"/>
      <c r="AK53"/>
      <c r="AL53"/>
      <c r="AM53"/>
      <c r="AN53">
        <v>100</v>
      </c>
      <c r="AO53">
        <v>0</v>
      </c>
      <c r="AP53">
        <v>0</v>
      </c>
      <c r="AQ53">
        <v>0</v>
      </c>
      <c r="AR53">
        <v>0</v>
      </c>
      <c r="AS53">
        <v>0</v>
      </c>
      <c r="AT53">
        <v>0</v>
      </c>
      <c r="AU53">
        <v>0</v>
      </c>
      <c r="AV53">
        <v>1</v>
      </c>
      <c r="AW53">
        <v>2</v>
      </c>
      <c r="AX53">
        <v>2</v>
      </c>
      <c r="AY53">
        <v>2</v>
      </c>
      <c r="AZ53">
        <v>1</v>
      </c>
      <c r="BA53">
        <v>1</v>
      </c>
      <c r="BB53">
        <v>1</v>
      </c>
      <c r="BC53" s="21">
        <v>10</v>
      </c>
      <c r="BD53">
        <v>1</v>
      </c>
      <c r="BE53">
        <v>1</v>
      </c>
      <c r="BF53">
        <v>0</v>
      </c>
      <c r="BG53" s="21">
        <v>0</v>
      </c>
    </row>
    <row r="54" spans="1:59" s="8" customFormat="1" ht="15" customHeight="1" x14ac:dyDescent="0.25">
      <c r="A54" t="s">
        <v>547</v>
      </c>
      <c r="B54" s="21">
        <v>77</v>
      </c>
      <c r="C54" s="21">
        <v>1</v>
      </c>
      <c r="D54" s="21">
        <v>2</v>
      </c>
      <c r="E54" s="21">
        <v>2</v>
      </c>
      <c r="F54" s="21">
        <v>1</v>
      </c>
      <c r="G54" s="21">
        <v>2</v>
      </c>
      <c r="H54" s="21">
        <v>2</v>
      </c>
      <c r="I54" s="21">
        <v>2</v>
      </c>
      <c r="J54">
        <v>2</v>
      </c>
      <c r="K54" s="21">
        <v>2</v>
      </c>
      <c r="L54" s="21">
        <v>1</v>
      </c>
      <c r="M54" s="21">
        <v>2</v>
      </c>
      <c r="N54" s="21">
        <v>2</v>
      </c>
      <c r="O54">
        <v>13.3</v>
      </c>
      <c r="P54">
        <v>40.200000000000003</v>
      </c>
      <c r="Q54">
        <v>90.1</v>
      </c>
      <c r="R54">
        <v>21.14</v>
      </c>
      <c r="S54">
        <v>6.3</v>
      </c>
      <c r="T54">
        <v>107</v>
      </c>
      <c r="U54">
        <v>50.6</v>
      </c>
      <c r="V54">
        <v>41</v>
      </c>
      <c r="W54">
        <v>77</v>
      </c>
      <c r="X54">
        <v>15.4</v>
      </c>
      <c r="Y54">
        <v>425</v>
      </c>
      <c r="Z54"/>
      <c r="AA54">
        <v>9</v>
      </c>
      <c r="AB54">
        <v>3</v>
      </c>
      <c r="AC54">
        <v>1</v>
      </c>
      <c r="AD54">
        <v>3</v>
      </c>
      <c r="AE54">
        <v>5</v>
      </c>
      <c r="AF54" s="21">
        <v>1</v>
      </c>
      <c r="AG54">
        <v>1</v>
      </c>
      <c r="AH54">
        <v>1</v>
      </c>
      <c r="AI54">
        <v>2</v>
      </c>
      <c r="AJ54"/>
      <c r="AK54"/>
      <c r="AL54">
        <v>2</v>
      </c>
      <c r="AM54">
        <v>2</v>
      </c>
      <c r="AN54">
        <v>80</v>
      </c>
      <c r="AO54">
        <v>0</v>
      </c>
      <c r="AP54">
        <v>0</v>
      </c>
      <c r="AQ54">
        <v>0</v>
      </c>
      <c r="AR54">
        <v>0</v>
      </c>
      <c r="AS54">
        <v>0</v>
      </c>
      <c r="AT54">
        <v>0</v>
      </c>
      <c r="AU54">
        <v>0</v>
      </c>
      <c r="AV54">
        <v>0</v>
      </c>
      <c r="AW54">
        <v>2</v>
      </c>
      <c r="AX54">
        <v>2</v>
      </c>
      <c r="AY54">
        <v>2</v>
      </c>
      <c r="AZ54">
        <v>1</v>
      </c>
      <c r="BA54">
        <v>1</v>
      </c>
      <c r="BB54">
        <v>1</v>
      </c>
      <c r="BC54" s="21">
        <v>9</v>
      </c>
      <c r="BD54">
        <v>0</v>
      </c>
      <c r="BE54">
        <v>0</v>
      </c>
      <c r="BF54" t="s">
        <v>1051</v>
      </c>
      <c r="BG54" s="21">
        <v>1</v>
      </c>
    </row>
    <row r="55" spans="1:59" ht="15" customHeight="1" x14ac:dyDescent="0.25">
      <c r="A55" t="s">
        <v>239</v>
      </c>
      <c r="B55" s="21">
        <v>38</v>
      </c>
      <c r="C55" s="21">
        <v>1</v>
      </c>
      <c r="D55" s="21">
        <v>3</v>
      </c>
      <c r="E55" s="21">
        <v>1</v>
      </c>
      <c r="F55" s="21">
        <v>2</v>
      </c>
      <c r="G55" s="21">
        <v>2</v>
      </c>
      <c r="H55" s="21">
        <v>2</v>
      </c>
      <c r="I55" s="21">
        <v>2</v>
      </c>
      <c r="J55">
        <v>2</v>
      </c>
      <c r="K55" s="21">
        <v>2</v>
      </c>
      <c r="L55" s="21">
        <v>2</v>
      </c>
      <c r="M55" s="21">
        <v>2</v>
      </c>
      <c r="N55" s="21">
        <v>2</v>
      </c>
      <c r="O55">
        <v>15.1</v>
      </c>
      <c r="Q55">
        <v>82.6</v>
      </c>
      <c r="R55">
        <v>18.440000000000001</v>
      </c>
      <c r="S55">
        <v>5.9</v>
      </c>
      <c r="T55">
        <v>168</v>
      </c>
      <c r="U55">
        <v>111.2</v>
      </c>
      <c r="V55">
        <v>33</v>
      </c>
      <c r="W55">
        <v>114</v>
      </c>
      <c r="X55">
        <v>23.8</v>
      </c>
      <c r="Y55">
        <v>163</v>
      </c>
      <c r="AA55">
        <v>9</v>
      </c>
      <c r="AB55">
        <v>3</v>
      </c>
      <c r="AC55">
        <v>1</v>
      </c>
      <c r="AD55">
        <v>3</v>
      </c>
      <c r="AE55">
        <v>5</v>
      </c>
      <c r="AF55" s="21">
        <v>1</v>
      </c>
      <c r="AG55">
        <v>1</v>
      </c>
      <c r="AH55">
        <v>1</v>
      </c>
      <c r="AI55">
        <v>2</v>
      </c>
      <c r="AK55">
        <v>4</v>
      </c>
      <c r="AL55">
        <v>2</v>
      </c>
      <c r="AM55">
        <v>2</v>
      </c>
      <c r="AN55">
        <v>65</v>
      </c>
      <c r="AO55">
        <v>0</v>
      </c>
      <c r="AP55">
        <v>0</v>
      </c>
      <c r="AQ55">
        <v>0</v>
      </c>
      <c r="AR55">
        <v>0</v>
      </c>
      <c r="AS55">
        <v>0</v>
      </c>
      <c r="AT55">
        <v>0</v>
      </c>
      <c r="AU55">
        <v>0</v>
      </c>
      <c r="AV55">
        <v>1</v>
      </c>
      <c r="AW55">
        <v>2</v>
      </c>
      <c r="AX55">
        <v>2</v>
      </c>
      <c r="AY55">
        <v>2</v>
      </c>
      <c r="AZ55">
        <v>1</v>
      </c>
      <c r="BA55">
        <v>1</v>
      </c>
      <c r="BB55">
        <v>1</v>
      </c>
      <c r="BC55" s="21">
        <v>10</v>
      </c>
      <c r="BD55">
        <v>1</v>
      </c>
      <c r="BE55">
        <v>0</v>
      </c>
      <c r="BF55">
        <v>0</v>
      </c>
      <c r="BG55" s="21">
        <v>3</v>
      </c>
    </row>
    <row r="56" spans="1:59" ht="15" customHeight="1" x14ac:dyDescent="0.25">
      <c r="A56" t="s">
        <v>298</v>
      </c>
      <c r="B56" s="21">
        <v>46</v>
      </c>
      <c r="C56" s="21">
        <v>2</v>
      </c>
      <c r="D56" s="21">
        <v>4</v>
      </c>
      <c r="E56" s="21">
        <v>1</v>
      </c>
      <c r="F56" s="21">
        <v>1</v>
      </c>
      <c r="G56" s="21">
        <v>2</v>
      </c>
      <c r="H56" s="21">
        <v>2</v>
      </c>
      <c r="I56" s="21">
        <v>2</v>
      </c>
      <c r="J56">
        <v>2</v>
      </c>
      <c r="K56" s="21">
        <v>2</v>
      </c>
      <c r="L56" s="21">
        <v>2</v>
      </c>
      <c r="M56" s="21">
        <v>2</v>
      </c>
      <c r="N56" s="21">
        <v>2</v>
      </c>
      <c r="O56">
        <v>13.9</v>
      </c>
      <c r="P56">
        <v>41.6</v>
      </c>
      <c r="Q56">
        <v>86.6</v>
      </c>
      <c r="R56">
        <v>7.47</v>
      </c>
      <c r="S56">
        <v>13.4</v>
      </c>
      <c r="T56">
        <v>296</v>
      </c>
      <c r="U56">
        <v>193.6</v>
      </c>
      <c r="V56">
        <v>47</v>
      </c>
      <c r="W56">
        <v>277</v>
      </c>
      <c r="Y56">
        <v>282</v>
      </c>
      <c r="AA56">
        <v>9</v>
      </c>
      <c r="AB56">
        <v>3</v>
      </c>
      <c r="AC56">
        <v>1</v>
      </c>
      <c r="AD56">
        <v>3</v>
      </c>
      <c r="AE56">
        <v>5</v>
      </c>
      <c r="AF56" s="21">
        <v>1</v>
      </c>
      <c r="AG56">
        <v>1</v>
      </c>
      <c r="AH56">
        <v>2</v>
      </c>
      <c r="AI56">
        <v>1</v>
      </c>
      <c r="AJ56">
        <v>1</v>
      </c>
      <c r="AL56">
        <v>2</v>
      </c>
      <c r="AM56">
        <v>2</v>
      </c>
      <c r="AN56">
        <v>100</v>
      </c>
      <c r="AO56">
        <v>0</v>
      </c>
      <c r="AP56">
        <v>0</v>
      </c>
      <c r="AQ56">
        <v>0</v>
      </c>
      <c r="AR56">
        <v>0</v>
      </c>
      <c r="AS56">
        <v>0</v>
      </c>
      <c r="AT56">
        <v>0</v>
      </c>
      <c r="AU56">
        <v>0</v>
      </c>
      <c r="AV56">
        <v>0</v>
      </c>
      <c r="AW56">
        <v>2</v>
      </c>
      <c r="AX56">
        <v>2</v>
      </c>
      <c r="AY56">
        <v>2</v>
      </c>
      <c r="AZ56">
        <v>1</v>
      </c>
      <c r="BA56">
        <v>1</v>
      </c>
      <c r="BB56">
        <v>1</v>
      </c>
      <c r="BC56" s="21">
        <v>9</v>
      </c>
      <c r="BD56">
        <v>1</v>
      </c>
      <c r="BE56">
        <v>0</v>
      </c>
      <c r="BF56">
        <v>0</v>
      </c>
      <c r="BG56" s="21">
        <v>1</v>
      </c>
    </row>
    <row r="57" spans="1:59" ht="15" customHeight="1" x14ac:dyDescent="0.25">
      <c r="A57" t="s">
        <v>947</v>
      </c>
      <c r="B57" s="21">
        <v>69</v>
      </c>
      <c r="C57" s="21">
        <v>1</v>
      </c>
      <c r="D57" s="21">
        <v>3</v>
      </c>
      <c r="E57" s="21">
        <v>1</v>
      </c>
      <c r="F57" s="21">
        <v>2</v>
      </c>
      <c r="G57" s="21">
        <v>2</v>
      </c>
      <c r="H57" s="21">
        <v>2</v>
      </c>
      <c r="I57" s="21">
        <v>2</v>
      </c>
      <c r="J57">
        <v>2</v>
      </c>
      <c r="K57" s="21">
        <v>2</v>
      </c>
      <c r="L57" s="21">
        <v>2</v>
      </c>
      <c r="M57" s="21">
        <v>2</v>
      </c>
      <c r="N57" s="21">
        <v>2</v>
      </c>
      <c r="AA57">
        <v>9</v>
      </c>
      <c r="AB57">
        <v>3</v>
      </c>
      <c r="AC57">
        <v>1</v>
      </c>
      <c r="AD57">
        <v>3</v>
      </c>
      <c r="AE57">
        <v>4</v>
      </c>
      <c r="AF57" s="21">
        <v>1</v>
      </c>
      <c r="AG57">
        <v>1</v>
      </c>
      <c r="AH57">
        <v>1</v>
      </c>
      <c r="AI57">
        <v>2</v>
      </c>
      <c r="AK57">
        <v>4</v>
      </c>
      <c r="AL57">
        <v>2</v>
      </c>
      <c r="AM57">
        <v>2</v>
      </c>
      <c r="AN57">
        <v>100</v>
      </c>
      <c r="AO57">
        <v>0</v>
      </c>
      <c r="AP57">
        <v>0</v>
      </c>
      <c r="AQ57">
        <v>0</v>
      </c>
      <c r="AR57">
        <v>0</v>
      </c>
      <c r="AS57">
        <v>0</v>
      </c>
      <c r="AT57">
        <v>0</v>
      </c>
      <c r="AU57">
        <v>0</v>
      </c>
      <c r="AV57">
        <v>0</v>
      </c>
      <c r="AW57">
        <v>1</v>
      </c>
      <c r="AX57">
        <v>2</v>
      </c>
      <c r="AY57">
        <v>2</v>
      </c>
      <c r="AZ57">
        <v>1</v>
      </c>
      <c r="BA57">
        <v>1</v>
      </c>
      <c r="BB57">
        <v>1</v>
      </c>
      <c r="BC57" s="21">
        <v>8</v>
      </c>
      <c r="BD57">
        <v>1</v>
      </c>
      <c r="BE57">
        <v>1</v>
      </c>
      <c r="BF57">
        <v>1</v>
      </c>
      <c r="BG57" s="21">
        <v>0</v>
      </c>
    </row>
    <row r="58" spans="1:59" s="8" customFormat="1" ht="15" customHeight="1" x14ac:dyDescent="0.25">
      <c r="A58" t="s">
        <v>225</v>
      </c>
      <c r="B58" s="21">
        <v>72</v>
      </c>
      <c r="C58" s="21">
        <v>1</v>
      </c>
      <c r="D58" s="21">
        <v>10</v>
      </c>
      <c r="E58" s="21">
        <v>2</v>
      </c>
      <c r="F58" s="21">
        <v>2</v>
      </c>
      <c r="G58" s="21">
        <v>2</v>
      </c>
      <c r="H58" s="21">
        <v>2</v>
      </c>
      <c r="I58" s="21">
        <v>2</v>
      </c>
      <c r="J58">
        <v>2</v>
      </c>
      <c r="K58" s="21">
        <v>2</v>
      </c>
      <c r="L58" s="21">
        <v>2</v>
      </c>
      <c r="M58" s="21">
        <v>2</v>
      </c>
      <c r="N58" s="21">
        <v>2</v>
      </c>
      <c r="O58">
        <v>12.1</v>
      </c>
      <c r="P58">
        <v>43.2</v>
      </c>
      <c r="Q58">
        <v>98.6</v>
      </c>
      <c r="R58">
        <v>77.569999999999993</v>
      </c>
      <c r="S58">
        <v>5.3</v>
      </c>
      <c r="T58">
        <v>166</v>
      </c>
      <c r="U58">
        <v>123.4</v>
      </c>
      <c r="V58">
        <v>25</v>
      </c>
      <c r="W58">
        <v>88</v>
      </c>
      <c r="X58">
        <v>17.600000000000001</v>
      </c>
      <c r="Y58">
        <v>2000</v>
      </c>
      <c r="Z58"/>
      <c r="AA58">
        <v>10</v>
      </c>
      <c r="AB58">
        <v>3</v>
      </c>
      <c r="AC58">
        <v>1</v>
      </c>
      <c r="AD58">
        <v>3</v>
      </c>
      <c r="AE58">
        <v>5</v>
      </c>
      <c r="AF58" s="21">
        <v>1</v>
      </c>
      <c r="AG58">
        <v>1</v>
      </c>
      <c r="AH58">
        <v>1</v>
      </c>
      <c r="AI58">
        <v>2</v>
      </c>
      <c r="AJ58"/>
      <c r="AK58">
        <v>4</v>
      </c>
      <c r="AL58">
        <v>2</v>
      </c>
      <c r="AM58">
        <v>2</v>
      </c>
      <c r="AN58">
        <v>80</v>
      </c>
      <c r="AO58">
        <v>0</v>
      </c>
      <c r="AP58">
        <v>0</v>
      </c>
      <c r="AQ58">
        <v>0</v>
      </c>
      <c r="AR58">
        <v>0</v>
      </c>
      <c r="AS58">
        <v>0</v>
      </c>
      <c r="AT58">
        <v>0</v>
      </c>
      <c r="AU58">
        <v>0</v>
      </c>
      <c r="AV58">
        <v>0</v>
      </c>
      <c r="AW58">
        <v>1</v>
      </c>
      <c r="AX58">
        <v>2</v>
      </c>
      <c r="AY58">
        <v>2</v>
      </c>
      <c r="AZ58">
        <v>1</v>
      </c>
      <c r="BA58">
        <v>1</v>
      </c>
      <c r="BB58">
        <v>1</v>
      </c>
      <c r="BC58" s="21">
        <v>8</v>
      </c>
      <c r="BD58">
        <v>0</v>
      </c>
      <c r="BE58">
        <v>0</v>
      </c>
      <c r="BF58">
        <v>0</v>
      </c>
      <c r="BG58" s="21">
        <v>2</v>
      </c>
    </row>
    <row r="59" spans="1:59" ht="15" customHeight="1" x14ac:dyDescent="0.25">
      <c r="A59" t="s">
        <v>459</v>
      </c>
      <c r="B59" s="21">
        <v>21</v>
      </c>
      <c r="C59" s="21">
        <v>1</v>
      </c>
      <c r="D59" s="21">
        <v>4</v>
      </c>
      <c r="E59" s="21">
        <v>2</v>
      </c>
      <c r="F59" s="21">
        <v>2</v>
      </c>
      <c r="G59" s="21">
        <v>2</v>
      </c>
      <c r="H59" s="21">
        <v>1</v>
      </c>
      <c r="I59" s="21">
        <v>2</v>
      </c>
      <c r="J59">
        <v>2</v>
      </c>
      <c r="K59" s="21">
        <v>2</v>
      </c>
      <c r="L59" s="21">
        <v>2</v>
      </c>
      <c r="M59" s="21">
        <v>2</v>
      </c>
      <c r="N59" s="21">
        <v>2</v>
      </c>
      <c r="AA59">
        <v>9</v>
      </c>
      <c r="AB59">
        <v>3</v>
      </c>
      <c r="AC59">
        <v>1</v>
      </c>
      <c r="AD59">
        <v>3</v>
      </c>
      <c r="AE59">
        <v>5</v>
      </c>
      <c r="AF59" s="21">
        <v>1</v>
      </c>
      <c r="AG59">
        <v>1</v>
      </c>
      <c r="AH59">
        <v>1</v>
      </c>
      <c r="AI59">
        <v>2</v>
      </c>
      <c r="AK59">
        <v>4</v>
      </c>
      <c r="AL59">
        <v>2</v>
      </c>
      <c r="AM59">
        <v>2</v>
      </c>
      <c r="AN59">
        <v>100</v>
      </c>
      <c r="AO59">
        <v>0</v>
      </c>
      <c r="AP59">
        <v>0</v>
      </c>
      <c r="AQ59">
        <v>0</v>
      </c>
      <c r="AR59">
        <v>0</v>
      </c>
      <c r="AS59">
        <v>0</v>
      </c>
      <c r="AT59">
        <v>0</v>
      </c>
      <c r="AU59">
        <v>0</v>
      </c>
      <c r="AV59">
        <v>1</v>
      </c>
      <c r="AW59">
        <v>2</v>
      </c>
      <c r="AX59">
        <v>2</v>
      </c>
      <c r="AY59">
        <v>2</v>
      </c>
      <c r="AZ59">
        <v>1</v>
      </c>
      <c r="BA59">
        <v>1</v>
      </c>
      <c r="BB59">
        <v>1</v>
      </c>
      <c r="BC59" s="21">
        <v>10</v>
      </c>
      <c r="BD59">
        <v>0</v>
      </c>
      <c r="BE59">
        <v>1</v>
      </c>
      <c r="BF59">
        <v>0</v>
      </c>
      <c r="BG59" s="21">
        <v>0</v>
      </c>
    </row>
    <row r="60" spans="1:59" s="8" customFormat="1" ht="15" customHeight="1" x14ac:dyDescent="0.25">
      <c r="A60" t="s">
        <v>452</v>
      </c>
      <c r="B60" s="21">
        <v>63</v>
      </c>
      <c r="C60" s="21">
        <v>1</v>
      </c>
      <c r="D60" s="21">
        <v>5</v>
      </c>
      <c r="E60" s="21">
        <v>2</v>
      </c>
      <c r="F60" s="21">
        <v>2</v>
      </c>
      <c r="G60" s="21">
        <v>1</v>
      </c>
      <c r="H60" s="21">
        <v>1</v>
      </c>
      <c r="I60" s="21">
        <v>2</v>
      </c>
      <c r="J60">
        <v>2</v>
      </c>
      <c r="K60" s="21">
        <v>2</v>
      </c>
      <c r="L60" s="21">
        <v>2</v>
      </c>
      <c r="M60" s="21">
        <v>2</v>
      </c>
      <c r="N60" s="21">
        <v>2</v>
      </c>
      <c r="O60">
        <v>13.3</v>
      </c>
      <c r="P60">
        <v>41.6</v>
      </c>
      <c r="Q60">
        <v>88.7</v>
      </c>
      <c r="R60">
        <v>81.180000000000007</v>
      </c>
      <c r="S60">
        <v>5.8</v>
      </c>
      <c r="T60">
        <v>174</v>
      </c>
      <c r="U60">
        <v>111.6</v>
      </c>
      <c r="V60">
        <v>33</v>
      </c>
      <c r="W60">
        <v>147</v>
      </c>
      <c r="X60">
        <v>29.4</v>
      </c>
      <c r="Y60">
        <v>148</v>
      </c>
      <c r="Z60"/>
      <c r="AA60">
        <v>9</v>
      </c>
      <c r="AB60">
        <v>3</v>
      </c>
      <c r="AC60">
        <v>1</v>
      </c>
      <c r="AD60">
        <v>3</v>
      </c>
      <c r="AE60">
        <v>5</v>
      </c>
      <c r="AF60" s="21">
        <v>1</v>
      </c>
      <c r="AG60">
        <v>1</v>
      </c>
      <c r="AH60">
        <v>1</v>
      </c>
      <c r="AI60">
        <v>2</v>
      </c>
      <c r="AJ60"/>
      <c r="AK60"/>
      <c r="AL60">
        <v>2</v>
      </c>
      <c r="AM60">
        <v>2</v>
      </c>
      <c r="AN60">
        <v>100</v>
      </c>
      <c r="AO60">
        <v>0</v>
      </c>
      <c r="AP60">
        <v>0</v>
      </c>
      <c r="AQ60">
        <v>0</v>
      </c>
      <c r="AR60">
        <v>0</v>
      </c>
      <c r="AS60">
        <v>0</v>
      </c>
      <c r="AT60">
        <v>0</v>
      </c>
      <c r="AU60">
        <v>0</v>
      </c>
      <c r="AV60">
        <v>1</v>
      </c>
      <c r="AW60">
        <v>2</v>
      </c>
      <c r="AX60">
        <v>2</v>
      </c>
      <c r="AY60">
        <v>2</v>
      </c>
      <c r="AZ60">
        <v>1</v>
      </c>
      <c r="BA60">
        <v>1</v>
      </c>
      <c r="BB60">
        <v>1</v>
      </c>
      <c r="BC60" s="21">
        <v>10</v>
      </c>
      <c r="BD60">
        <v>1</v>
      </c>
      <c r="BE60">
        <v>0</v>
      </c>
      <c r="BF60" t="s">
        <v>1040</v>
      </c>
      <c r="BG60" s="21">
        <v>0</v>
      </c>
    </row>
    <row r="61" spans="1:59" s="8" customFormat="1" ht="15" customHeight="1" x14ac:dyDescent="0.25">
      <c r="A61" t="s">
        <v>352</v>
      </c>
      <c r="B61" s="21">
        <v>77</v>
      </c>
      <c r="C61" s="21">
        <v>1</v>
      </c>
      <c r="D61" s="21"/>
      <c r="E61" s="21">
        <v>2</v>
      </c>
      <c r="F61" s="21">
        <v>2</v>
      </c>
      <c r="G61" s="21">
        <v>2</v>
      </c>
      <c r="H61" s="21">
        <v>2</v>
      </c>
      <c r="I61" s="21">
        <v>2</v>
      </c>
      <c r="J61">
        <v>2</v>
      </c>
      <c r="K61" s="21">
        <v>1</v>
      </c>
      <c r="L61" s="21">
        <v>1</v>
      </c>
      <c r="M61" s="21">
        <v>2</v>
      </c>
      <c r="N61" s="21">
        <v>2</v>
      </c>
      <c r="O61">
        <v>9.6</v>
      </c>
      <c r="P61">
        <v>31.9</v>
      </c>
      <c r="Q61">
        <v>69.8</v>
      </c>
      <c r="R61">
        <v>13.55</v>
      </c>
      <c r="S61">
        <v>5.6</v>
      </c>
      <c r="T61">
        <v>124</v>
      </c>
      <c r="U61">
        <v>70.400000000000006</v>
      </c>
      <c r="V61">
        <v>35</v>
      </c>
      <c r="W61">
        <v>93</v>
      </c>
      <c r="X61">
        <v>18.600000000000001</v>
      </c>
      <c r="Y61">
        <v>191</v>
      </c>
      <c r="Z61"/>
      <c r="AA61">
        <v>9</v>
      </c>
      <c r="AB61">
        <v>3</v>
      </c>
      <c r="AC61">
        <v>1</v>
      </c>
      <c r="AD61">
        <v>3</v>
      </c>
      <c r="AE61">
        <v>5</v>
      </c>
      <c r="AF61" s="21">
        <v>1</v>
      </c>
      <c r="AG61">
        <v>1</v>
      </c>
      <c r="AH61">
        <v>1</v>
      </c>
      <c r="AI61">
        <v>2</v>
      </c>
      <c r="AJ61"/>
      <c r="AK61">
        <v>3</v>
      </c>
      <c r="AL61">
        <v>2</v>
      </c>
      <c r="AM61">
        <v>2</v>
      </c>
      <c r="AN61">
        <v>75</v>
      </c>
      <c r="AO61">
        <v>0</v>
      </c>
      <c r="AP61">
        <v>0</v>
      </c>
      <c r="AQ61">
        <v>0</v>
      </c>
      <c r="AR61">
        <v>0</v>
      </c>
      <c r="AS61">
        <v>0</v>
      </c>
      <c r="AT61">
        <v>0</v>
      </c>
      <c r="AU61">
        <v>0</v>
      </c>
      <c r="AV61">
        <v>1</v>
      </c>
      <c r="AW61">
        <v>1</v>
      </c>
      <c r="AX61">
        <v>2</v>
      </c>
      <c r="AY61">
        <v>2</v>
      </c>
      <c r="AZ61">
        <v>1</v>
      </c>
      <c r="BA61">
        <v>1</v>
      </c>
      <c r="BB61">
        <v>1</v>
      </c>
      <c r="BC61" s="21">
        <v>9</v>
      </c>
      <c r="BD61">
        <v>0</v>
      </c>
      <c r="BE61">
        <v>0</v>
      </c>
      <c r="BF61">
        <v>0</v>
      </c>
      <c r="BG61" s="21">
        <v>0</v>
      </c>
    </row>
    <row r="62" spans="1:59" ht="15" customHeight="1" x14ac:dyDescent="0.25">
      <c r="A62" t="s">
        <v>372</v>
      </c>
      <c r="B62" s="21">
        <v>40</v>
      </c>
      <c r="C62" s="21">
        <v>1</v>
      </c>
      <c r="D62" s="21">
        <v>3</v>
      </c>
      <c r="E62" s="21">
        <v>2</v>
      </c>
      <c r="F62" s="21">
        <v>2</v>
      </c>
      <c r="G62" s="21">
        <v>2</v>
      </c>
      <c r="H62" s="21">
        <v>2</v>
      </c>
      <c r="I62" s="21">
        <v>2</v>
      </c>
      <c r="J62">
        <v>2</v>
      </c>
      <c r="K62" s="21">
        <v>2</v>
      </c>
      <c r="L62" s="21">
        <v>2</v>
      </c>
      <c r="M62" s="21">
        <v>2</v>
      </c>
      <c r="N62" s="21">
        <v>2</v>
      </c>
      <c r="O62">
        <v>17.100000000000001</v>
      </c>
      <c r="P62">
        <v>50.5</v>
      </c>
      <c r="Q62">
        <v>79.2</v>
      </c>
      <c r="R62">
        <v>30.87</v>
      </c>
      <c r="S62">
        <v>6.7</v>
      </c>
      <c r="Y62">
        <v>225</v>
      </c>
      <c r="Z62">
        <v>153</v>
      </c>
      <c r="AA62">
        <v>8</v>
      </c>
      <c r="AB62">
        <v>3</v>
      </c>
      <c r="AC62">
        <v>1</v>
      </c>
      <c r="AD62">
        <v>3</v>
      </c>
      <c r="AE62">
        <v>5</v>
      </c>
      <c r="AF62" s="21">
        <v>1</v>
      </c>
      <c r="AG62">
        <v>1</v>
      </c>
      <c r="AH62">
        <v>1</v>
      </c>
      <c r="AI62">
        <v>2</v>
      </c>
      <c r="AL62">
        <v>2</v>
      </c>
      <c r="AM62">
        <v>2</v>
      </c>
      <c r="AN62">
        <v>100</v>
      </c>
      <c r="AO62">
        <v>0</v>
      </c>
      <c r="AP62">
        <v>0</v>
      </c>
      <c r="AQ62">
        <v>0</v>
      </c>
      <c r="AR62">
        <v>0</v>
      </c>
      <c r="AS62">
        <v>0</v>
      </c>
      <c r="AT62">
        <v>0</v>
      </c>
      <c r="AU62">
        <v>0</v>
      </c>
      <c r="AV62">
        <v>1</v>
      </c>
      <c r="AW62">
        <v>2</v>
      </c>
      <c r="AX62">
        <v>2</v>
      </c>
      <c r="AY62">
        <v>2</v>
      </c>
      <c r="AZ62">
        <v>1</v>
      </c>
      <c r="BA62">
        <v>1</v>
      </c>
      <c r="BB62">
        <v>1</v>
      </c>
      <c r="BC62" s="21">
        <v>10</v>
      </c>
      <c r="BD62">
        <v>1</v>
      </c>
      <c r="BE62">
        <v>1</v>
      </c>
      <c r="BF62">
        <v>0</v>
      </c>
      <c r="BG62" s="21">
        <v>0</v>
      </c>
    </row>
    <row r="63" spans="1:59" ht="15" customHeight="1" x14ac:dyDescent="0.25">
      <c r="A63" t="s">
        <v>223</v>
      </c>
      <c r="B63" s="21">
        <v>50</v>
      </c>
      <c r="C63" s="21">
        <v>2</v>
      </c>
      <c r="D63" s="21">
        <v>4</v>
      </c>
      <c r="E63" s="21">
        <v>2</v>
      </c>
      <c r="F63" s="21">
        <v>1</v>
      </c>
      <c r="G63" s="21">
        <v>2</v>
      </c>
      <c r="H63" s="21">
        <v>1</v>
      </c>
      <c r="I63" s="21">
        <v>2</v>
      </c>
      <c r="J63">
        <v>2</v>
      </c>
      <c r="K63" s="21">
        <v>2</v>
      </c>
      <c r="L63" s="21">
        <v>2</v>
      </c>
      <c r="M63" s="21">
        <v>2</v>
      </c>
      <c r="N63" s="21">
        <v>2</v>
      </c>
      <c r="O63">
        <v>10.5</v>
      </c>
      <c r="P63">
        <v>33.9</v>
      </c>
      <c r="Q63">
        <v>75.900000000000006</v>
      </c>
      <c r="R63">
        <v>14.8</v>
      </c>
      <c r="T63">
        <v>293</v>
      </c>
      <c r="U63">
        <v>207.4</v>
      </c>
      <c r="V63">
        <v>73</v>
      </c>
      <c r="W63">
        <v>63</v>
      </c>
      <c r="X63">
        <v>12.6</v>
      </c>
      <c r="Y63">
        <v>194</v>
      </c>
      <c r="AA63">
        <v>9</v>
      </c>
      <c r="AB63">
        <v>3</v>
      </c>
      <c r="AC63">
        <v>1</v>
      </c>
      <c r="AD63">
        <v>3</v>
      </c>
      <c r="AE63">
        <v>5</v>
      </c>
      <c r="AF63" s="21">
        <v>1</v>
      </c>
      <c r="AG63">
        <v>1</v>
      </c>
      <c r="AH63">
        <v>1</v>
      </c>
      <c r="AI63">
        <v>2</v>
      </c>
      <c r="AK63">
        <v>4</v>
      </c>
      <c r="AM63">
        <v>2</v>
      </c>
      <c r="AN63">
        <v>95</v>
      </c>
      <c r="AO63">
        <v>1</v>
      </c>
      <c r="AP63">
        <v>2</v>
      </c>
      <c r="AQ63">
        <v>2</v>
      </c>
      <c r="AR63">
        <v>2</v>
      </c>
      <c r="AS63">
        <v>1</v>
      </c>
      <c r="AT63">
        <v>1</v>
      </c>
      <c r="AU63">
        <v>1</v>
      </c>
      <c r="AV63">
        <v>0</v>
      </c>
      <c r="AW63">
        <v>0</v>
      </c>
      <c r="AX63">
        <v>0</v>
      </c>
      <c r="AY63">
        <v>0</v>
      </c>
      <c r="AZ63">
        <v>0</v>
      </c>
      <c r="BA63">
        <v>0</v>
      </c>
      <c r="BB63">
        <v>0</v>
      </c>
      <c r="BC63" s="21">
        <v>10</v>
      </c>
      <c r="BD63">
        <v>1</v>
      </c>
      <c r="BE63">
        <v>1</v>
      </c>
      <c r="BF63">
        <v>0</v>
      </c>
      <c r="BG63" s="21">
        <v>1</v>
      </c>
    </row>
    <row r="64" spans="1:59" ht="15" customHeight="1" x14ac:dyDescent="0.25">
      <c r="A64" t="s">
        <v>492</v>
      </c>
      <c r="B64" s="21">
        <v>46</v>
      </c>
      <c r="C64" s="21">
        <v>1</v>
      </c>
      <c r="D64" s="21">
        <v>8</v>
      </c>
      <c r="E64" s="21">
        <v>1</v>
      </c>
      <c r="F64" s="21">
        <v>1</v>
      </c>
      <c r="G64" s="21">
        <v>2</v>
      </c>
      <c r="H64" s="21">
        <v>2</v>
      </c>
      <c r="I64" s="21">
        <v>2</v>
      </c>
      <c r="J64">
        <v>2</v>
      </c>
      <c r="K64" s="21">
        <v>2</v>
      </c>
      <c r="L64" s="21">
        <v>2</v>
      </c>
      <c r="M64" s="21">
        <v>2</v>
      </c>
      <c r="N64" s="21">
        <v>2</v>
      </c>
      <c r="O64">
        <v>11.4</v>
      </c>
      <c r="P64">
        <v>36.700000000000003</v>
      </c>
      <c r="Q64">
        <v>63.4</v>
      </c>
      <c r="R64">
        <v>8.7100000000000009</v>
      </c>
      <c r="S64">
        <v>10.4</v>
      </c>
      <c r="T64">
        <v>86</v>
      </c>
      <c r="U64">
        <v>35.4</v>
      </c>
      <c r="V64">
        <v>24</v>
      </c>
      <c r="W64">
        <v>133</v>
      </c>
      <c r="X64">
        <v>26.6</v>
      </c>
      <c r="Y64">
        <v>519</v>
      </c>
      <c r="AA64">
        <v>10</v>
      </c>
      <c r="AB64">
        <v>3</v>
      </c>
      <c r="AC64">
        <v>1</v>
      </c>
      <c r="AD64">
        <v>2</v>
      </c>
      <c r="AE64">
        <v>5</v>
      </c>
      <c r="AF64" s="21">
        <v>0</v>
      </c>
      <c r="AG64">
        <v>1</v>
      </c>
      <c r="AH64">
        <v>1</v>
      </c>
      <c r="AI64">
        <v>2</v>
      </c>
      <c r="AL64">
        <v>2</v>
      </c>
      <c r="AM64">
        <v>2</v>
      </c>
      <c r="AN64">
        <v>100</v>
      </c>
      <c r="AO64">
        <v>0</v>
      </c>
      <c r="AP64">
        <v>0</v>
      </c>
      <c r="AQ64">
        <v>0</v>
      </c>
      <c r="AR64">
        <v>0</v>
      </c>
      <c r="AS64">
        <v>0</v>
      </c>
      <c r="AT64">
        <v>0</v>
      </c>
      <c r="AU64">
        <v>0</v>
      </c>
      <c r="AV64">
        <v>1</v>
      </c>
      <c r="AW64">
        <v>2</v>
      </c>
      <c r="AX64">
        <v>2</v>
      </c>
      <c r="AY64">
        <v>2</v>
      </c>
      <c r="AZ64">
        <v>1</v>
      </c>
      <c r="BA64">
        <v>1</v>
      </c>
      <c r="BB64">
        <v>1</v>
      </c>
      <c r="BC64" s="21">
        <v>10</v>
      </c>
      <c r="BD64">
        <v>1</v>
      </c>
      <c r="BE64">
        <v>1</v>
      </c>
      <c r="BF64">
        <v>1</v>
      </c>
      <c r="BG64" s="21">
        <v>1</v>
      </c>
    </row>
    <row r="65" spans="1:59" ht="15" customHeight="1" x14ac:dyDescent="0.25">
      <c r="A65" t="s">
        <v>858</v>
      </c>
      <c r="B65" s="21">
        <v>63</v>
      </c>
      <c r="C65" s="21">
        <v>2</v>
      </c>
      <c r="D65" s="21">
        <v>5</v>
      </c>
      <c r="E65" s="21">
        <v>1</v>
      </c>
      <c r="F65" s="21">
        <v>1</v>
      </c>
      <c r="G65" s="21">
        <v>2</v>
      </c>
      <c r="H65" s="21">
        <v>2</v>
      </c>
      <c r="I65" s="21">
        <v>2</v>
      </c>
      <c r="J65">
        <v>2</v>
      </c>
      <c r="K65" s="21">
        <v>2</v>
      </c>
      <c r="L65" s="21">
        <v>2</v>
      </c>
      <c r="M65" s="21">
        <v>2</v>
      </c>
      <c r="N65" s="21">
        <v>2</v>
      </c>
      <c r="O65">
        <v>12.4</v>
      </c>
      <c r="P65">
        <v>36.799999999999997</v>
      </c>
      <c r="Q65">
        <v>85.3</v>
      </c>
      <c r="R65">
        <v>11.81</v>
      </c>
      <c r="S65">
        <v>6.3</v>
      </c>
      <c r="T65">
        <v>171</v>
      </c>
      <c r="U65">
        <v>94</v>
      </c>
      <c r="V65">
        <v>28</v>
      </c>
      <c r="W65">
        <v>245</v>
      </c>
      <c r="X65">
        <v>49</v>
      </c>
      <c r="AA65">
        <v>9</v>
      </c>
      <c r="AB65">
        <v>3</v>
      </c>
      <c r="AC65">
        <v>1</v>
      </c>
      <c r="AD65">
        <v>3</v>
      </c>
      <c r="AE65">
        <v>5</v>
      </c>
      <c r="AF65" s="21">
        <v>1</v>
      </c>
      <c r="AG65">
        <v>1</v>
      </c>
      <c r="AH65">
        <v>2</v>
      </c>
      <c r="AI65">
        <v>1</v>
      </c>
      <c r="AJ65">
        <v>2</v>
      </c>
      <c r="AL65">
        <v>2</v>
      </c>
      <c r="AM65">
        <v>2</v>
      </c>
      <c r="AN65">
        <v>65</v>
      </c>
      <c r="AO65">
        <v>0</v>
      </c>
      <c r="AP65">
        <v>0</v>
      </c>
      <c r="AQ65">
        <v>0</v>
      </c>
      <c r="AR65">
        <v>0</v>
      </c>
      <c r="AS65">
        <v>0</v>
      </c>
      <c r="AT65">
        <v>0</v>
      </c>
      <c r="AU65">
        <v>0</v>
      </c>
      <c r="AV65">
        <v>1</v>
      </c>
      <c r="AW65">
        <v>2</v>
      </c>
      <c r="AX65">
        <v>2</v>
      </c>
      <c r="AY65">
        <v>2</v>
      </c>
      <c r="AZ65">
        <v>1</v>
      </c>
      <c r="BA65">
        <v>1</v>
      </c>
      <c r="BB65">
        <v>1</v>
      </c>
      <c r="BC65" s="21">
        <v>10</v>
      </c>
      <c r="BD65">
        <v>1</v>
      </c>
      <c r="BE65">
        <v>1</v>
      </c>
      <c r="BF65">
        <v>0</v>
      </c>
      <c r="BG65" s="21">
        <v>1</v>
      </c>
    </row>
    <row r="66" spans="1:59" ht="15" customHeight="1" x14ac:dyDescent="0.25">
      <c r="A66" t="s">
        <v>526</v>
      </c>
      <c r="B66" s="21">
        <v>60</v>
      </c>
      <c r="C66" s="21">
        <v>2</v>
      </c>
      <c r="D66" s="21">
        <v>10</v>
      </c>
      <c r="E66" s="21">
        <v>1</v>
      </c>
      <c r="F66" s="21">
        <v>2</v>
      </c>
      <c r="G66" s="21">
        <v>2</v>
      </c>
      <c r="H66" s="21">
        <v>1</v>
      </c>
      <c r="I66" s="21">
        <v>2</v>
      </c>
      <c r="J66">
        <v>2</v>
      </c>
      <c r="K66" s="21">
        <v>2</v>
      </c>
      <c r="L66" s="21">
        <v>2</v>
      </c>
      <c r="M66" s="21">
        <v>2</v>
      </c>
      <c r="N66" s="21">
        <v>2</v>
      </c>
      <c r="O66">
        <v>14</v>
      </c>
      <c r="P66">
        <v>42.3</v>
      </c>
      <c r="Q66">
        <v>87.9</v>
      </c>
      <c r="R66">
        <v>15.99</v>
      </c>
      <c r="S66">
        <v>6</v>
      </c>
      <c r="T66">
        <v>231</v>
      </c>
      <c r="U66">
        <v>172.4</v>
      </c>
      <c r="V66">
        <v>38</v>
      </c>
      <c r="W66">
        <v>103</v>
      </c>
      <c r="X66">
        <v>20.6</v>
      </c>
      <c r="Y66">
        <v>217</v>
      </c>
      <c r="AA66">
        <v>9</v>
      </c>
      <c r="AB66">
        <v>3</v>
      </c>
      <c r="AC66">
        <v>1</v>
      </c>
      <c r="AD66">
        <v>3</v>
      </c>
      <c r="AE66">
        <v>5</v>
      </c>
      <c r="AF66" s="21">
        <v>1</v>
      </c>
      <c r="AG66">
        <v>1</v>
      </c>
      <c r="AH66">
        <v>1</v>
      </c>
      <c r="AI66">
        <v>2</v>
      </c>
      <c r="AL66">
        <v>2</v>
      </c>
      <c r="AM66">
        <v>2</v>
      </c>
      <c r="AN66">
        <v>100</v>
      </c>
      <c r="AO66">
        <v>0</v>
      </c>
      <c r="AP66">
        <v>0</v>
      </c>
      <c r="AQ66">
        <v>0</v>
      </c>
      <c r="AR66">
        <v>0</v>
      </c>
      <c r="AS66">
        <v>0</v>
      </c>
      <c r="AT66">
        <v>0</v>
      </c>
      <c r="AU66">
        <v>0</v>
      </c>
      <c r="AV66">
        <v>1</v>
      </c>
      <c r="AW66">
        <v>2</v>
      </c>
      <c r="AX66">
        <v>2</v>
      </c>
      <c r="AY66">
        <v>2</v>
      </c>
      <c r="AZ66">
        <v>1</v>
      </c>
      <c r="BA66">
        <v>1</v>
      </c>
      <c r="BB66">
        <v>1</v>
      </c>
      <c r="BC66" s="21">
        <v>10</v>
      </c>
      <c r="BD66">
        <v>0</v>
      </c>
      <c r="BE66">
        <v>0</v>
      </c>
      <c r="BF66">
        <v>0</v>
      </c>
      <c r="BG66" s="21">
        <v>1</v>
      </c>
    </row>
    <row r="67" spans="1:59" ht="15" customHeight="1" x14ac:dyDescent="0.25">
      <c r="A67" t="s">
        <v>253</v>
      </c>
      <c r="B67" s="21">
        <v>55</v>
      </c>
      <c r="C67" s="21">
        <v>2</v>
      </c>
      <c r="D67" s="21">
        <v>3</v>
      </c>
      <c r="E67" s="21">
        <v>1</v>
      </c>
      <c r="F67" s="21">
        <v>1</v>
      </c>
      <c r="G67" s="21">
        <v>2</v>
      </c>
      <c r="H67" s="21">
        <v>2</v>
      </c>
      <c r="I67" s="21">
        <v>2</v>
      </c>
      <c r="J67">
        <v>2</v>
      </c>
      <c r="K67" s="21">
        <v>2</v>
      </c>
      <c r="L67" s="21">
        <v>2</v>
      </c>
      <c r="M67" s="21">
        <v>2</v>
      </c>
      <c r="N67" s="21">
        <v>2</v>
      </c>
      <c r="O67">
        <v>10</v>
      </c>
      <c r="P67">
        <v>32.1</v>
      </c>
      <c r="R67">
        <v>19.98</v>
      </c>
      <c r="S67">
        <v>10.9</v>
      </c>
      <c r="Y67">
        <v>271</v>
      </c>
      <c r="AA67">
        <v>9</v>
      </c>
      <c r="AB67">
        <v>3</v>
      </c>
      <c r="AC67">
        <v>1</v>
      </c>
      <c r="AD67">
        <v>3</v>
      </c>
      <c r="AE67">
        <v>5</v>
      </c>
      <c r="AF67" s="21">
        <v>1</v>
      </c>
      <c r="AG67">
        <v>1</v>
      </c>
      <c r="AH67">
        <v>1</v>
      </c>
      <c r="AI67">
        <v>2</v>
      </c>
      <c r="AK67">
        <v>4</v>
      </c>
      <c r="AL67">
        <v>2</v>
      </c>
      <c r="AM67">
        <v>2</v>
      </c>
      <c r="AN67">
        <v>100</v>
      </c>
      <c r="AO67">
        <v>1</v>
      </c>
      <c r="AP67">
        <v>2</v>
      </c>
      <c r="AQ67">
        <v>2</v>
      </c>
      <c r="AR67">
        <v>2</v>
      </c>
      <c r="AS67">
        <v>1</v>
      </c>
      <c r="AT67">
        <v>1</v>
      </c>
      <c r="AU67">
        <v>1</v>
      </c>
      <c r="AV67">
        <v>0</v>
      </c>
      <c r="AW67">
        <v>0</v>
      </c>
      <c r="AX67">
        <v>0</v>
      </c>
      <c r="AY67">
        <v>0</v>
      </c>
      <c r="AZ67">
        <v>0</v>
      </c>
      <c r="BA67">
        <v>0</v>
      </c>
      <c r="BB67">
        <v>0</v>
      </c>
      <c r="BC67" s="21">
        <v>10</v>
      </c>
      <c r="BD67">
        <v>1</v>
      </c>
      <c r="BE67">
        <v>1</v>
      </c>
      <c r="BF67">
        <v>0</v>
      </c>
      <c r="BG67" s="21">
        <v>0</v>
      </c>
    </row>
    <row r="68" spans="1:59" ht="15" customHeight="1" x14ac:dyDescent="0.25">
      <c r="A68" t="s">
        <v>529</v>
      </c>
      <c r="B68" s="21">
        <v>30</v>
      </c>
      <c r="C68" s="21">
        <v>1</v>
      </c>
      <c r="D68" s="21">
        <v>2</v>
      </c>
      <c r="E68" s="21">
        <v>2</v>
      </c>
      <c r="F68" s="21">
        <v>2</v>
      </c>
      <c r="G68" s="21">
        <v>2</v>
      </c>
      <c r="H68" s="21">
        <v>2</v>
      </c>
      <c r="I68" s="21">
        <v>2</v>
      </c>
      <c r="J68">
        <v>2</v>
      </c>
      <c r="K68" s="21">
        <v>2</v>
      </c>
      <c r="L68" s="21">
        <v>2</v>
      </c>
      <c r="M68" s="21">
        <v>2</v>
      </c>
      <c r="N68" s="21">
        <v>2</v>
      </c>
      <c r="O68">
        <v>16.2</v>
      </c>
      <c r="P68">
        <v>47.8</v>
      </c>
      <c r="Q68">
        <v>89.6</v>
      </c>
      <c r="R68">
        <v>26.39</v>
      </c>
      <c r="S68">
        <v>5.6</v>
      </c>
      <c r="T68">
        <v>187</v>
      </c>
      <c r="U68">
        <v>132</v>
      </c>
      <c r="V68">
        <v>23</v>
      </c>
      <c r="W68">
        <v>158</v>
      </c>
      <c r="X68">
        <v>31.6</v>
      </c>
      <c r="AA68">
        <v>10</v>
      </c>
      <c r="AB68">
        <v>3</v>
      </c>
      <c r="AC68">
        <v>1</v>
      </c>
      <c r="AD68">
        <v>3</v>
      </c>
      <c r="AE68">
        <v>5</v>
      </c>
      <c r="AF68" s="21">
        <v>1</v>
      </c>
      <c r="AG68">
        <v>1</v>
      </c>
      <c r="AH68">
        <v>1</v>
      </c>
      <c r="AI68">
        <v>2</v>
      </c>
      <c r="AL68">
        <v>2</v>
      </c>
      <c r="AM68">
        <v>2</v>
      </c>
      <c r="AN68">
        <v>100</v>
      </c>
      <c r="AO68">
        <v>0</v>
      </c>
      <c r="AP68">
        <v>0</v>
      </c>
      <c r="AQ68">
        <v>0</v>
      </c>
      <c r="AR68">
        <v>0</v>
      </c>
      <c r="AS68">
        <v>0</v>
      </c>
      <c r="AT68">
        <v>0</v>
      </c>
      <c r="AU68">
        <v>0</v>
      </c>
      <c r="AV68">
        <v>1</v>
      </c>
      <c r="AW68">
        <v>2</v>
      </c>
      <c r="AX68">
        <v>2</v>
      </c>
      <c r="AY68">
        <v>2</v>
      </c>
      <c r="AZ68">
        <v>1</v>
      </c>
      <c r="BA68">
        <v>1</v>
      </c>
      <c r="BB68">
        <v>1</v>
      </c>
      <c r="BC68" s="21">
        <v>10</v>
      </c>
      <c r="BD68">
        <v>0</v>
      </c>
      <c r="BE68">
        <v>1</v>
      </c>
      <c r="BF68">
        <v>0</v>
      </c>
      <c r="BG68" s="21">
        <v>0</v>
      </c>
    </row>
    <row r="69" spans="1:59" ht="15" customHeight="1" x14ac:dyDescent="0.25">
      <c r="A69" t="s">
        <v>953</v>
      </c>
      <c r="B69" s="21">
        <v>70</v>
      </c>
      <c r="C69" s="21">
        <v>2</v>
      </c>
      <c r="D69" s="21">
        <v>2</v>
      </c>
      <c r="E69" s="21">
        <v>2</v>
      </c>
      <c r="F69" s="21">
        <v>2</v>
      </c>
      <c r="G69" s="21">
        <v>2</v>
      </c>
      <c r="H69" s="21">
        <v>2</v>
      </c>
      <c r="I69" s="21">
        <v>2</v>
      </c>
      <c r="J69">
        <v>2</v>
      </c>
      <c r="K69" s="21">
        <v>2</v>
      </c>
      <c r="L69" s="21">
        <v>2</v>
      </c>
      <c r="M69" s="21">
        <v>2</v>
      </c>
      <c r="N69" s="21">
        <v>2</v>
      </c>
      <c r="O69">
        <v>11.5</v>
      </c>
      <c r="R69">
        <v>11</v>
      </c>
      <c r="S69">
        <v>6.9</v>
      </c>
      <c r="T69">
        <v>218</v>
      </c>
      <c r="U69">
        <v>165</v>
      </c>
      <c r="V69">
        <v>33</v>
      </c>
      <c r="W69">
        <v>100</v>
      </c>
      <c r="X69">
        <v>20</v>
      </c>
      <c r="Y69">
        <v>310</v>
      </c>
      <c r="AA69">
        <v>10</v>
      </c>
      <c r="AB69">
        <v>3</v>
      </c>
      <c r="AC69">
        <v>1</v>
      </c>
      <c r="AD69">
        <v>3</v>
      </c>
      <c r="AE69">
        <v>5</v>
      </c>
      <c r="AF69" s="21">
        <v>1</v>
      </c>
      <c r="AG69">
        <v>1</v>
      </c>
      <c r="AH69">
        <v>1</v>
      </c>
      <c r="AI69">
        <v>2</v>
      </c>
      <c r="AK69">
        <v>4</v>
      </c>
      <c r="AL69">
        <v>2</v>
      </c>
      <c r="AM69">
        <v>2</v>
      </c>
      <c r="AN69">
        <v>50</v>
      </c>
      <c r="AO69">
        <v>1</v>
      </c>
      <c r="AP69">
        <v>2</v>
      </c>
      <c r="AQ69">
        <v>2</v>
      </c>
      <c r="AR69">
        <v>2</v>
      </c>
      <c r="AS69">
        <v>1</v>
      </c>
      <c r="AT69">
        <v>1</v>
      </c>
      <c r="AU69">
        <v>1</v>
      </c>
      <c r="AV69">
        <v>0</v>
      </c>
      <c r="AW69">
        <v>0</v>
      </c>
      <c r="AX69">
        <v>0</v>
      </c>
      <c r="AY69">
        <v>0</v>
      </c>
      <c r="AZ69">
        <v>0</v>
      </c>
      <c r="BA69">
        <v>0</v>
      </c>
      <c r="BB69">
        <v>0</v>
      </c>
      <c r="BC69" s="21">
        <v>10</v>
      </c>
      <c r="BD69">
        <v>1</v>
      </c>
      <c r="BE69">
        <v>1</v>
      </c>
      <c r="BF69">
        <v>1</v>
      </c>
      <c r="BG69" s="21">
        <v>2</v>
      </c>
    </row>
    <row r="70" spans="1:59" ht="15" customHeight="1" x14ac:dyDescent="0.25">
      <c r="A70" t="s">
        <v>907</v>
      </c>
      <c r="B70" s="21">
        <v>58</v>
      </c>
      <c r="C70" s="21">
        <v>1</v>
      </c>
      <c r="D70" s="21">
        <v>11</v>
      </c>
      <c r="E70" s="21">
        <v>2</v>
      </c>
      <c r="F70" s="21">
        <v>2</v>
      </c>
      <c r="G70" s="21">
        <v>1</v>
      </c>
      <c r="H70" s="21">
        <v>2</v>
      </c>
      <c r="I70" s="21">
        <v>2</v>
      </c>
      <c r="J70">
        <v>2</v>
      </c>
      <c r="K70" s="21">
        <v>2</v>
      </c>
      <c r="L70" s="21">
        <v>2</v>
      </c>
      <c r="M70" s="21">
        <v>2</v>
      </c>
      <c r="N70" s="21">
        <v>2</v>
      </c>
      <c r="O70">
        <v>17.2</v>
      </c>
      <c r="P70">
        <v>51.1</v>
      </c>
      <c r="Q70">
        <v>11.67</v>
      </c>
      <c r="S70">
        <v>4.8</v>
      </c>
      <c r="T70">
        <v>134</v>
      </c>
      <c r="U70">
        <v>78.599999999999994</v>
      </c>
      <c r="V70">
        <v>46</v>
      </c>
      <c r="W70">
        <v>47</v>
      </c>
      <c r="X70">
        <v>9.4</v>
      </c>
      <c r="AA70">
        <v>9</v>
      </c>
      <c r="AB70">
        <v>3</v>
      </c>
      <c r="AC70">
        <v>1</v>
      </c>
      <c r="AD70">
        <v>3</v>
      </c>
      <c r="AE70">
        <v>5</v>
      </c>
      <c r="AF70" s="21">
        <v>1</v>
      </c>
      <c r="AG70">
        <v>1</v>
      </c>
      <c r="AH70">
        <v>1</v>
      </c>
      <c r="AI70">
        <v>2</v>
      </c>
      <c r="AK70">
        <v>4</v>
      </c>
      <c r="AL70">
        <v>2</v>
      </c>
      <c r="AM70">
        <v>2</v>
      </c>
      <c r="AN70">
        <v>70</v>
      </c>
      <c r="AO70">
        <v>0</v>
      </c>
      <c r="AP70">
        <v>0</v>
      </c>
      <c r="AQ70">
        <v>0</v>
      </c>
      <c r="AR70">
        <v>0</v>
      </c>
      <c r="AS70">
        <v>0</v>
      </c>
      <c r="AT70">
        <v>0</v>
      </c>
      <c r="AU70">
        <v>0</v>
      </c>
      <c r="AV70">
        <v>1</v>
      </c>
      <c r="AW70">
        <v>2</v>
      </c>
      <c r="AX70">
        <v>2</v>
      </c>
      <c r="AY70">
        <v>2</v>
      </c>
      <c r="AZ70">
        <v>1</v>
      </c>
      <c r="BA70">
        <v>1</v>
      </c>
      <c r="BB70">
        <v>1</v>
      </c>
      <c r="BC70" s="21">
        <v>10</v>
      </c>
      <c r="BD70">
        <v>1</v>
      </c>
      <c r="BE70">
        <v>1</v>
      </c>
      <c r="BF70">
        <v>1</v>
      </c>
      <c r="BG70" s="21">
        <v>2</v>
      </c>
    </row>
    <row r="71" spans="1:59" ht="15" customHeight="1" x14ac:dyDescent="0.25">
      <c r="A71" t="s">
        <v>430</v>
      </c>
      <c r="B71" s="21">
        <v>52</v>
      </c>
      <c r="C71" s="21">
        <v>1</v>
      </c>
      <c r="D71" s="21">
        <v>8</v>
      </c>
      <c r="E71" s="21">
        <v>1</v>
      </c>
      <c r="F71" s="21">
        <v>1</v>
      </c>
      <c r="G71" s="21">
        <v>1</v>
      </c>
      <c r="H71" s="21">
        <v>2</v>
      </c>
      <c r="I71" s="21">
        <v>2</v>
      </c>
      <c r="J71">
        <v>2</v>
      </c>
      <c r="K71" s="21">
        <v>2</v>
      </c>
      <c r="L71" s="21">
        <v>2</v>
      </c>
      <c r="M71" s="21">
        <v>2</v>
      </c>
      <c r="N71" s="21">
        <v>2</v>
      </c>
      <c r="O71">
        <v>10.4</v>
      </c>
      <c r="P71">
        <v>32.700000000000003</v>
      </c>
      <c r="Q71">
        <v>75.900000000000006</v>
      </c>
      <c r="R71">
        <v>9.31</v>
      </c>
      <c r="S71">
        <v>10.5</v>
      </c>
      <c r="T71">
        <v>277</v>
      </c>
      <c r="V71">
        <v>38</v>
      </c>
      <c r="W71">
        <v>627</v>
      </c>
      <c r="Y71">
        <v>497</v>
      </c>
      <c r="AA71">
        <v>9</v>
      </c>
      <c r="AB71">
        <v>3</v>
      </c>
      <c r="AC71">
        <v>1</v>
      </c>
      <c r="AD71">
        <v>3</v>
      </c>
      <c r="AE71">
        <v>5</v>
      </c>
      <c r="AF71" s="21">
        <v>1</v>
      </c>
      <c r="AG71">
        <v>1</v>
      </c>
      <c r="AH71">
        <v>1</v>
      </c>
      <c r="AI71">
        <v>2</v>
      </c>
      <c r="AL71">
        <v>2</v>
      </c>
      <c r="AM71">
        <v>2</v>
      </c>
      <c r="AN71">
        <v>90</v>
      </c>
      <c r="AO71">
        <v>0</v>
      </c>
      <c r="AP71">
        <v>0</v>
      </c>
      <c r="AQ71">
        <v>0</v>
      </c>
      <c r="AR71">
        <v>0</v>
      </c>
      <c r="AS71">
        <v>0</v>
      </c>
      <c r="AT71">
        <v>0</v>
      </c>
      <c r="AU71">
        <v>0</v>
      </c>
      <c r="AV71">
        <v>0</v>
      </c>
      <c r="AW71">
        <v>2</v>
      </c>
      <c r="AX71">
        <v>2</v>
      </c>
      <c r="AY71">
        <v>2</v>
      </c>
      <c r="AZ71">
        <v>1</v>
      </c>
      <c r="BA71">
        <v>1</v>
      </c>
      <c r="BB71">
        <v>1</v>
      </c>
      <c r="BC71" s="21">
        <v>9</v>
      </c>
      <c r="BD71">
        <v>1</v>
      </c>
      <c r="BE71">
        <v>1</v>
      </c>
      <c r="BF71">
        <v>0</v>
      </c>
      <c r="BG71" s="21">
        <v>1</v>
      </c>
    </row>
    <row r="72" spans="1:59" ht="15" customHeight="1" x14ac:dyDescent="0.25">
      <c r="A72" t="s">
        <v>228</v>
      </c>
      <c r="B72" s="21">
        <v>59</v>
      </c>
      <c r="C72" s="21">
        <v>1</v>
      </c>
      <c r="D72" s="21">
        <v>3</v>
      </c>
      <c r="E72" s="21">
        <v>2</v>
      </c>
      <c r="F72" s="21">
        <v>1</v>
      </c>
      <c r="G72" s="21">
        <v>1</v>
      </c>
      <c r="H72" s="21">
        <v>1</v>
      </c>
      <c r="I72" s="21">
        <v>2</v>
      </c>
      <c r="J72">
        <v>2</v>
      </c>
      <c r="K72" s="21">
        <v>2</v>
      </c>
      <c r="L72" s="21">
        <v>2</v>
      </c>
      <c r="M72" s="21">
        <v>2</v>
      </c>
      <c r="N72" s="21">
        <v>2</v>
      </c>
      <c r="O72">
        <v>14.4</v>
      </c>
      <c r="R72">
        <v>11.3</v>
      </c>
      <c r="S72">
        <v>10.9</v>
      </c>
      <c r="T72">
        <v>153</v>
      </c>
      <c r="U72">
        <v>88.8</v>
      </c>
      <c r="V72">
        <v>47</v>
      </c>
      <c r="W72">
        <v>86</v>
      </c>
      <c r="AA72">
        <v>9</v>
      </c>
      <c r="AB72">
        <v>3</v>
      </c>
      <c r="AC72">
        <v>1</v>
      </c>
      <c r="AD72">
        <v>3</v>
      </c>
      <c r="AE72">
        <v>5</v>
      </c>
      <c r="AF72" s="21">
        <v>1</v>
      </c>
      <c r="AG72">
        <v>1</v>
      </c>
      <c r="AH72">
        <v>1</v>
      </c>
      <c r="AI72">
        <v>2</v>
      </c>
      <c r="AK72">
        <v>4</v>
      </c>
      <c r="AN72">
        <v>40</v>
      </c>
      <c r="AO72">
        <v>1</v>
      </c>
      <c r="AP72">
        <v>2</v>
      </c>
      <c r="AQ72">
        <v>2</v>
      </c>
      <c r="AR72">
        <v>2</v>
      </c>
      <c r="AS72">
        <v>1</v>
      </c>
      <c r="AT72">
        <v>1</v>
      </c>
      <c r="AU72">
        <v>1</v>
      </c>
      <c r="AV72">
        <v>0</v>
      </c>
      <c r="AW72">
        <v>0</v>
      </c>
      <c r="AX72">
        <v>0</v>
      </c>
      <c r="AY72">
        <v>0</v>
      </c>
      <c r="AZ72">
        <v>0</v>
      </c>
      <c r="BA72">
        <v>0</v>
      </c>
      <c r="BB72">
        <v>0</v>
      </c>
      <c r="BC72" s="21">
        <v>10</v>
      </c>
      <c r="BD72">
        <v>1</v>
      </c>
      <c r="BE72">
        <v>1</v>
      </c>
      <c r="BF72">
        <v>0</v>
      </c>
      <c r="BG72" s="21">
        <v>4</v>
      </c>
    </row>
    <row r="73" spans="1:59" ht="15" customHeight="1" x14ac:dyDescent="0.25">
      <c r="A73" t="s">
        <v>798</v>
      </c>
      <c r="B73" s="21">
        <v>40</v>
      </c>
      <c r="C73" s="21">
        <v>1</v>
      </c>
      <c r="D73" s="21">
        <v>4</v>
      </c>
      <c r="E73" s="21">
        <v>1</v>
      </c>
      <c r="F73" s="21">
        <v>2</v>
      </c>
      <c r="G73" s="21">
        <v>1</v>
      </c>
      <c r="H73" s="21">
        <v>1</v>
      </c>
      <c r="I73" s="21">
        <v>1</v>
      </c>
      <c r="J73">
        <v>2</v>
      </c>
      <c r="K73" s="21">
        <v>2</v>
      </c>
      <c r="L73" s="21">
        <v>2</v>
      </c>
      <c r="M73" s="21">
        <v>2</v>
      </c>
      <c r="N73" s="21">
        <v>2</v>
      </c>
      <c r="O73">
        <v>13.6</v>
      </c>
      <c r="P73">
        <v>39.700000000000003</v>
      </c>
      <c r="Q73">
        <v>10.64</v>
      </c>
      <c r="R73">
        <v>40.25</v>
      </c>
      <c r="S73">
        <v>4.7</v>
      </c>
      <c r="T73">
        <v>144</v>
      </c>
      <c r="U73">
        <v>87.8</v>
      </c>
      <c r="V73">
        <v>43</v>
      </c>
      <c r="W73">
        <v>66</v>
      </c>
      <c r="X73">
        <v>13.2</v>
      </c>
      <c r="Y73">
        <v>2000</v>
      </c>
      <c r="AA73">
        <v>8</v>
      </c>
      <c r="AB73">
        <v>3</v>
      </c>
      <c r="AC73">
        <v>1</v>
      </c>
      <c r="AD73">
        <v>3</v>
      </c>
      <c r="AE73">
        <v>3</v>
      </c>
      <c r="AF73" s="21">
        <v>0</v>
      </c>
      <c r="AG73">
        <v>1</v>
      </c>
      <c r="AH73">
        <v>1</v>
      </c>
      <c r="AI73">
        <v>2</v>
      </c>
      <c r="AL73">
        <v>2</v>
      </c>
      <c r="AM73">
        <v>2</v>
      </c>
      <c r="AN73">
        <v>100</v>
      </c>
      <c r="AO73">
        <v>1</v>
      </c>
      <c r="AP73">
        <v>2</v>
      </c>
      <c r="AQ73">
        <v>2</v>
      </c>
      <c r="AR73">
        <v>2</v>
      </c>
      <c r="AS73">
        <v>1</v>
      </c>
      <c r="AT73">
        <v>1</v>
      </c>
      <c r="AU73">
        <v>1</v>
      </c>
      <c r="BC73" s="21">
        <v>10</v>
      </c>
      <c r="BD73">
        <v>1</v>
      </c>
      <c r="BE73">
        <v>1</v>
      </c>
      <c r="BF73">
        <v>1</v>
      </c>
      <c r="BG73" s="21">
        <v>0</v>
      </c>
    </row>
    <row r="74" spans="1:59" ht="15" customHeight="1" x14ac:dyDescent="0.25">
      <c r="A74" t="s">
        <v>56</v>
      </c>
      <c r="B74" s="21">
        <v>57</v>
      </c>
      <c r="C74" s="21">
        <v>1</v>
      </c>
      <c r="D74" s="21">
        <v>6</v>
      </c>
      <c r="E74" s="21">
        <v>2</v>
      </c>
      <c r="F74" s="21">
        <v>2</v>
      </c>
      <c r="G74" s="21">
        <v>1</v>
      </c>
      <c r="H74" s="21">
        <v>1</v>
      </c>
      <c r="I74" s="21">
        <v>1</v>
      </c>
      <c r="J74">
        <v>2</v>
      </c>
      <c r="K74" s="21">
        <v>2</v>
      </c>
      <c r="L74" s="21">
        <v>2</v>
      </c>
      <c r="M74" s="21">
        <v>2</v>
      </c>
      <c r="N74" s="21">
        <v>2</v>
      </c>
      <c r="O74">
        <v>10.7</v>
      </c>
      <c r="P74">
        <v>35.299999999999997</v>
      </c>
      <c r="Q74">
        <v>75.2</v>
      </c>
      <c r="R74">
        <v>36.47</v>
      </c>
      <c r="S74">
        <v>6.4</v>
      </c>
      <c r="T74">
        <v>146</v>
      </c>
      <c r="U74">
        <v>88</v>
      </c>
      <c r="V74">
        <v>38</v>
      </c>
      <c r="W74">
        <v>100</v>
      </c>
      <c r="X74">
        <v>20</v>
      </c>
      <c r="Y74">
        <v>220</v>
      </c>
      <c r="Z74">
        <v>20</v>
      </c>
      <c r="AA74">
        <v>9</v>
      </c>
      <c r="AB74">
        <v>3</v>
      </c>
      <c r="AC74">
        <v>1</v>
      </c>
      <c r="AD74">
        <v>3</v>
      </c>
      <c r="AE74">
        <v>5</v>
      </c>
      <c r="AF74" s="21">
        <v>1</v>
      </c>
      <c r="AG74">
        <v>1</v>
      </c>
      <c r="AH74">
        <v>1</v>
      </c>
      <c r="AI74">
        <v>2</v>
      </c>
      <c r="AN74">
        <v>95</v>
      </c>
      <c r="AO74">
        <v>0</v>
      </c>
      <c r="AP74">
        <v>0</v>
      </c>
      <c r="AQ74">
        <v>0</v>
      </c>
      <c r="AR74">
        <v>0</v>
      </c>
      <c r="AS74">
        <v>0</v>
      </c>
      <c r="AT74">
        <v>0</v>
      </c>
      <c r="AU74">
        <v>0</v>
      </c>
      <c r="AV74">
        <v>1</v>
      </c>
      <c r="AW74">
        <v>2</v>
      </c>
      <c r="AX74">
        <v>2</v>
      </c>
      <c r="AY74">
        <v>2</v>
      </c>
      <c r="AZ74">
        <v>1</v>
      </c>
      <c r="BA74">
        <v>1</v>
      </c>
      <c r="BB74">
        <v>1</v>
      </c>
      <c r="BC74" s="21">
        <v>10</v>
      </c>
      <c r="BD74">
        <v>1</v>
      </c>
      <c r="BE74">
        <v>1</v>
      </c>
      <c r="BF74">
        <v>0</v>
      </c>
      <c r="BG74" s="21">
        <v>1</v>
      </c>
    </row>
    <row r="75" spans="1:59" ht="15" customHeight="1" x14ac:dyDescent="0.25">
      <c r="A75" s="8" t="s">
        <v>28</v>
      </c>
      <c r="B75" s="21">
        <v>60</v>
      </c>
      <c r="C75" s="21">
        <v>2</v>
      </c>
      <c r="D75" s="21">
        <v>8</v>
      </c>
      <c r="E75" s="21">
        <v>1</v>
      </c>
      <c r="F75" s="21">
        <v>1</v>
      </c>
      <c r="G75" s="21">
        <v>2</v>
      </c>
      <c r="H75" s="21">
        <v>1</v>
      </c>
      <c r="I75" s="21">
        <v>2</v>
      </c>
      <c r="J75" s="8">
        <v>2</v>
      </c>
      <c r="K75" s="21">
        <v>2</v>
      </c>
      <c r="L75" s="21">
        <v>2</v>
      </c>
      <c r="M75" s="21">
        <v>2</v>
      </c>
      <c r="N75" s="21">
        <v>2</v>
      </c>
      <c r="O75" s="8">
        <v>10.1</v>
      </c>
      <c r="P75" s="8"/>
      <c r="Q75" s="8"/>
      <c r="R75" s="8">
        <v>14</v>
      </c>
      <c r="S75" s="8">
        <v>8.1999999999999993</v>
      </c>
      <c r="T75" s="8">
        <v>176</v>
      </c>
      <c r="U75" s="8">
        <v>112.6</v>
      </c>
      <c r="V75" s="8">
        <v>41</v>
      </c>
      <c r="W75" s="8">
        <v>112</v>
      </c>
      <c r="X75" s="8">
        <v>22.4</v>
      </c>
      <c r="Y75" s="8">
        <v>148</v>
      </c>
      <c r="Z75" s="8"/>
      <c r="AA75" s="8">
        <v>9</v>
      </c>
      <c r="AB75" s="8">
        <v>3</v>
      </c>
      <c r="AC75" s="8">
        <v>1</v>
      </c>
      <c r="AD75" s="8">
        <v>3</v>
      </c>
      <c r="AE75" s="8">
        <v>5</v>
      </c>
      <c r="AF75" s="21">
        <v>1</v>
      </c>
      <c r="AG75" s="8">
        <v>1</v>
      </c>
      <c r="AH75" s="8">
        <v>1</v>
      </c>
      <c r="AI75" s="8">
        <v>2</v>
      </c>
      <c r="AJ75" s="8"/>
      <c r="AK75" s="8"/>
      <c r="AL75" s="8"/>
      <c r="AM75" s="8"/>
      <c r="AN75" s="8">
        <v>90</v>
      </c>
      <c r="AO75" s="8"/>
      <c r="AP75" s="8"/>
      <c r="AQ75" s="8"/>
      <c r="AR75" s="8"/>
      <c r="AS75" s="8"/>
      <c r="AT75" s="8"/>
      <c r="AU75" s="8"/>
      <c r="AV75" s="8">
        <v>1</v>
      </c>
      <c r="AW75" s="8">
        <v>2</v>
      </c>
      <c r="AX75" s="8">
        <v>2</v>
      </c>
      <c r="AY75" s="8">
        <v>2</v>
      </c>
      <c r="AZ75" s="8">
        <v>1</v>
      </c>
      <c r="BA75" s="8">
        <v>1</v>
      </c>
      <c r="BB75" s="8">
        <v>1</v>
      </c>
      <c r="BC75" s="21">
        <v>10</v>
      </c>
      <c r="BD75" s="8">
        <v>1</v>
      </c>
      <c r="BE75" s="8">
        <v>1</v>
      </c>
      <c r="BF75" s="8">
        <v>1</v>
      </c>
      <c r="BG75" s="21">
        <v>2</v>
      </c>
    </row>
    <row r="76" spans="1:59" ht="15" customHeight="1" x14ac:dyDescent="0.25">
      <c r="A76" t="s">
        <v>867</v>
      </c>
      <c r="B76" s="21">
        <v>77</v>
      </c>
      <c r="C76" s="21">
        <v>1</v>
      </c>
      <c r="D76" s="21">
        <v>11</v>
      </c>
      <c r="E76" s="21">
        <v>1</v>
      </c>
      <c r="F76" s="21">
        <v>2</v>
      </c>
      <c r="G76" s="21">
        <v>2</v>
      </c>
      <c r="H76" s="21">
        <v>2</v>
      </c>
      <c r="I76" s="21">
        <v>2</v>
      </c>
      <c r="J76">
        <v>2</v>
      </c>
      <c r="K76" s="21">
        <v>2</v>
      </c>
      <c r="L76" s="21">
        <v>1</v>
      </c>
      <c r="M76" s="21">
        <v>2</v>
      </c>
      <c r="N76" s="21">
        <v>1</v>
      </c>
      <c r="O76">
        <v>14.4</v>
      </c>
      <c r="P76">
        <v>44.2</v>
      </c>
      <c r="Q76">
        <v>88.8</v>
      </c>
      <c r="R76">
        <v>26.4</v>
      </c>
      <c r="S76">
        <v>5.8</v>
      </c>
      <c r="T76">
        <v>216</v>
      </c>
      <c r="U76">
        <v>156</v>
      </c>
      <c r="V76">
        <v>44</v>
      </c>
      <c r="W76">
        <v>76</v>
      </c>
      <c r="X76">
        <v>15.2</v>
      </c>
      <c r="Y76">
        <v>174</v>
      </c>
      <c r="AA76">
        <v>9</v>
      </c>
      <c r="AB76">
        <v>3</v>
      </c>
      <c r="AC76">
        <v>1</v>
      </c>
      <c r="AD76">
        <v>3</v>
      </c>
      <c r="AE76">
        <v>5</v>
      </c>
      <c r="AF76" s="21">
        <v>1</v>
      </c>
      <c r="AG76">
        <v>1</v>
      </c>
      <c r="AH76">
        <v>1</v>
      </c>
      <c r="AI76">
        <v>2</v>
      </c>
      <c r="AK76">
        <v>4</v>
      </c>
      <c r="AL76">
        <v>2</v>
      </c>
      <c r="AM76">
        <v>2</v>
      </c>
      <c r="AN76">
        <v>0</v>
      </c>
      <c r="AO76">
        <v>0</v>
      </c>
      <c r="AP76">
        <v>0</v>
      </c>
      <c r="AQ76">
        <v>0</v>
      </c>
      <c r="AR76">
        <v>0</v>
      </c>
      <c r="AS76">
        <v>0</v>
      </c>
      <c r="AT76">
        <v>0</v>
      </c>
      <c r="AU76">
        <v>0</v>
      </c>
      <c r="AV76">
        <v>0</v>
      </c>
      <c r="AW76">
        <v>1</v>
      </c>
      <c r="AX76">
        <v>2</v>
      </c>
      <c r="AY76">
        <v>2</v>
      </c>
      <c r="AZ76">
        <v>1</v>
      </c>
      <c r="BA76">
        <v>1</v>
      </c>
      <c r="BB76">
        <v>1</v>
      </c>
      <c r="BC76" s="21">
        <v>8</v>
      </c>
      <c r="BD76">
        <v>1</v>
      </c>
      <c r="BE76">
        <v>1</v>
      </c>
      <c r="BF76">
        <v>1</v>
      </c>
      <c r="BG76" s="21">
        <v>6</v>
      </c>
    </row>
    <row r="77" spans="1:59" ht="15" customHeight="1" x14ac:dyDescent="0.25">
      <c r="A77" t="s">
        <v>946</v>
      </c>
      <c r="B77" s="21">
        <v>50</v>
      </c>
      <c r="C77" s="21">
        <v>1</v>
      </c>
      <c r="D77" s="21">
        <v>3</v>
      </c>
      <c r="E77" s="21">
        <v>2</v>
      </c>
      <c r="F77" s="21">
        <v>2</v>
      </c>
      <c r="G77" s="21">
        <v>1</v>
      </c>
      <c r="H77" s="21">
        <v>1</v>
      </c>
      <c r="I77" s="21">
        <v>2</v>
      </c>
      <c r="J77">
        <v>2</v>
      </c>
      <c r="K77" s="21">
        <v>2</v>
      </c>
      <c r="L77" s="21">
        <v>2</v>
      </c>
      <c r="M77" s="21">
        <v>2</v>
      </c>
      <c r="N77" s="21">
        <v>2</v>
      </c>
      <c r="O77">
        <v>12.6</v>
      </c>
      <c r="R77">
        <v>13.65</v>
      </c>
      <c r="Y77">
        <v>665</v>
      </c>
      <c r="AA77">
        <v>10</v>
      </c>
      <c r="AB77">
        <v>3</v>
      </c>
      <c r="AC77">
        <v>1</v>
      </c>
      <c r="AD77">
        <v>3</v>
      </c>
      <c r="AE77">
        <v>4</v>
      </c>
      <c r="AF77" s="21">
        <v>1</v>
      </c>
      <c r="AG77">
        <v>1</v>
      </c>
      <c r="AH77">
        <v>1</v>
      </c>
      <c r="AI77">
        <v>2</v>
      </c>
      <c r="AK77">
        <v>4</v>
      </c>
      <c r="AL77">
        <v>2</v>
      </c>
      <c r="AM77">
        <v>2</v>
      </c>
      <c r="AN77">
        <v>100</v>
      </c>
      <c r="AV77">
        <v>1</v>
      </c>
      <c r="AW77">
        <v>2</v>
      </c>
      <c r="AX77">
        <v>2</v>
      </c>
      <c r="AY77">
        <v>2</v>
      </c>
      <c r="AZ77">
        <v>1</v>
      </c>
      <c r="BA77">
        <v>1</v>
      </c>
      <c r="BB77">
        <v>1</v>
      </c>
      <c r="BC77" s="21">
        <v>10</v>
      </c>
      <c r="BD77">
        <v>1</v>
      </c>
      <c r="BE77">
        <v>1</v>
      </c>
      <c r="BF77">
        <v>1</v>
      </c>
      <c r="BG77" s="21">
        <v>0</v>
      </c>
    </row>
    <row r="78" spans="1:59" ht="15" customHeight="1" x14ac:dyDescent="0.25">
      <c r="A78" t="s">
        <v>270</v>
      </c>
      <c r="B78" s="21">
        <v>50</v>
      </c>
      <c r="C78" s="21">
        <v>1</v>
      </c>
      <c r="D78" s="21">
        <v>2</v>
      </c>
      <c r="E78" s="21">
        <v>1</v>
      </c>
      <c r="F78" s="21">
        <v>2</v>
      </c>
      <c r="G78" s="21">
        <v>2</v>
      </c>
      <c r="H78" s="21">
        <v>2</v>
      </c>
      <c r="I78" s="21">
        <v>2</v>
      </c>
      <c r="J78">
        <v>2</v>
      </c>
      <c r="K78" s="21">
        <v>2</v>
      </c>
      <c r="L78" s="21">
        <v>2</v>
      </c>
      <c r="M78" s="21">
        <v>2</v>
      </c>
      <c r="N78" s="21">
        <v>2</v>
      </c>
      <c r="AA78">
        <v>9</v>
      </c>
      <c r="AB78">
        <v>3</v>
      </c>
      <c r="AC78">
        <v>1</v>
      </c>
      <c r="AD78">
        <v>3</v>
      </c>
      <c r="AE78">
        <v>5</v>
      </c>
      <c r="AF78" s="21">
        <v>1</v>
      </c>
      <c r="AG78">
        <v>1</v>
      </c>
      <c r="AH78">
        <v>1</v>
      </c>
      <c r="AI78">
        <v>2</v>
      </c>
      <c r="AK78">
        <v>4</v>
      </c>
      <c r="AL78">
        <v>2</v>
      </c>
      <c r="AM78">
        <v>2</v>
      </c>
      <c r="AN78">
        <v>100</v>
      </c>
      <c r="AO78">
        <v>1</v>
      </c>
      <c r="AP78">
        <v>2</v>
      </c>
      <c r="AQ78">
        <v>2</v>
      </c>
      <c r="AR78">
        <v>2</v>
      </c>
      <c r="AS78">
        <v>1</v>
      </c>
      <c r="AT78">
        <v>1</v>
      </c>
      <c r="AU78">
        <v>1</v>
      </c>
      <c r="AV78">
        <v>0</v>
      </c>
      <c r="AW78">
        <v>0</v>
      </c>
      <c r="AX78">
        <v>0</v>
      </c>
      <c r="AY78">
        <v>0</v>
      </c>
      <c r="AZ78">
        <v>0</v>
      </c>
      <c r="BA78">
        <v>0</v>
      </c>
      <c r="BB78">
        <v>0</v>
      </c>
      <c r="BC78" s="21">
        <v>10</v>
      </c>
      <c r="BD78">
        <v>1</v>
      </c>
      <c r="BE78">
        <v>1</v>
      </c>
      <c r="BF78">
        <v>1</v>
      </c>
      <c r="BG78" s="21">
        <v>0</v>
      </c>
    </row>
    <row r="79" spans="1:59" ht="15" customHeight="1" x14ac:dyDescent="0.25">
      <c r="A79" t="s">
        <v>10</v>
      </c>
      <c r="B79" s="21">
        <v>55</v>
      </c>
      <c r="C79" s="21">
        <v>1</v>
      </c>
      <c r="D79" s="21">
        <v>8</v>
      </c>
      <c r="E79" s="21">
        <v>1</v>
      </c>
      <c r="F79" s="21">
        <v>1</v>
      </c>
      <c r="G79" s="21">
        <v>2</v>
      </c>
      <c r="H79" s="21">
        <v>2</v>
      </c>
      <c r="I79" s="21">
        <v>2</v>
      </c>
      <c r="J79">
        <v>2</v>
      </c>
      <c r="K79" s="21">
        <v>2</v>
      </c>
      <c r="L79" s="21">
        <v>1</v>
      </c>
      <c r="M79" s="21">
        <v>2</v>
      </c>
      <c r="N79" s="21">
        <v>2</v>
      </c>
      <c r="O79">
        <v>13.2</v>
      </c>
      <c r="P79">
        <v>39.4</v>
      </c>
      <c r="Q79">
        <v>81.400000000000006</v>
      </c>
      <c r="R79">
        <v>10.9</v>
      </c>
      <c r="S79">
        <v>8.5</v>
      </c>
      <c r="T79">
        <v>96</v>
      </c>
      <c r="U79">
        <v>42.6</v>
      </c>
      <c r="V79">
        <v>33</v>
      </c>
      <c r="W79">
        <v>102</v>
      </c>
      <c r="X79">
        <v>20.399999999999999</v>
      </c>
      <c r="Y79">
        <v>213</v>
      </c>
      <c r="AA79">
        <v>8</v>
      </c>
      <c r="AB79">
        <v>3</v>
      </c>
      <c r="AC79">
        <v>1</v>
      </c>
      <c r="AD79">
        <v>2</v>
      </c>
      <c r="AE79">
        <v>4</v>
      </c>
      <c r="AF79" s="21">
        <v>0</v>
      </c>
      <c r="AG79">
        <v>1</v>
      </c>
      <c r="AH79">
        <v>2</v>
      </c>
      <c r="AI79">
        <v>2</v>
      </c>
      <c r="AL79">
        <v>2</v>
      </c>
      <c r="AM79">
        <v>1</v>
      </c>
      <c r="AN79">
        <v>45</v>
      </c>
      <c r="AO79">
        <v>0</v>
      </c>
      <c r="AP79">
        <v>2</v>
      </c>
      <c r="AQ79">
        <v>2</v>
      </c>
      <c r="AR79">
        <v>1</v>
      </c>
      <c r="AS79">
        <v>1</v>
      </c>
      <c r="AT79">
        <v>1</v>
      </c>
      <c r="AU79">
        <v>1</v>
      </c>
      <c r="AV79">
        <v>0</v>
      </c>
      <c r="AW79">
        <v>0</v>
      </c>
      <c r="AX79">
        <v>0</v>
      </c>
      <c r="AY79">
        <v>0</v>
      </c>
      <c r="AZ79">
        <v>0</v>
      </c>
      <c r="BA79">
        <v>0</v>
      </c>
      <c r="BB79">
        <v>0</v>
      </c>
      <c r="BC79" s="21">
        <v>8</v>
      </c>
      <c r="BD79">
        <v>1</v>
      </c>
      <c r="BE79">
        <v>0</v>
      </c>
      <c r="BF79" t="s">
        <v>971</v>
      </c>
      <c r="BG79" s="21">
        <v>4</v>
      </c>
    </row>
    <row r="80" spans="1:59" ht="15" customHeight="1" x14ac:dyDescent="0.25">
      <c r="A80" t="s">
        <v>533</v>
      </c>
      <c r="B80" s="21">
        <v>65</v>
      </c>
      <c r="C80" s="21">
        <v>2</v>
      </c>
      <c r="D80" s="21">
        <v>6</v>
      </c>
      <c r="E80" s="21">
        <v>2</v>
      </c>
      <c r="F80" s="21">
        <v>2</v>
      </c>
      <c r="G80" s="21">
        <v>2</v>
      </c>
      <c r="H80" s="21">
        <v>1</v>
      </c>
      <c r="I80" s="21">
        <v>2</v>
      </c>
      <c r="J80">
        <v>2</v>
      </c>
      <c r="K80" s="21">
        <v>1</v>
      </c>
      <c r="L80" s="21">
        <v>2</v>
      </c>
      <c r="M80" s="21">
        <v>2</v>
      </c>
      <c r="N80" s="21">
        <v>2</v>
      </c>
      <c r="O80">
        <v>12.3</v>
      </c>
      <c r="P80">
        <v>37.200000000000003</v>
      </c>
      <c r="Q80">
        <v>92.4</v>
      </c>
      <c r="R80">
        <v>10.210000000000001</v>
      </c>
      <c r="Y80">
        <v>2000</v>
      </c>
      <c r="AA80">
        <v>10</v>
      </c>
      <c r="AB80">
        <v>3</v>
      </c>
      <c r="AC80">
        <v>1</v>
      </c>
      <c r="AD80">
        <v>3</v>
      </c>
      <c r="AE80">
        <v>4</v>
      </c>
      <c r="AF80" s="21">
        <v>1</v>
      </c>
      <c r="AG80">
        <v>1</v>
      </c>
      <c r="AH80">
        <v>2</v>
      </c>
      <c r="AI80">
        <v>1</v>
      </c>
      <c r="AJ80">
        <v>2</v>
      </c>
      <c r="AK80">
        <v>3</v>
      </c>
      <c r="AL80">
        <v>2</v>
      </c>
      <c r="AM80">
        <v>2</v>
      </c>
      <c r="AN80">
        <v>100</v>
      </c>
      <c r="AO80">
        <v>1</v>
      </c>
      <c r="AP80">
        <v>2</v>
      </c>
      <c r="AQ80">
        <v>1</v>
      </c>
      <c r="AR80">
        <v>2</v>
      </c>
      <c r="AS80">
        <v>1</v>
      </c>
      <c r="AT80">
        <v>1</v>
      </c>
      <c r="AU80">
        <v>1</v>
      </c>
      <c r="AV80">
        <v>0</v>
      </c>
      <c r="AW80">
        <v>0</v>
      </c>
      <c r="AX80">
        <v>0</v>
      </c>
      <c r="AY80">
        <v>0</v>
      </c>
      <c r="AZ80">
        <v>0</v>
      </c>
      <c r="BA80">
        <v>0</v>
      </c>
      <c r="BB80">
        <v>0</v>
      </c>
      <c r="BC80" s="21">
        <v>9</v>
      </c>
      <c r="BD80">
        <v>1</v>
      </c>
      <c r="BE80">
        <v>1</v>
      </c>
      <c r="BF80">
        <v>0</v>
      </c>
      <c r="BG80" s="21">
        <v>0</v>
      </c>
    </row>
    <row r="81" spans="1:59" ht="15" customHeight="1" x14ac:dyDescent="0.25">
      <c r="A81" t="s">
        <v>329</v>
      </c>
      <c r="B81" s="21">
        <v>70</v>
      </c>
      <c r="C81" s="21">
        <v>2</v>
      </c>
      <c r="D81" s="21">
        <v>9</v>
      </c>
      <c r="E81" s="21">
        <v>2</v>
      </c>
      <c r="F81" s="21">
        <v>2</v>
      </c>
      <c r="G81" s="21">
        <v>2</v>
      </c>
      <c r="H81" s="21">
        <v>2</v>
      </c>
      <c r="I81" s="21">
        <v>2</v>
      </c>
      <c r="J81">
        <v>2</v>
      </c>
      <c r="K81" s="21">
        <v>2</v>
      </c>
      <c r="L81" s="21">
        <v>2</v>
      </c>
      <c r="M81" s="21">
        <v>2</v>
      </c>
      <c r="N81" s="21">
        <v>2</v>
      </c>
      <c r="O81">
        <v>10.7</v>
      </c>
      <c r="P81">
        <v>32</v>
      </c>
      <c r="Q81">
        <v>85</v>
      </c>
      <c r="R81">
        <v>29</v>
      </c>
      <c r="S81">
        <v>6.3</v>
      </c>
      <c r="Y81">
        <v>189</v>
      </c>
      <c r="AA81">
        <v>8</v>
      </c>
      <c r="AB81">
        <v>3</v>
      </c>
      <c r="AC81">
        <v>1</v>
      </c>
      <c r="AD81">
        <v>3</v>
      </c>
      <c r="AE81">
        <v>5</v>
      </c>
      <c r="AF81" s="21">
        <v>1</v>
      </c>
      <c r="AG81">
        <v>1</v>
      </c>
      <c r="AH81">
        <v>1</v>
      </c>
      <c r="AI81">
        <v>2</v>
      </c>
      <c r="AL81">
        <v>2</v>
      </c>
      <c r="AM81">
        <v>2</v>
      </c>
      <c r="AN81">
        <v>85</v>
      </c>
      <c r="AO81">
        <v>1</v>
      </c>
      <c r="AP81">
        <v>2</v>
      </c>
      <c r="AQ81">
        <v>2</v>
      </c>
      <c r="AR81">
        <v>2</v>
      </c>
      <c r="AS81">
        <v>1</v>
      </c>
      <c r="AT81">
        <v>1</v>
      </c>
      <c r="AU81">
        <v>1</v>
      </c>
      <c r="AV81">
        <v>0</v>
      </c>
      <c r="AW81">
        <v>0</v>
      </c>
      <c r="AX81">
        <v>0</v>
      </c>
      <c r="AY81">
        <v>0</v>
      </c>
      <c r="AZ81">
        <v>0</v>
      </c>
      <c r="BA81">
        <v>0</v>
      </c>
      <c r="BB81">
        <v>0</v>
      </c>
      <c r="BC81" s="21">
        <v>10</v>
      </c>
      <c r="BD81">
        <v>1</v>
      </c>
      <c r="BE81">
        <v>1</v>
      </c>
      <c r="BF81">
        <v>0</v>
      </c>
      <c r="BG81" s="21">
        <v>1</v>
      </c>
    </row>
    <row r="82" spans="1:59" ht="15" customHeight="1" x14ac:dyDescent="0.25">
      <c r="A82" t="s">
        <v>36</v>
      </c>
      <c r="B82" s="21">
        <v>70</v>
      </c>
      <c r="C82" s="21">
        <v>2</v>
      </c>
      <c r="D82" s="21">
        <v>2</v>
      </c>
      <c r="E82" s="21">
        <v>2</v>
      </c>
      <c r="F82" s="21">
        <v>2</v>
      </c>
      <c r="G82" s="21">
        <v>2</v>
      </c>
      <c r="H82" s="21">
        <v>2</v>
      </c>
      <c r="I82" s="21">
        <v>2</v>
      </c>
      <c r="J82">
        <v>2</v>
      </c>
      <c r="K82" s="21">
        <v>1</v>
      </c>
      <c r="L82" s="21">
        <v>2</v>
      </c>
      <c r="M82" s="21">
        <v>2</v>
      </c>
      <c r="N82" s="21">
        <v>2</v>
      </c>
      <c r="O82">
        <v>15.3</v>
      </c>
      <c r="T82">
        <v>209</v>
      </c>
      <c r="U82">
        <v>134</v>
      </c>
      <c r="V82">
        <v>53</v>
      </c>
      <c r="AA82">
        <v>9</v>
      </c>
      <c r="AB82">
        <v>3</v>
      </c>
      <c r="AC82">
        <v>1</v>
      </c>
      <c r="AD82">
        <v>3</v>
      </c>
      <c r="AE82">
        <v>5</v>
      </c>
      <c r="AF82" s="21">
        <v>1</v>
      </c>
      <c r="AG82">
        <v>1</v>
      </c>
      <c r="AH82">
        <v>2</v>
      </c>
      <c r="AI82">
        <v>2</v>
      </c>
      <c r="AK82">
        <v>3</v>
      </c>
      <c r="AN82">
        <v>90</v>
      </c>
      <c r="AO82">
        <v>0</v>
      </c>
      <c r="AP82">
        <v>0</v>
      </c>
      <c r="AQ82">
        <v>0</v>
      </c>
      <c r="AR82">
        <v>0</v>
      </c>
      <c r="AS82">
        <v>0</v>
      </c>
      <c r="AT82">
        <v>0</v>
      </c>
      <c r="AU82">
        <v>0</v>
      </c>
      <c r="AV82">
        <v>1</v>
      </c>
      <c r="AW82">
        <v>2</v>
      </c>
      <c r="AX82">
        <v>2</v>
      </c>
      <c r="AY82">
        <v>2</v>
      </c>
      <c r="AZ82">
        <v>1</v>
      </c>
      <c r="BA82">
        <v>1</v>
      </c>
      <c r="BB82">
        <v>1</v>
      </c>
      <c r="BC82" s="21">
        <v>10</v>
      </c>
      <c r="BD82">
        <v>0</v>
      </c>
      <c r="BE82">
        <v>1</v>
      </c>
      <c r="BF82" t="s">
        <v>980</v>
      </c>
      <c r="BG82" s="21">
        <v>0</v>
      </c>
    </row>
    <row r="83" spans="1:59" ht="15" customHeight="1" x14ac:dyDescent="0.25">
      <c r="A83" t="s">
        <v>409</v>
      </c>
      <c r="B83" s="21">
        <v>58</v>
      </c>
      <c r="C83" s="21">
        <v>1</v>
      </c>
      <c r="D83" s="21">
        <v>2</v>
      </c>
      <c r="E83" s="21">
        <v>1</v>
      </c>
      <c r="F83" s="21">
        <v>1</v>
      </c>
      <c r="G83" s="21">
        <v>2</v>
      </c>
      <c r="H83" s="21">
        <v>2</v>
      </c>
      <c r="I83" s="21">
        <v>2</v>
      </c>
      <c r="J83">
        <v>2</v>
      </c>
      <c r="K83" s="21">
        <v>2</v>
      </c>
      <c r="L83" s="21">
        <v>2</v>
      </c>
      <c r="M83" s="21">
        <v>2</v>
      </c>
      <c r="N83" s="21">
        <v>2</v>
      </c>
      <c r="O83">
        <v>12.4</v>
      </c>
      <c r="P83">
        <v>38.6</v>
      </c>
      <c r="Q83">
        <v>83.2</v>
      </c>
      <c r="R83">
        <v>18.309999999999999</v>
      </c>
      <c r="S83">
        <v>9.1999999999999993</v>
      </c>
      <c r="T83">
        <v>115</v>
      </c>
      <c r="U83">
        <v>68.2</v>
      </c>
      <c r="V83">
        <v>19</v>
      </c>
      <c r="W83">
        <v>139</v>
      </c>
      <c r="X83">
        <v>27.8</v>
      </c>
      <c r="Y83">
        <v>209</v>
      </c>
      <c r="AA83">
        <v>10</v>
      </c>
      <c r="AB83">
        <v>3</v>
      </c>
      <c r="AC83">
        <v>1</v>
      </c>
      <c r="AD83">
        <v>3</v>
      </c>
      <c r="AE83">
        <v>5</v>
      </c>
      <c r="AF83" s="21">
        <v>1</v>
      </c>
      <c r="AG83">
        <v>1</v>
      </c>
      <c r="AH83">
        <v>1</v>
      </c>
      <c r="AI83">
        <v>2</v>
      </c>
      <c r="AL83">
        <v>2</v>
      </c>
      <c r="AM83">
        <v>2</v>
      </c>
      <c r="AN83">
        <v>100</v>
      </c>
      <c r="AO83">
        <v>0</v>
      </c>
      <c r="AP83">
        <v>2</v>
      </c>
      <c r="AQ83">
        <v>2</v>
      </c>
      <c r="AR83">
        <v>2</v>
      </c>
      <c r="AS83">
        <v>1</v>
      </c>
      <c r="AT83">
        <v>1</v>
      </c>
      <c r="AU83">
        <v>1</v>
      </c>
      <c r="AV83">
        <v>0</v>
      </c>
      <c r="AW83">
        <v>0</v>
      </c>
      <c r="AX83">
        <v>0</v>
      </c>
      <c r="AY83">
        <v>0</v>
      </c>
      <c r="AZ83">
        <v>0</v>
      </c>
      <c r="BA83">
        <v>0</v>
      </c>
      <c r="BB83">
        <v>0</v>
      </c>
      <c r="BC83" s="21">
        <v>9</v>
      </c>
      <c r="BD83">
        <v>1</v>
      </c>
      <c r="BE83">
        <v>0</v>
      </c>
      <c r="BF83" t="s">
        <v>1084</v>
      </c>
      <c r="BG83" s="21">
        <v>1</v>
      </c>
    </row>
    <row r="84" spans="1:59" ht="15" customHeight="1" x14ac:dyDescent="0.25">
      <c r="A84" s="8" t="s">
        <v>401</v>
      </c>
      <c r="B84" s="21">
        <v>72</v>
      </c>
      <c r="C84" s="21">
        <v>1</v>
      </c>
      <c r="D84" s="21">
        <v>2</v>
      </c>
      <c r="E84" s="21">
        <v>2</v>
      </c>
      <c r="F84" s="21">
        <v>1</v>
      </c>
      <c r="G84" s="21">
        <v>2</v>
      </c>
      <c r="H84" s="21">
        <v>1</v>
      </c>
      <c r="I84" s="21">
        <v>2</v>
      </c>
      <c r="J84" s="8">
        <v>2</v>
      </c>
      <c r="K84" s="21">
        <v>2</v>
      </c>
      <c r="L84" s="21">
        <v>2</v>
      </c>
      <c r="M84" s="21">
        <v>2</v>
      </c>
      <c r="N84" s="21">
        <v>2</v>
      </c>
      <c r="O84" s="8">
        <v>11.8</v>
      </c>
      <c r="P84" s="8">
        <v>38.799999999999997</v>
      </c>
      <c r="Q84" s="8">
        <v>62.2</v>
      </c>
      <c r="R84" s="8">
        <v>24.64</v>
      </c>
      <c r="S84" s="8">
        <v>7.3</v>
      </c>
      <c r="T84" s="8">
        <v>157</v>
      </c>
      <c r="U84" s="8">
        <v>107.2</v>
      </c>
      <c r="V84" s="8">
        <v>24</v>
      </c>
      <c r="W84" s="8">
        <v>129</v>
      </c>
      <c r="X84" s="8">
        <v>25.8</v>
      </c>
      <c r="Y84" s="8">
        <v>657</v>
      </c>
      <c r="Z84" s="8"/>
      <c r="AA84" s="8">
        <v>10</v>
      </c>
      <c r="AB84" s="8">
        <v>3</v>
      </c>
      <c r="AC84" s="8">
        <v>1</v>
      </c>
      <c r="AD84" s="8">
        <v>3</v>
      </c>
      <c r="AE84" s="8">
        <v>5</v>
      </c>
      <c r="AF84" s="21">
        <v>1</v>
      </c>
      <c r="AG84" s="8">
        <v>1</v>
      </c>
      <c r="AH84" s="8">
        <v>1</v>
      </c>
      <c r="AI84" s="8">
        <v>2</v>
      </c>
      <c r="AJ84" s="8"/>
      <c r="AK84" s="8"/>
      <c r="AL84" s="8">
        <v>2</v>
      </c>
      <c r="AM84" s="8">
        <v>2</v>
      </c>
      <c r="AN84" s="8">
        <v>100</v>
      </c>
      <c r="AO84" s="8">
        <v>1</v>
      </c>
      <c r="AP84" s="8">
        <v>2</v>
      </c>
      <c r="AQ84" s="8">
        <v>2</v>
      </c>
      <c r="AR84" s="8">
        <v>2</v>
      </c>
      <c r="AS84" s="8">
        <v>1</v>
      </c>
      <c r="AT84" s="8">
        <v>1</v>
      </c>
      <c r="AU84" s="8">
        <v>1</v>
      </c>
      <c r="AV84" s="8"/>
      <c r="AW84" s="8"/>
      <c r="AX84" s="8"/>
      <c r="AY84" s="8"/>
      <c r="AZ84" s="8"/>
      <c r="BA84" s="8"/>
      <c r="BB84" s="8"/>
      <c r="BC84" s="21">
        <v>10</v>
      </c>
      <c r="BD84" s="8">
        <v>1</v>
      </c>
      <c r="BE84" s="8">
        <v>1</v>
      </c>
      <c r="BF84" s="8">
        <v>1</v>
      </c>
      <c r="BG84" s="21">
        <v>1</v>
      </c>
    </row>
    <row r="85" spans="1:59" ht="15" customHeight="1" x14ac:dyDescent="0.25">
      <c r="A85" t="s">
        <v>532</v>
      </c>
      <c r="B85" s="21">
        <v>69</v>
      </c>
      <c r="C85" s="21">
        <v>1</v>
      </c>
      <c r="D85" s="21">
        <v>10</v>
      </c>
      <c r="E85" s="21">
        <v>1</v>
      </c>
      <c r="F85" s="21">
        <v>2</v>
      </c>
      <c r="G85" s="21">
        <v>2</v>
      </c>
      <c r="H85" s="21">
        <v>2</v>
      </c>
      <c r="I85" s="21">
        <v>2</v>
      </c>
      <c r="J85">
        <v>2</v>
      </c>
      <c r="K85" s="21">
        <v>1</v>
      </c>
      <c r="L85" s="21">
        <v>2</v>
      </c>
      <c r="M85" s="21">
        <v>2</v>
      </c>
      <c r="N85" s="21">
        <v>2</v>
      </c>
      <c r="O85">
        <v>13.6</v>
      </c>
      <c r="P85">
        <v>41.4</v>
      </c>
      <c r="Q85">
        <v>85</v>
      </c>
      <c r="R85">
        <v>27.41</v>
      </c>
      <c r="S85">
        <v>6.4</v>
      </c>
      <c r="T85">
        <v>97</v>
      </c>
      <c r="U85">
        <v>54.6</v>
      </c>
      <c r="V85">
        <v>28</v>
      </c>
      <c r="W85">
        <v>72</v>
      </c>
      <c r="X85">
        <v>14.4</v>
      </c>
      <c r="Y85">
        <v>175</v>
      </c>
      <c r="Z85">
        <v>290</v>
      </c>
      <c r="AA85">
        <v>9</v>
      </c>
      <c r="AB85">
        <v>3</v>
      </c>
      <c r="AC85">
        <v>1</v>
      </c>
      <c r="AD85">
        <v>2</v>
      </c>
      <c r="AE85">
        <v>4</v>
      </c>
      <c r="AF85" s="21">
        <v>0</v>
      </c>
      <c r="AG85">
        <v>1</v>
      </c>
      <c r="AH85">
        <v>2</v>
      </c>
      <c r="AI85">
        <v>1</v>
      </c>
      <c r="AK85">
        <v>1</v>
      </c>
      <c r="AL85">
        <v>1</v>
      </c>
      <c r="AM85">
        <v>2</v>
      </c>
      <c r="AO85">
        <v>1</v>
      </c>
      <c r="AP85">
        <v>2</v>
      </c>
      <c r="AQ85">
        <v>1</v>
      </c>
      <c r="AR85">
        <v>2</v>
      </c>
      <c r="AS85">
        <v>1</v>
      </c>
      <c r="AT85">
        <v>1</v>
      </c>
      <c r="AU85">
        <v>1</v>
      </c>
      <c r="AV85">
        <v>0</v>
      </c>
      <c r="AW85">
        <v>0</v>
      </c>
      <c r="AX85">
        <v>0</v>
      </c>
      <c r="AY85">
        <v>0</v>
      </c>
      <c r="AZ85">
        <v>0</v>
      </c>
      <c r="BA85">
        <v>0</v>
      </c>
      <c r="BB85">
        <v>0</v>
      </c>
      <c r="BC85" s="21">
        <v>9</v>
      </c>
      <c r="BD85">
        <v>1</v>
      </c>
      <c r="BE85">
        <v>1</v>
      </c>
      <c r="BF85">
        <v>0</v>
      </c>
      <c r="BG85" s="21">
        <v>0</v>
      </c>
    </row>
    <row r="86" spans="1:59" ht="15" customHeight="1" x14ac:dyDescent="0.25">
      <c r="A86" t="s">
        <v>557</v>
      </c>
      <c r="B86" s="21">
        <v>45</v>
      </c>
      <c r="C86" s="21">
        <v>1</v>
      </c>
      <c r="D86" s="21">
        <v>1</v>
      </c>
      <c r="E86" s="21">
        <v>2</v>
      </c>
      <c r="F86" s="21">
        <v>2</v>
      </c>
      <c r="G86" s="21">
        <v>1</v>
      </c>
      <c r="H86" s="21">
        <v>1</v>
      </c>
      <c r="I86" s="21">
        <v>2</v>
      </c>
      <c r="J86">
        <v>2</v>
      </c>
      <c r="K86" s="21">
        <v>2</v>
      </c>
      <c r="L86" s="21">
        <v>2</v>
      </c>
      <c r="M86" s="21">
        <v>2</v>
      </c>
      <c r="N86" s="21">
        <v>2</v>
      </c>
      <c r="O86">
        <v>17.7</v>
      </c>
      <c r="Q86">
        <v>10.56</v>
      </c>
      <c r="R86">
        <v>45.5</v>
      </c>
      <c r="S86">
        <v>5.0999999999999996</v>
      </c>
      <c r="T86">
        <v>190</v>
      </c>
      <c r="U86">
        <v>103</v>
      </c>
      <c r="V86">
        <v>28</v>
      </c>
      <c r="W86">
        <v>293</v>
      </c>
      <c r="X86">
        <v>58</v>
      </c>
      <c r="Y86">
        <v>35</v>
      </c>
      <c r="AA86">
        <v>10</v>
      </c>
      <c r="AB86">
        <v>3</v>
      </c>
      <c r="AC86">
        <v>1</v>
      </c>
      <c r="AD86">
        <v>3</v>
      </c>
      <c r="AE86">
        <v>5</v>
      </c>
      <c r="AF86" s="21">
        <v>1</v>
      </c>
      <c r="AG86">
        <v>1</v>
      </c>
      <c r="AH86">
        <v>1</v>
      </c>
      <c r="AI86">
        <v>2</v>
      </c>
      <c r="AL86">
        <v>2</v>
      </c>
      <c r="AM86">
        <v>2</v>
      </c>
      <c r="AN86">
        <v>100</v>
      </c>
      <c r="AO86">
        <v>0</v>
      </c>
      <c r="AP86">
        <v>1</v>
      </c>
      <c r="AQ86">
        <v>1</v>
      </c>
      <c r="AR86">
        <v>2</v>
      </c>
      <c r="AS86">
        <v>1</v>
      </c>
      <c r="AT86">
        <v>1</v>
      </c>
      <c r="AU86">
        <v>1</v>
      </c>
      <c r="AV86">
        <v>0</v>
      </c>
      <c r="AW86">
        <v>0</v>
      </c>
      <c r="AX86">
        <v>0</v>
      </c>
      <c r="AY86">
        <v>0</v>
      </c>
      <c r="AZ86">
        <v>0</v>
      </c>
      <c r="BA86">
        <v>0</v>
      </c>
      <c r="BB86">
        <v>0</v>
      </c>
      <c r="BC86" s="21">
        <v>7</v>
      </c>
      <c r="BD86">
        <v>1</v>
      </c>
      <c r="BE86">
        <v>0</v>
      </c>
      <c r="BF86">
        <v>0</v>
      </c>
      <c r="BG86" s="21">
        <v>0</v>
      </c>
    </row>
    <row r="87" spans="1:59" ht="15" customHeight="1" x14ac:dyDescent="0.25">
      <c r="A87" t="s">
        <v>436</v>
      </c>
      <c r="B87" s="21">
        <v>62</v>
      </c>
      <c r="C87" s="21">
        <v>2</v>
      </c>
      <c r="D87" s="21">
        <v>12</v>
      </c>
      <c r="E87" s="21">
        <v>1</v>
      </c>
      <c r="F87" s="21">
        <v>2</v>
      </c>
      <c r="G87" s="21">
        <v>2</v>
      </c>
      <c r="H87" s="21">
        <v>1</v>
      </c>
      <c r="I87" s="21">
        <v>2</v>
      </c>
      <c r="J87">
        <v>2</v>
      </c>
      <c r="K87" s="21">
        <v>2</v>
      </c>
      <c r="L87" s="21">
        <v>2</v>
      </c>
      <c r="M87" s="21">
        <v>2</v>
      </c>
      <c r="N87" s="21">
        <v>2</v>
      </c>
      <c r="O87">
        <v>12.5</v>
      </c>
      <c r="P87">
        <v>37.299999999999997</v>
      </c>
      <c r="Q87">
        <v>10.66</v>
      </c>
      <c r="R87">
        <v>46.2</v>
      </c>
      <c r="S87">
        <v>6.1</v>
      </c>
      <c r="T87">
        <v>210</v>
      </c>
      <c r="U87">
        <v>151.4</v>
      </c>
      <c r="V87">
        <v>40</v>
      </c>
      <c r="W87">
        <v>93</v>
      </c>
      <c r="X87">
        <v>18.600000000000001</v>
      </c>
      <c r="Y87">
        <v>221</v>
      </c>
      <c r="AA87">
        <v>7</v>
      </c>
      <c r="AB87">
        <v>3</v>
      </c>
      <c r="AC87">
        <v>1</v>
      </c>
      <c r="AD87">
        <v>3</v>
      </c>
      <c r="AE87">
        <v>5</v>
      </c>
      <c r="AF87" s="21">
        <v>1</v>
      </c>
      <c r="AG87">
        <v>1</v>
      </c>
      <c r="AH87">
        <v>1</v>
      </c>
      <c r="AI87">
        <v>2</v>
      </c>
      <c r="AL87">
        <v>2</v>
      </c>
      <c r="AM87">
        <v>2</v>
      </c>
      <c r="AN87">
        <v>80</v>
      </c>
      <c r="AO87">
        <v>1</v>
      </c>
      <c r="AP87">
        <v>2</v>
      </c>
      <c r="AQ87">
        <v>2</v>
      </c>
      <c r="AR87">
        <v>2</v>
      </c>
      <c r="AS87">
        <v>1</v>
      </c>
      <c r="AT87">
        <v>1</v>
      </c>
      <c r="AU87">
        <v>1</v>
      </c>
      <c r="AV87">
        <v>0</v>
      </c>
      <c r="AW87">
        <v>0</v>
      </c>
      <c r="AX87">
        <v>0</v>
      </c>
      <c r="AY87">
        <v>0</v>
      </c>
      <c r="AZ87">
        <v>0</v>
      </c>
      <c r="BA87">
        <v>0</v>
      </c>
      <c r="BB87">
        <v>0</v>
      </c>
      <c r="BC87" s="21">
        <v>10</v>
      </c>
      <c r="BD87">
        <v>1</v>
      </c>
      <c r="BE87">
        <v>1</v>
      </c>
      <c r="BF87">
        <v>0</v>
      </c>
      <c r="BG87" s="21">
        <v>1</v>
      </c>
    </row>
    <row r="88" spans="1:59" ht="15" customHeight="1" x14ac:dyDescent="0.25">
      <c r="A88" t="s">
        <v>416</v>
      </c>
      <c r="B88" s="21">
        <v>56</v>
      </c>
      <c r="C88" s="21">
        <v>2</v>
      </c>
      <c r="D88" s="21">
        <v>10</v>
      </c>
      <c r="E88" s="21">
        <v>1</v>
      </c>
      <c r="F88" s="21">
        <v>1</v>
      </c>
      <c r="G88" s="21">
        <v>2</v>
      </c>
      <c r="H88" s="21">
        <v>1</v>
      </c>
      <c r="I88" s="21">
        <v>2</v>
      </c>
      <c r="J88">
        <v>2</v>
      </c>
      <c r="K88" s="21">
        <v>2</v>
      </c>
      <c r="L88" s="21">
        <v>2</v>
      </c>
      <c r="M88" s="21">
        <v>2</v>
      </c>
      <c r="N88" s="21">
        <v>2</v>
      </c>
      <c r="O88">
        <v>12.8</v>
      </c>
      <c r="P88">
        <v>40.700000000000003</v>
      </c>
      <c r="Q88">
        <v>82.7</v>
      </c>
      <c r="R88">
        <v>12.81</v>
      </c>
      <c r="S88">
        <v>7</v>
      </c>
      <c r="T88">
        <v>207</v>
      </c>
      <c r="U88">
        <v>148</v>
      </c>
      <c r="V88">
        <v>40</v>
      </c>
      <c r="W88">
        <v>95</v>
      </c>
      <c r="X88">
        <v>19</v>
      </c>
      <c r="Y88">
        <v>224</v>
      </c>
      <c r="Z88">
        <v>19</v>
      </c>
      <c r="AA88">
        <v>8</v>
      </c>
      <c r="AB88">
        <v>3</v>
      </c>
      <c r="AC88">
        <v>1</v>
      </c>
      <c r="AD88">
        <v>3</v>
      </c>
      <c r="AE88">
        <v>4</v>
      </c>
      <c r="AF88" s="21">
        <v>1</v>
      </c>
      <c r="AG88">
        <v>1</v>
      </c>
      <c r="AH88">
        <v>1</v>
      </c>
      <c r="AI88">
        <v>2</v>
      </c>
      <c r="AL88">
        <v>2</v>
      </c>
      <c r="AM88">
        <v>2</v>
      </c>
      <c r="AN88">
        <v>95</v>
      </c>
      <c r="AO88">
        <v>0</v>
      </c>
      <c r="AP88">
        <v>0</v>
      </c>
      <c r="AQ88">
        <v>0</v>
      </c>
      <c r="AR88">
        <v>0</v>
      </c>
      <c r="AS88">
        <v>0</v>
      </c>
      <c r="AT88">
        <v>0</v>
      </c>
      <c r="AU88">
        <v>0</v>
      </c>
      <c r="AV88">
        <v>1</v>
      </c>
      <c r="AW88">
        <v>2</v>
      </c>
      <c r="AX88">
        <v>2</v>
      </c>
      <c r="AY88">
        <v>2</v>
      </c>
      <c r="AZ88">
        <v>1</v>
      </c>
      <c r="BA88">
        <v>1</v>
      </c>
      <c r="BB88">
        <v>1</v>
      </c>
      <c r="BC88" s="21">
        <v>10</v>
      </c>
      <c r="BD88">
        <v>1</v>
      </c>
      <c r="BE88">
        <v>0</v>
      </c>
      <c r="BF88" t="s">
        <v>1086</v>
      </c>
      <c r="BG88" s="21">
        <v>0</v>
      </c>
    </row>
    <row r="89" spans="1:59" ht="15" customHeight="1" x14ac:dyDescent="0.25">
      <c r="A89" t="s">
        <v>956</v>
      </c>
      <c r="B89" s="21">
        <v>75</v>
      </c>
      <c r="C89" s="21">
        <v>2</v>
      </c>
      <c r="D89" s="21">
        <v>5</v>
      </c>
      <c r="E89" s="21">
        <v>1</v>
      </c>
      <c r="F89" s="21">
        <v>2</v>
      </c>
      <c r="G89" s="21">
        <v>2</v>
      </c>
      <c r="H89" s="21">
        <v>1</v>
      </c>
      <c r="I89" s="21">
        <v>2</v>
      </c>
      <c r="J89">
        <v>2</v>
      </c>
      <c r="K89" s="21">
        <v>2</v>
      </c>
      <c r="L89" s="21">
        <v>2</v>
      </c>
      <c r="M89" s="21">
        <v>2</v>
      </c>
      <c r="N89" s="21">
        <v>2</v>
      </c>
      <c r="O89">
        <v>11.4</v>
      </c>
      <c r="R89">
        <v>7.8</v>
      </c>
      <c r="S89">
        <v>8.4</v>
      </c>
      <c r="T89">
        <v>224</v>
      </c>
      <c r="U89">
        <v>156</v>
      </c>
      <c r="V89">
        <v>45</v>
      </c>
      <c r="W89">
        <v>115</v>
      </c>
      <c r="X89">
        <v>23</v>
      </c>
      <c r="Y89">
        <v>383</v>
      </c>
      <c r="AA89">
        <v>10</v>
      </c>
      <c r="AB89">
        <v>3</v>
      </c>
      <c r="AC89">
        <v>1</v>
      </c>
      <c r="AD89">
        <v>3</v>
      </c>
      <c r="AE89">
        <v>5</v>
      </c>
      <c r="AF89" s="21">
        <v>1</v>
      </c>
      <c r="AG89">
        <v>1</v>
      </c>
      <c r="AH89">
        <v>1</v>
      </c>
      <c r="AI89">
        <v>1</v>
      </c>
      <c r="AJ89">
        <v>1</v>
      </c>
      <c r="AK89">
        <v>4</v>
      </c>
      <c r="AL89">
        <v>2</v>
      </c>
      <c r="AM89">
        <v>2</v>
      </c>
      <c r="AN89">
        <v>95</v>
      </c>
      <c r="AO89">
        <v>1</v>
      </c>
      <c r="AP89">
        <v>2</v>
      </c>
      <c r="AQ89">
        <v>2</v>
      </c>
      <c r="AR89">
        <v>2</v>
      </c>
      <c r="AS89">
        <v>1</v>
      </c>
      <c r="AT89">
        <v>1</v>
      </c>
      <c r="AU89">
        <v>1</v>
      </c>
      <c r="AV89">
        <v>0</v>
      </c>
      <c r="AW89">
        <v>0</v>
      </c>
      <c r="AX89">
        <v>0</v>
      </c>
      <c r="AY89">
        <v>0</v>
      </c>
      <c r="AZ89">
        <v>0</v>
      </c>
      <c r="BA89">
        <v>0</v>
      </c>
      <c r="BB89">
        <v>0</v>
      </c>
      <c r="BC89" s="21">
        <v>10</v>
      </c>
      <c r="BD89">
        <v>1</v>
      </c>
      <c r="BE89">
        <v>1</v>
      </c>
      <c r="BF89">
        <v>1</v>
      </c>
      <c r="BG89" s="21">
        <v>0</v>
      </c>
    </row>
    <row r="90" spans="1:59" ht="15" customHeight="1" x14ac:dyDescent="0.25">
      <c r="A90" t="s">
        <v>103</v>
      </c>
      <c r="B90" s="21">
        <v>72</v>
      </c>
      <c r="C90" s="21">
        <v>2</v>
      </c>
      <c r="D90" s="21">
        <v>7</v>
      </c>
      <c r="O90">
        <v>11.5</v>
      </c>
      <c r="P90">
        <v>32.799999999999997</v>
      </c>
      <c r="Q90">
        <v>89</v>
      </c>
      <c r="R90">
        <v>25</v>
      </c>
      <c r="S90">
        <v>5.5</v>
      </c>
      <c r="Y90">
        <v>148</v>
      </c>
      <c r="AA90">
        <v>9</v>
      </c>
      <c r="AB90">
        <v>3</v>
      </c>
      <c r="AC90">
        <v>1</v>
      </c>
      <c r="AD90">
        <v>3</v>
      </c>
      <c r="AE90">
        <v>5</v>
      </c>
      <c r="AF90" s="21">
        <v>1</v>
      </c>
      <c r="AG90">
        <v>1</v>
      </c>
      <c r="AH90">
        <v>1</v>
      </c>
      <c r="AI90">
        <v>1</v>
      </c>
      <c r="AJ90">
        <v>1</v>
      </c>
      <c r="AN90">
        <v>60</v>
      </c>
      <c r="AO90">
        <v>1</v>
      </c>
      <c r="AP90">
        <v>2</v>
      </c>
      <c r="AQ90">
        <v>2</v>
      </c>
      <c r="AR90">
        <v>2</v>
      </c>
      <c r="AS90">
        <v>1</v>
      </c>
      <c r="AT90">
        <v>1</v>
      </c>
      <c r="AU90">
        <v>1</v>
      </c>
      <c r="AV90">
        <v>0</v>
      </c>
      <c r="AW90">
        <v>0</v>
      </c>
      <c r="AX90">
        <v>0</v>
      </c>
      <c r="AY90">
        <v>0</v>
      </c>
      <c r="AZ90">
        <v>0</v>
      </c>
      <c r="BA90">
        <v>0</v>
      </c>
      <c r="BB90">
        <v>0</v>
      </c>
      <c r="BC90" s="21">
        <v>10</v>
      </c>
      <c r="BD90">
        <v>1</v>
      </c>
      <c r="BE90">
        <v>1</v>
      </c>
      <c r="BF90">
        <v>0</v>
      </c>
      <c r="BG90" s="21">
        <v>3</v>
      </c>
    </row>
    <row r="91" spans="1:59" ht="15" customHeight="1" x14ac:dyDescent="0.25">
      <c r="A91" t="s">
        <v>206</v>
      </c>
      <c r="B91" s="21">
        <v>61</v>
      </c>
      <c r="C91" s="21">
        <v>2</v>
      </c>
      <c r="D91" s="21">
        <v>25</v>
      </c>
      <c r="E91" s="21">
        <v>1</v>
      </c>
      <c r="F91" s="21">
        <v>1</v>
      </c>
      <c r="G91" s="21">
        <v>2</v>
      </c>
      <c r="H91" s="21">
        <v>2</v>
      </c>
      <c r="I91" s="21">
        <v>2</v>
      </c>
      <c r="J91">
        <v>2</v>
      </c>
      <c r="K91" s="21">
        <v>2</v>
      </c>
      <c r="L91" s="21">
        <v>2</v>
      </c>
      <c r="M91" s="21">
        <v>2</v>
      </c>
      <c r="N91" s="21">
        <v>2</v>
      </c>
      <c r="O91">
        <v>9.3000000000000007</v>
      </c>
      <c r="P91">
        <v>28.4</v>
      </c>
      <c r="Q91">
        <v>82</v>
      </c>
      <c r="R91">
        <v>14.96</v>
      </c>
      <c r="S91">
        <v>6</v>
      </c>
      <c r="T91">
        <v>221</v>
      </c>
      <c r="U91">
        <v>156.80000000000001</v>
      </c>
      <c r="V91">
        <v>29</v>
      </c>
      <c r="W91">
        <v>176</v>
      </c>
      <c r="X91">
        <v>35.200000000000003</v>
      </c>
      <c r="Y91">
        <v>352</v>
      </c>
      <c r="AA91">
        <v>7</v>
      </c>
      <c r="AB91">
        <v>3</v>
      </c>
      <c r="AC91">
        <v>1</v>
      </c>
      <c r="AD91">
        <v>3</v>
      </c>
      <c r="AE91">
        <v>5</v>
      </c>
      <c r="AF91" s="21">
        <v>1</v>
      </c>
      <c r="AG91">
        <v>2</v>
      </c>
      <c r="AH91">
        <v>2</v>
      </c>
      <c r="AI91">
        <v>2</v>
      </c>
      <c r="AK91">
        <v>2</v>
      </c>
      <c r="AL91">
        <v>2</v>
      </c>
      <c r="AM91">
        <v>2</v>
      </c>
      <c r="AN91">
        <v>0</v>
      </c>
      <c r="AO91">
        <v>1</v>
      </c>
      <c r="AP91">
        <v>2</v>
      </c>
      <c r="AQ91">
        <v>2</v>
      </c>
      <c r="AR91">
        <v>2</v>
      </c>
      <c r="AS91">
        <v>1</v>
      </c>
      <c r="AT91">
        <v>1</v>
      </c>
      <c r="AU91">
        <v>1</v>
      </c>
      <c r="AV91">
        <v>0</v>
      </c>
      <c r="AW91">
        <v>0</v>
      </c>
      <c r="AX91">
        <v>0</v>
      </c>
      <c r="AY91">
        <v>0</v>
      </c>
      <c r="AZ91">
        <v>0</v>
      </c>
      <c r="BA91">
        <v>0</v>
      </c>
      <c r="BB91">
        <v>0</v>
      </c>
      <c r="BC91" s="21">
        <v>10</v>
      </c>
      <c r="BD91">
        <v>1</v>
      </c>
      <c r="BE91">
        <v>1</v>
      </c>
      <c r="BF91">
        <v>0</v>
      </c>
      <c r="BG91" s="21">
        <v>6</v>
      </c>
    </row>
    <row r="92" spans="1:59" ht="15" customHeight="1" x14ac:dyDescent="0.25">
      <c r="A92" t="s">
        <v>412</v>
      </c>
      <c r="B92" s="21">
        <v>74</v>
      </c>
      <c r="C92" s="21">
        <v>1</v>
      </c>
      <c r="D92" s="21">
        <v>15</v>
      </c>
      <c r="E92" s="21">
        <v>1</v>
      </c>
      <c r="F92" s="21">
        <v>1</v>
      </c>
      <c r="G92" s="21">
        <v>2</v>
      </c>
      <c r="H92" s="21">
        <v>2</v>
      </c>
      <c r="I92" s="21">
        <v>2</v>
      </c>
      <c r="J92">
        <v>2</v>
      </c>
      <c r="K92" s="21">
        <v>2</v>
      </c>
      <c r="L92" s="21">
        <v>2</v>
      </c>
      <c r="M92" s="21">
        <v>2</v>
      </c>
      <c r="N92" s="21">
        <v>2</v>
      </c>
      <c r="O92">
        <v>9.9</v>
      </c>
      <c r="P92">
        <v>30.3</v>
      </c>
      <c r="Q92">
        <v>85.9</v>
      </c>
      <c r="R92">
        <v>16.739999999999998</v>
      </c>
      <c r="S92">
        <v>7.6</v>
      </c>
      <c r="T92">
        <v>148</v>
      </c>
      <c r="U92">
        <v>67.400000000000006</v>
      </c>
      <c r="V92">
        <v>34</v>
      </c>
      <c r="W92">
        <v>233</v>
      </c>
      <c r="X92">
        <v>46.6</v>
      </c>
      <c r="Y92">
        <v>286</v>
      </c>
      <c r="AA92">
        <v>9</v>
      </c>
      <c r="AB92">
        <v>3</v>
      </c>
      <c r="AC92">
        <v>1</v>
      </c>
      <c r="AD92">
        <v>3</v>
      </c>
      <c r="AE92">
        <v>5</v>
      </c>
      <c r="AF92" s="21">
        <v>1</v>
      </c>
      <c r="AG92">
        <v>1</v>
      </c>
      <c r="AH92">
        <v>1</v>
      </c>
      <c r="AI92">
        <v>2</v>
      </c>
      <c r="AL92">
        <v>2</v>
      </c>
      <c r="AM92">
        <v>2</v>
      </c>
      <c r="AN92">
        <v>100</v>
      </c>
      <c r="AO92">
        <v>0</v>
      </c>
      <c r="AP92">
        <v>0</v>
      </c>
      <c r="AQ92">
        <v>0</v>
      </c>
      <c r="AR92">
        <v>0</v>
      </c>
      <c r="AS92">
        <v>0</v>
      </c>
      <c r="AT92">
        <v>0</v>
      </c>
      <c r="AU92">
        <v>0</v>
      </c>
      <c r="AV92">
        <v>0</v>
      </c>
      <c r="AW92">
        <v>1</v>
      </c>
      <c r="AX92">
        <v>2</v>
      </c>
      <c r="AY92">
        <v>2</v>
      </c>
      <c r="AZ92">
        <v>1</v>
      </c>
      <c r="BA92">
        <v>1</v>
      </c>
      <c r="BB92">
        <v>1</v>
      </c>
      <c r="BC92" s="21">
        <v>8</v>
      </c>
      <c r="BD92">
        <v>0</v>
      </c>
      <c r="BE92">
        <v>0</v>
      </c>
      <c r="BF92">
        <v>0</v>
      </c>
      <c r="BG92" s="21">
        <v>0</v>
      </c>
    </row>
    <row r="93" spans="1:59" ht="15" customHeight="1" x14ac:dyDescent="0.25">
      <c r="A93" t="s">
        <v>130</v>
      </c>
      <c r="B93" s="21">
        <v>85</v>
      </c>
      <c r="C93" s="21">
        <v>1</v>
      </c>
      <c r="D93" s="21">
        <v>7</v>
      </c>
      <c r="E93" s="21">
        <v>1</v>
      </c>
      <c r="F93" s="21">
        <v>2</v>
      </c>
      <c r="G93" s="21">
        <v>2</v>
      </c>
      <c r="H93" s="21">
        <v>1</v>
      </c>
      <c r="I93" s="21">
        <v>2</v>
      </c>
      <c r="J93">
        <v>2</v>
      </c>
      <c r="K93" s="21">
        <v>2</v>
      </c>
      <c r="L93" s="21">
        <v>2</v>
      </c>
      <c r="M93" s="21">
        <v>2</v>
      </c>
      <c r="N93" s="21">
        <v>2</v>
      </c>
      <c r="AA93">
        <v>8</v>
      </c>
      <c r="AB93">
        <v>3</v>
      </c>
      <c r="AC93">
        <v>1</v>
      </c>
      <c r="AD93">
        <v>3</v>
      </c>
      <c r="AE93">
        <v>5</v>
      </c>
      <c r="AF93" s="21">
        <v>1</v>
      </c>
      <c r="AG93">
        <v>1</v>
      </c>
      <c r="AH93">
        <v>1</v>
      </c>
      <c r="AI93">
        <v>2</v>
      </c>
      <c r="AK93">
        <v>4</v>
      </c>
      <c r="AL93">
        <v>2</v>
      </c>
      <c r="AM93">
        <v>2</v>
      </c>
      <c r="AN93">
        <v>85</v>
      </c>
      <c r="AO93">
        <v>0</v>
      </c>
      <c r="AP93">
        <v>0</v>
      </c>
      <c r="AQ93">
        <v>0</v>
      </c>
      <c r="AR93">
        <v>0</v>
      </c>
      <c r="AS93">
        <v>0</v>
      </c>
      <c r="AT93">
        <v>0</v>
      </c>
      <c r="AU93">
        <v>0</v>
      </c>
      <c r="AV93">
        <v>1</v>
      </c>
      <c r="AW93">
        <v>1</v>
      </c>
      <c r="AX93">
        <v>2</v>
      </c>
      <c r="AY93">
        <v>2</v>
      </c>
      <c r="AZ93">
        <v>1</v>
      </c>
      <c r="BA93">
        <v>1</v>
      </c>
      <c r="BB93">
        <v>1</v>
      </c>
      <c r="BC93" s="21">
        <v>9</v>
      </c>
      <c r="BD93">
        <v>1</v>
      </c>
      <c r="BE93">
        <v>1</v>
      </c>
      <c r="BF93">
        <v>0</v>
      </c>
      <c r="BG93" s="21">
        <v>1</v>
      </c>
    </row>
    <row r="94" spans="1:59" ht="15" customHeight="1" x14ac:dyDescent="0.25">
      <c r="A94" t="s">
        <v>229</v>
      </c>
      <c r="B94" s="21">
        <v>80</v>
      </c>
      <c r="C94" s="21">
        <v>1</v>
      </c>
      <c r="D94" s="21">
        <v>6</v>
      </c>
      <c r="E94" s="21">
        <v>2</v>
      </c>
      <c r="F94" s="21">
        <v>1</v>
      </c>
      <c r="G94" s="21">
        <v>2</v>
      </c>
      <c r="H94" s="21">
        <v>2</v>
      </c>
      <c r="I94" s="21">
        <v>1</v>
      </c>
      <c r="J94">
        <v>2</v>
      </c>
      <c r="K94" s="21">
        <v>2</v>
      </c>
      <c r="L94" s="21">
        <v>2</v>
      </c>
      <c r="M94" s="21">
        <v>2</v>
      </c>
      <c r="N94" s="21">
        <v>2</v>
      </c>
      <c r="O94">
        <v>13.2</v>
      </c>
      <c r="P94">
        <v>41</v>
      </c>
      <c r="Q94">
        <v>92</v>
      </c>
      <c r="R94">
        <v>43.6</v>
      </c>
      <c r="S94">
        <v>10.6</v>
      </c>
      <c r="T94">
        <v>177</v>
      </c>
      <c r="U94">
        <v>100</v>
      </c>
      <c r="V94">
        <v>35</v>
      </c>
      <c r="W94">
        <v>210</v>
      </c>
      <c r="Y94">
        <v>148</v>
      </c>
      <c r="AA94">
        <v>7</v>
      </c>
      <c r="AB94">
        <v>3</v>
      </c>
      <c r="AC94">
        <v>1</v>
      </c>
      <c r="AD94">
        <v>3</v>
      </c>
      <c r="AE94">
        <v>5</v>
      </c>
      <c r="AF94" s="21">
        <v>1</v>
      </c>
      <c r="AG94">
        <v>1</v>
      </c>
      <c r="AH94">
        <v>1</v>
      </c>
      <c r="AI94">
        <v>2</v>
      </c>
      <c r="AK94">
        <v>4</v>
      </c>
      <c r="AL94">
        <v>2</v>
      </c>
      <c r="AM94">
        <v>2</v>
      </c>
      <c r="AN94">
        <v>95</v>
      </c>
      <c r="AO94">
        <v>0</v>
      </c>
      <c r="AP94">
        <v>2</v>
      </c>
      <c r="AQ94">
        <v>2</v>
      </c>
      <c r="AR94">
        <v>2</v>
      </c>
      <c r="AS94">
        <v>1</v>
      </c>
      <c r="AT94">
        <v>0</v>
      </c>
      <c r="AU94">
        <v>1</v>
      </c>
      <c r="AV94">
        <v>0</v>
      </c>
      <c r="AW94">
        <v>0</v>
      </c>
      <c r="AX94">
        <v>0</v>
      </c>
      <c r="AY94">
        <v>0</v>
      </c>
      <c r="AZ94">
        <v>0</v>
      </c>
      <c r="BA94">
        <v>0</v>
      </c>
      <c r="BB94">
        <v>0</v>
      </c>
      <c r="BC94" s="21">
        <v>8</v>
      </c>
      <c r="BD94">
        <v>1</v>
      </c>
      <c r="BE94">
        <v>1</v>
      </c>
      <c r="BF94">
        <v>0</v>
      </c>
      <c r="BG94" s="21">
        <v>1</v>
      </c>
    </row>
    <row r="95" spans="1:59" ht="15" customHeight="1" x14ac:dyDescent="0.25">
      <c r="A95" t="s">
        <v>866</v>
      </c>
      <c r="B95" s="21">
        <v>76</v>
      </c>
      <c r="C95" s="21">
        <v>1</v>
      </c>
      <c r="D95" s="21">
        <v>3</v>
      </c>
      <c r="E95" s="21">
        <v>1</v>
      </c>
      <c r="F95" s="21">
        <v>2</v>
      </c>
      <c r="G95" s="21">
        <v>2</v>
      </c>
      <c r="H95" s="21">
        <v>2</v>
      </c>
      <c r="I95" s="21">
        <v>2</v>
      </c>
      <c r="J95">
        <v>2</v>
      </c>
      <c r="K95" s="21">
        <v>2</v>
      </c>
      <c r="L95" s="21">
        <v>2</v>
      </c>
      <c r="M95" s="21">
        <v>2</v>
      </c>
      <c r="N95" s="21">
        <v>1</v>
      </c>
      <c r="O95">
        <v>14.9</v>
      </c>
      <c r="R95">
        <v>11.5</v>
      </c>
      <c r="T95">
        <v>105</v>
      </c>
      <c r="U95">
        <v>42</v>
      </c>
      <c r="V95">
        <v>42</v>
      </c>
      <c r="W95">
        <v>102</v>
      </c>
      <c r="X95">
        <v>20</v>
      </c>
      <c r="Y95">
        <v>1888</v>
      </c>
      <c r="AA95">
        <v>9</v>
      </c>
      <c r="AB95">
        <v>3</v>
      </c>
      <c r="AC95">
        <v>1</v>
      </c>
      <c r="AD95">
        <v>3</v>
      </c>
      <c r="AE95">
        <v>5</v>
      </c>
      <c r="AF95" s="21">
        <v>1</v>
      </c>
      <c r="AG95">
        <v>1</v>
      </c>
      <c r="AH95">
        <v>2</v>
      </c>
      <c r="AI95">
        <v>2</v>
      </c>
      <c r="AK95">
        <v>4</v>
      </c>
      <c r="AL95">
        <v>2</v>
      </c>
      <c r="AM95">
        <v>2</v>
      </c>
      <c r="AN95">
        <v>100</v>
      </c>
      <c r="AO95">
        <v>1</v>
      </c>
      <c r="AP95">
        <v>2</v>
      </c>
      <c r="AQ95">
        <v>2</v>
      </c>
      <c r="AR95">
        <v>2</v>
      </c>
      <c r="AS95">
        <v>1</v>
      </c>
      <c r="AT95">
        <v>1</v>
      </c>
      <c r="AU95">
        <v>1</v>
      </c>
      <c r="BC95" s="21">
        <v>10</v>
      </c>
      <c r="BD95">
        <v>1</v>
      </c>
      <c r="BE95">
        <v>1</v>
      </c>
      <c r="BF95">
        <v>1</v>
      </c>
      <c r="BG95" s="21">
        <v>0</v>
      </c>
    </row>
    <row r="96" spans="1:59" ht="15" customHeight="1" x14ac:dyDescent="0.25">
      <c r="A96" t="s">
        <v>317</v>
      </c>
      <c r="B96" s="21">
        <v>56</v>
      </c>
      <c r="C96" s="21">
        <v>1</v>
      </c>
      <c r="D96" s="21">
        <v>2</v>
      </c>
      <c r="E96" s="21">
        <v>2</v>
      </c>
      <c r="F96" s="21">
        <v>1</v>
      </c>
      <c r="G96" s="21">
        <v>2</v>
      </c>
      <c r="H96" s="21">
        <v>2</v>
      </c>
      <c r="I96" s="21">
        <v>2</v>
      </c>
      <c r="J96">
        <v>2</v>
      </c>
      <c r="K96" s="21">
        <v>2</v>
      </c>
      <c r="L96" s="21">
        <v>2</v>
      </c>
      <c r="M96" s="21">
        <v>2</v>
      </c>
      <c r="N96" s="21">
        <v>2</v>
      </c>
      <c r="O96">
        <v>15.1</v>
      </c>
      <c r="R96">
        <v>30.87</v>
      </c>
      <c r="S96">
        <v>17.100000000000001</v>
      </c>
      <c r="Y96">
        <v>183</v>
      </c>
      <c r="AA96">
        <v>9</v>
      </c>
      <c r="AB96">
        <v>3</v>
      </c>
      <c r="AC96">
        <v>1</v>
      </c>
      <c r="AD96">
        <v>3</v>
      </c>
      <c r="AE96">
        <v>5</v>
      </c>
      <c r="AF96" s="21">
        <v>1</v>
      </c>
      <c r="AG96">
        <v>1</v>
      </c>
      <c r="AH96">
        <v>1</v>
      </c>
      <c r="AI96">
        <v>2</v>
      </c>
      <c r="AL96">
        <v>2</v>
      </c>
      <c r="AM96">
        <v>2</v>
      </c>
      <c r="AN96">
        <v>85</v>
      </c>
      <c r="AO96">
        <v>0</v>
      </c>
      <c r="AP96">
        <v>0</v>
      </c>
      <c r="AQ96">
        <v>0</v>
      </c>
      <c r="AR96">
        <v>0</v>
      </c>
      <c r="AS96">
        <v>0</v>
      </c>
      <c r="AT96">
        <v>0</v>
      </c>
      <c r="AU96">
        <v>0</v>
      </c>
      <c r="AV96">
        <v>1</v>
      </c>
      <c r="AW96">
        <v>1</v>
      </c>
      <c r="AX96">
        <v>2</v>
      </c>
      <c r="AY96">
        <v>2</v>
      </c>
      <c r="AZ96">
        <v>1</v>
      </c>
      <c r="BA96">
        <v>1</v>
      </c>
      <c r="BB96">
        <v>1</v>
      </c>
      <c r="BC96" s="21">
        <v>9</v>
      </c>
      <c r="BD96">
        <v>1</v>
      </c>
      <c r="BE96">
        <v>1</v>
      </c>
      <c r="BF96">
        <v>0</v>
      </c>
      <c r="BG96" s="21">
        <v>1</v>
      </c>
    </row>
    <row r="97" spans="1:59" ht="15" customHeight="1" x14ac:dyDescent="0.25">
      <c r="A97" s="8" t="s">
        <v>302</v>
      </c>
      <c r="B97" s="21">
        <v>54</v>
      </c>
      <c r="C97" s="21">
        <v>1</v>
      </c>
      <c r="D97" s="21">
        <v>3</v>
      </c>
      <c r="E97" s="21">
        <v>2</v>
      </c>
      <c r="F97" s="21">
        <v>1</v>
      </c>
      <c r="G97" s="21">
        <v>2</v>
      </c>
      <c r="H97" s="21">
        <v>2</v>
      </c>
      <c r="I97" s="21">
        <v>2</v>
      </c>
      <c r="J97" s="8">
        <v>2</v>
      </c>
      <c r="K97" s="21">
        <v>2</v>
      </c>
      <c r="L97" s="21">
        <v>2</v>
      </c>
      <c r="M97" s="21">
        <v>2</v>
      </c>
      <c r="N97" s="21">
        <v>2</v>
      </c>
      <c r="O97" s="8">
        <v>15.5</v>
      </c>
      <c r="P97" s="8">
        <v>45.7</v>
      </c>
      <c r="Q97" s="8">
        <v>86.9</v>
      </c>
      <c r="R97" s="8">
        <v>13</v>
      </c>
      <c r="S97" s="8">
        <v>7.6</v>
      </c>
      <c r="T97" s="8">
        <v>197</v>
      </c>
      <c r="U97" s="8">
        <v>140</v>
      </c>
      <c r="V97" s="8">
        <v>26</v>
      </c>
      <c r="W97" s="8">
        <v>155</v>
      </c>
      <c r="X97" s="8">
        <v>31</v>
      </c>
      <c r="Y97" s="8">
        <v>213</v>
      </c>
      <c r="Z97" s="8"/>
      <c r="AA97" s="8">
        <v>9</v>
      </c>
      <c r="AB97" s="8">
        <v>3</v>
      </c>
      <c r="AC97" s="8">
        <v>1</v>
      </c>
      <c r="AD97" s="8">
        <v>3</v>
      </c>
      <c r="AE97" s="8">
        <v>5</v>
      </c>
      <c r="AF97" s="21">
        <v>1</v>
      </c>
      <c r="AG97" s="8">
        <v>1</v>
      </c>
      <c r="AH97" s="8">
        <v>1</v>
      </c>
      <c r="AI97" s="8">
        <v>2</v>
      </c>
      <c r="AJ97" s="8"/>
      <c r="AK97" s="8"/>
      <c r="AL97" s="8">
        <v>2</v>
      </c>
      <c r="AM97" s="8">
        <v>2</v>
      </c>
      <c r="AN97" s="8">
        <v>100</v>
      </c>
      <c r="AO97" s="8">
        <v>0</v>
      </c>
      <c r="AP97" s="8">
        <v>0</v>
      </c>
      <c r="AQ97" s="8">
        <v>2</v>
      </c>
      <c r="AR97" s="8">
        <v>2</v>
      </c>
      <c r="AS97" s="8">
        <v>1</v>
      </c>
      <c r="AT97" s="8">
        <v>1</v>
      </c>
      <c r="AU97" s="8">
        <v>1</v>
      </c>
      <c r="AV97" s="8"/>
      <c r="AW97" s="8"/>
      <c r="AX97" s="8"/>
      <c r="AY97" s="8"/>
      <c r="AZ97" s="8"/>
      <c r="BA97" s="8"/>
      <c r="BB97" s="8"/>
      <c r="BC97" s="21">
        <v>7</v>
      </c>
      <c r="BD97" s="8">
        <v>1</v>
      </c>
      <c r="BE97" s="8">
        <v>0</v>
      </c>
      <c r="BF97" s="8">
        <v>1</v>
      </c>
      <c r="BG97" s="21">
        <v>0</v>
      </c>
    </row>
    <row r="98" spans="1:59" ht="15" customHeight="1" x14ac:dyDescent="0.25">
      <c r="A98" t="s">
        <v>943</v>
      </c>
      <c r="B98" s="21">
        <v>50</v>
      </c>
      <c r="C98" s="21">
        <v>1</v>
      </c>
      <c r="D98" s="21">
        <v>9</v>
      </c>
      <c r="E98" s="21">
        <v>1</v>
      </c>
      <c r="F98" s="21">
        <v>2</v>
      </c>
      <c r="G98" s="21">
        <v>2</v>
      </c>
      <c r="H98" s="21">
        <v>2</v>
      </c>
      <c r="I98" s="21">
        <v>1</v>
      </c>
      <c r="J98">
        <v>2</v>
      </c>
      <c r="K98" s="21">
        <v>2</v>
      </c>
      <c r="L98" s="21">
        <v>2</v>
      </c>
      <c r="M98" s="21">
        <v>2</v>
      </c>
      <c r="N98" s="21">
        <v>2</v>
      </c>
      <c r="O98">
        <v>15.8</v>
      </c>
      <c r="R98">
        <v>10.83</v>
      </c>
      <c r="S98">
        <v>6.2</v>
      </c>
      <c r="Y98">
        <v>911</v>
      </c>
      <c r="AA98">
        <v>9</v>
      </c>
      <c r="AB98">
        <v>3</v>
      </c>
      <c r="AC98">
        <v>1</v>
      </c>
      <c r="AD98">
        <v>3</v>
      </c>
      <c r="AE98">
        <v>5</v>
      </c>
      <c r="AF98" s="21">
        <v>1</v>
      </c>
      <c r="AG98">
        <v>1</v>
      </c>
      <c r="AH98">
        <v>1</v>
      </c>
      <c r="AI98">
        <v>2</v>
      </c>
      <c r="AK98">
        <v>4</v>
      </c>
      <c r="AL98">
        <v>2</v>
      </c>
      <c r="AM98">
        <v>2</v>
      </c>
      <c r="AN98">
        <v>100</v>
      </c>
      <c r="AO98">
        <v>1</v>
      </c>
      <c r="AP98">
        <v>1</v>
      </c>
      <c r="AQ98">
        <v>2</v>
      </c>
      <c r="AR98">
        <v>2</v>
      </c>
      <c r="AS98">
        <v>1</v>
      </c>
      <c r="AT98">
        <v>1</v>
      </c>
      <c r="AU98">
        <v>1</v>
      </c>
      <c r="AV98">
        <v>0</v>
      </c>
      <c r="AW98">
        <v>0</v>
      </c>
      <c r="AX98">
        <v>0</v>
      </c>
      <c r="AY98">
        <v>0</v>
      </c>
      <c r="AZ98">
        <v>0</v>
      </c>
      <c r="BA98">
        <v>0</v>
      </c>
      <c r="BB98">
        <v>0</v>
      </c>
      <c r="BC98" s="21">
        <v>9</v>
      </c>
      <c r="BD98">
        <v>1</v>
      </c>
      <c r="BE98">
        <v>1</v>
      </c>
      <c r="BF98">
        <v>1</v>
      </c>
      <c r="BG98" s="21">
        <v>0</v>
      </c>
    </row>
    <row r="99" spans="1:59" ht="15" customHeight="1" x14ac:dyDescent="0.25">
      <c r="A99" t="s">
        <v>47</v>
      </c>
      <c r="B99" s="21">
        <v>55</v>
      </c>
      <c r="C99" s="21">
        <v>2</v>
      </c>
      <c r="D99" s="21">
        <v>8</v>
      </c>
      <c r="E99" s="21">
        <v>1</v>
      </c>
      <c r="F99" s="21">
        <v>1</v>
      </c>
      <c r="G99" s="21">
        <v>2</v>
      </c>
      <c r="H99" s="21">
        <v>2</v>
      </c>
      <c r="I99" s="21">
        <v>2</v>
      </c>
      <c r="J99">
        <v>2</v>
      </c>
      <c r="K99" s="21">
        <v>2</v>
      </c>
      <c r="L99" s="21">
        <v>2</v>
      </c>
      <c r="M99" s="21">
        <v>2</v>
      </c>
      <c r="N99" s="21">
        <v>2</v>
      </c>
      <c r="O99">
        <v>10.4</v>
      </c>
      <c r="P99">
        <v>32.4</v>
      </c>
      <c r="Q99">
        <v>83.5</v>
      </c>
      <c r="R99">
        <v>16.39</v>
      </c>
      <c r="S99">
        <v>5.8</v>
      </c>
      <c r="T99">
        <v>186</v>
      </c>
      <c r="U99">
        <v>130.19999999999999</v>
      </c>
      <c r="V99">
        <v>34</v>
      </c>
      <c r="W99">
        <v>109</v>
      </c>
      <c r="X99">
        <v>21.8</v>
      </c>
      <c r="Y99">
        <v>148</v>
      </c>
      <c r="AA99">
        <v>10</v>
      </c>
      <c r="AB99">
        <v>3</v>
      </c>
      <c r="AC99">
        <v>1</v>
      </c>
      <c r="AD99">
        <v>3</v>
      </c>
      <c r="AE99">
        <v>5</v>
      </c>
      <c r="AF99" s="21">
        <v>1</v>
      </c>
      <c r="AG99">
        <v>1</v>
      </c>
      <c r="AH99">
        <v>1</v>
      </c>
      <c r="AI99">
        <v>2</v>
      </c>
      <c r="AO99">
        <v>0</v>
      </c>
      <c r="AP99">
        <v>0</v>
      </c>
      <c r="AQ99">
        <v>0</v>
      </c>
      <c r="AR99">
        <v>0</v>
      </c>
      <c r="AS99">
        <v>0</v>
      </c>
      <c r="AT99">
        <v>0</v>
      </c>
      <c r="AU99">
        <v>0</v>
      </c>
      <c r="AV99">
        <v>0</v>
      </c>
      <c r="AW99">
        <v>0</v>
      </c>
      <c r="AX99">
        <v>0</v>
      </c>
      <c r="AY99">
        <v>0</v>
      </c>
      <c r="AZ99">
        <v>0</v>
      </c>
      <c r="BA99">
        <v>0</v>
      </c>
      <c r="BB99">
        <v>0</v>
      </c>
      <c r="BC99" s="21">
        <v>0</v>
      </c>
      <c r="BD99">
        <v>0</v>
      </c>
      <c r="BE99">
        <v>0</v>
      </c>
      <c r="BF99">
        <v>0</v>
      </c>
      <c r="BG99" s="21">
        <v>0</v>
      </c>
    </row>
    <row r="100" spans="1:59" ht="15" customHeight="1" x14ac:dyDescent="0.25">
      <c r="A100" t="s">
        <v>154</v>
      </c>
      <c r="B100" s="21">
        <v>33</v>
      </c>
      <c r="C100" s="21">
        <v>1</v>
      </c>
      <c r="D100" s="21">
        <v>9</v>
      </c>
      <c r="E100" s="21">
        <v>1</v>
      </c>
      <c r="F100" s="21">
        <v>2</v>
      </c>
      <c r="G100" s="21">
        <v>1</v>
      </c>
      <c r="H100" s="21">
        <v>2</v>
      </c>
      <c r="I100" s="21">
        <v>1</v>
      </c>
      <c r="J100">
        <v>2</v>
      </c>
      <c r="K100" s="21">
        <v>2</v>
      </c>
      <c r="L100" s="21">
        <v>1</v>
      </c>
      <c r="M100" s="21">
        <v>2</v>
      </c>
      <c r="N100" s="21">
        <v>1</v>
      </c>
      <c r="O100">
        <v>15.9</v>
      </c>
      <c r="P100">
        <v>49.5</v>
      </c>
      <c r="Q100">
        <v>90</v>
      </c>
      <c r="R100">
        <v>39.44</v>
      </c>
      <c r="S100">
        <v>5.9</v>
      </c>
      <c r="T100">
        <v>167</v>
      </c>
      <c r="U100">
        <v>107</v>
      </c>
      <c r="V100">
        <v>31</v>
      </c>
      <c r="W100">
        <v>142</v>
      </c>
      <c r="X100">
        <v>28.4</v>
      </c>
      <c r="Y100">
        <v>207</v>
      </c>
      <c r="AA100">
        <v>10</v>
      </c>
      <c r="AB100">
        <v>3</v>
      </c>
      <c r="AC100">
        <v>1</v>
      </c>
      <c r="AD100">
        <v>3</v>
      </c>
      <c r="AE100">
        <v>4</v>
      </c>
      <c r="AF100" s="21">
        <v>1</v>
      </c>
      <c r="AG100">
        <v>1</v>
      </c>
      <c r="AH100">
        <v>2</v>
      </c>
      <c r="AI100">
        <v>1</v>
      </c>
      <c r="AJ100">
        <v>2</v>
      </c>
      <c r="AK100">
        <v>1</v>
      </c>
      <c r="AN100">
        <v>95</v>
      </c>
      <c r="AO100">
        <v>0</v>
      </c>
      <c r="AP100">
        <v>0</v>
      </c>
      <c r="AQ100">
        <v>0</v>
      </c>
      <c r="AR100">
        <v>0</v>
      </c>
      <c r="AS100">
        <v>0</v>
      </c>
      <c r="AT100">
        <v>0</v>
      </c>
      <c r="AU100">
        <v>0</v>
      </c>
      <c r="AV100">
        <v>1</v>
      </c>
      <c r="AW100">
        <v>2</v>
      </c>
      <c r="AX100">
        <v>2</v>
      </c>
      <c r="AY100">
        <v>2</v>
      </c>
      <c r="AZ100">
        <v>1</v>
      </c>
      <c r="BA100">
        <v>0</v>
      </c>
      <c r="BB100">
        <v>1</v>
      </c>
      <c r="BC100" s="21">
        <v>9</v>
      </c>
      <c r="BD100">
        <v>1</v>
      </c>
      <c r="BE100">
        <v>1</v>
      </c>
      <c r="BF100">
        <v>0</v>
      </c>
      <c r="BG100" s="21">
        <v>1</v>
      </c>
    </row>
    <row r="101" spans="1:59" ht="15" customHeight="1" x14ac:dyDescent="0.25">
      <c r="A101" s="8" t="s">
        <v>474</v>
      </c>
      <c r="B101" s="21">
        <v>47</v>
      </c>
      <c r="C101" s="21">
        <v>2</v>
      </c>
      <c r="D101" s="21">
        <v>5</v>
      </c>
      <c r="E101" s="21">
        <v>2</v>
      </c>
      <c r="F101" s="21">
        <v>1</v>
      </c>
      <c r="G101" s="21">
        <v>2</v>
      </c>
      <c r="H101" s="21">
        <v>1</v>
      </c>
      <c r="I101" s="21">
        <v>2</v>
      </c>
      <c r="J101" s="8">
        <v>2</v>
      </c>
      <c r="K101" s="21">
        <v>2</v>
      </c>
      <c r="L101" s="21">
        <v>2</v>
      </c>
      <c r="M101" s="21">
        <v>2</v>
      </c>
      <c r="N101" s="21">
        <v>2</v>
      </c>
      <c r="O101" s="8">
        <v>12.6</v>
      </c>
      <c r="P101" s="8">
        <v>38.299999999999997</v>
      </c>
      <c r="Q101" s="8">
        <v>77</v>
      </c>
      <c r="R101" s="8">
        <v>3.26</v>
      </c>
      <c r="S101" s="8">
        <v>13</v>
      </c>
      <c r="T101" s="8"/>
      <c r="U101" s="8"/>
      <c r="V101" s="8"/>
      <c r="W101" s="8"/>
      <c r="X101" s="8"/>
      <c r="Y101" s="8">
        <v>2000</v>
      </c>
      <c r="Z101" s="8"/>
      <c r="AA101" s="8">
        <v>9</v>
      </c>
      <c r="AB101" s="8">
        <v>3</v>
      </c>
      <c r="AC101" s="8">
        <v>1</v>
      </c>
      <c r="AD101" s="8">
        <v>3</v>
      </c>
      <c r="AE101" s="8">
        <v>5</v>
      </c>
      <c r="AF101" s="21">
        <v>1</v>
      </c>
      <c r="AG101" s="8">
        <v>1</v>
      </c>
      <c r="AH101" s="8">
        <v>1</v>
      </c>
      <c r="AI101" s="8">
        <v>2</v>
      </c>
      <c r="AJ101" s="8"/>
      <c r="AK101" s="8"/>
      <c r="AL101" s="8">
        <v>2</v>
      </c>
      <c r="AM101" s="8">
        <v>2</v>
      </c>
      <c r="AN101" s="8">
        <v>100</v>
      </c>
      <c r="AO101" s="8">
        <v>0</v>
      </c>
      <c r="AP101" s="8">
        <v>2</v>
      </c>
      <c r="AQ101" s="8">
        <v>2</v>
      </c>
      <c r="AR101" s="8">
        <v>2</v>
      </c>
      <c r="AS101" s="8">
        <v>1</v>
      </c>
      <c r="AT101" s="8">
        <v>1</v>
      </c>
      <c r="AU101" s="8">
        <v>1</v>
      </c>
      <c r="AV101" s="8"/>
      <c r="AW101" s="8"/>
      <c r="AX101" s="8"/>
      <c r="AY101" s="8"/>
      <c r="AZ101" s="8"/>
      <c r="BA101" s="8"/>
      <c r="BB101" s="8"/>
      <c r="BC101" s="21">
        <v>9</v>
      </c>
      <c r="BD101" s="8">
        <v>1</v>
      </c>
      <c r="BE101" s="8">
        <v>0</v>
      </c>
      <c r="BF101" s="8"/>
      <c r="BG101" s="21">
        <v>0</v>
      </c>
    </row>
    <row r="102" spans="1:59" ht="15" customHeight="1" x14ac:dyDescent="0.25">
      <c r="A102" t="s">
        <v>344</v>
      </c>
      <c r="B102" s="21">
        <v>50</v>
      </c>
      <c r="C102" s="21">
        <v>1</v>
      </c>
      <c r="E102" s="21">
        <v>1</v>
      </c>
      <c r="F102" s="21">
        <v>1</v>
      </c>
      <c r="G102" s="21">
        <v>2</v>
      </c>
      <c r="H102" s="21">
        <v>2</v>
      </c>
      <c r="I102" s="21">
        <v>2</v>
      </c>
      <c r="J102">
        <v>2</v>
      </c>
      <c r="K102" s="21">
        <v>2</v>
      </c>
      <c r="L102" s="21">
        <v>2</v>
      </c>
      <c r="M102" s="21">
        <v>2</v>
      </c>
      <c r="N102" s="21">
        <v>2</v>
      </c>
      <c r="O102">
        <v>14.6</v>
      </c>
      <c r="P102">
        <v>42.4</v>
      </c>
      <c r="Q102">
        <v>97.1</v>
      </c>
      <c r="R102">
        <v>20.97</v>
      </c>
      <c r="S102">
        <v>8.6999999999999993</v>
      </c>
      <c r="T102">
        <v>145</v>
      </c>
      <c r="U102">
        <v>85.2</v>
      </c>
      <c r="V102">
        <v>31</v>
      </c>
      <c r="W102">
        <v>144</v>
      </c>
      <c r="X102">
        <v>28.8</v>
      </c>
      <c r="Y102">
        <v>324</v>
      </c>
      <c r="Z102">
        <v>89</v>
      </c>
      <c r="AA102">
        <v>9</v>
      </c>
      <c r="AB102">
        <v>3</v>
      </c>
      <c r="AC102">
        <v>1</v>
      </c>
      <c r="AD102">
        <v>3</v>
      </c>
      <c r="AE102">
        <v>5</v>
      </c>
      <c r="AF102" s="21">
        <v>1</v>
      </c>
      <c r="AG102">
        <v>1</v>
      </c>
      <c r="AH102">
        <v>1</v>
      </c>
      <c r="AI102">
        <v>2</v>
      </c>
      <c r="AL102">
        <v>2</v>
      </c>
      <c r="AM102">
        <v>2</v>
      </c>
      <c r="AN102">
        <v>100</v>
      </c>
      <c r="AO102">
        <v>0</v>
      </c>
      <c r="AP102">
        <v>0</v>
      </c>
      <c r="AQ102">
        <v>0</v>
      </c>
      <c r="AR102">
        <v>0</v>
      </c>
      <c r="AS102">
        <v>0</v>
      </c>
      <c r="AT102">
        <v>0</v>
      </c>
      <c r="AU102">
        <v>0</v>
      </c>
      <c r="AV102">
        <v>0</v>
      </c>
      <c r="AW102">
        <v>1</v>
      </c>
      <c r="AX102">
        <v>2</v>
      </c>
      <c r="AY102">
        <v>2</v>
      </c>
      <c r="AZ102">
        <v>1</v>
      </c>
      <c r="BA102">
        <v>1</v>
      </c>
      <c r="BB102">
        <v>1</v>
      </c>
      <c r="BC102" s="21">
        <v>8</v>
      </c>
      <c r="BD102">
        <v>1</v>
      </c>
      <c r="BE102">
        <v>1</v>
      </c>
      <c r="BF102">
        <v>0</v>
      </c>
      <c r="BG102" s="21">
        <v>0</v>
      </c>
    </row>
    <row r="103" spans="1:59" ht="15" customHeight="1" x14ac:dyDescent="0.25">
      <c r="A103" t="s">
        <v>212</v>
      </c>
      <c r="B103" s="21">
        <v>57</v>
      </c>
      <c r="C103" s="21">
        <v>1</v>
      </c>
      <c r="D103" s="21">
        <v>6</v>
      </c>
      <c r="E103" s="21">
        <v>1</v>
      </c>
      <c r="F103" s="21">
        <v>1</v>
      </c>
      <c r="G103" s="21">
        <v>2</v>
      </c>
      <c r="H103" s="21">
        <v>2</v>
      </c>
      <c r="I103" s="21">
        <v>2</v>
      </c>
      <c r="J103">
        <v>2</v>
      </c>
      <c r="K103" s="21">
        <v>2</v>
      </c>
      <c r="L103" s="21">
        <v>2</v>
      </c>
      <c r="M103" s="21">
        <v>2</v>
      </c>
      <c r="N103" s="21">
        <v>2</v>
      </c>
      <c r="O103">
        <v>15</v>
      </c>
      <c r="P103">
        <v>46.2</v>
      </c>
      <c r="Q103">
        <v>84.9</v>
      </c>
      <c r="S103">
        <v>9.4</v>
      </c>
      <c r="U103">
        <v>146</v>
      </c>
      <c r="V103">
        <v>36</v>
      </c>
      <c r="W103">
        <v>120</v>
      </c>
      <c r="X103">
        <v>24</v>
      </c>
      <c r="AA103">
        <v>10</v>
      </c>
      <c r="AB103">
        <v>3</v>
      </c>
      <c r="AC103">
        <v>1</v>
      </c>
      <c r="AD103">
        <v>3</v>
      </c>
      <c r="AE103">
        <v>5</v>
      </c>
      <c r="AF103" s="21">
        <v>1</v>
      </c>
      <c r="AG103">
        <v>2</v>
      </c>
      <c r="AH103">
        <v>2</v>
      </c>
      <c r="AI103">
        <v>2</v>
      </c>
      <c r="AL103">
        <v>2</v>
      </c>
      <c r="AM103">
        <v>2</v>
      </c>
      <c r="AN103">
        <v>100</v>
      </c>
      <c r="AO103">
        <v>1</v>
      </c>
      <c r="AP103">
        <v>2</v>
      </c>
      <c r="AQ103">
        <v>2</v>
      </c>
      <c r="AR103">
        <v>2</v>
      </c>
      <c r="AS103">
        <v>1</v>
      </c>
      <c r="AT103">
        <v>1</v>
      </c>
      <c r="AU103">
        <v>1</v>
      </c>
      <c r="AV103">
        <v>0</v>
      </c>
      <c r="AW103">
        <v>0</v>
      </c>
      <c r="AX103">
        <v>0</v>
      </c>
      <c r="AY103">
        <v>0</v>
      </c>
      <c r="AZ103">
        <v>0</v>
      </c>
      <c r="BA103">
        <v>0</v>
      </c>
      <c r="BB103">
        <v>0</v>
      </c>
      <c r="BC103" s="21">
        <v>10</v>
      </c>
      <c r="BD103">
        <v>1</v>
      </c>
      <c r="BE103">
        <v>1</v>
      </c>
      <c r="BF103">
        <v>0</v>
      </c>
      <c r="BG103" s="21">
        <v>0</v>
      </c>
    </row>
    <row r="104" spans="1:59" ht="15" customHeight="1" x14ac:dyDescent="0.25">
      <c r="A104" t="s">
        <v>884</v>
      </c>
      <c r="B104" s="21">
        <v>55</v>
      </c>
      <c r="C104" s="21">
        <v>1</v>
      </c>
      <c r="D104" s="21">
        <v>4</v>
      </c>
      <c r="E104" s="21">
        <v>2</v>
      </c>
      <c r="F104" s="21">
        <v>1</v>
      </c>
      <c r="G104" s="21">
        <v>1</v>
      </c>
      <c r="H104" s="21">
        <v>1</v>
      </c>
      <c r="I104" s="21">
        <v>2</v>
      </c>
      <c r="J104">
        <v>2</v>
      </c>
      <c r="K104" s="21">
        <v>2</v>
      </c>
      <c r="L104" s="21">
        <v>2</v>
      </c>
      <c r="M104" s="21">
        <v>2</v>
      </c>
      <c r="N104" s="21">
        <v>2</v>
      </c>
      <c r="O104">
        <v>16.2</v>
      </c>
      <c r="S104">
        <v>6</v>
      </c>
      <c r="T104">
        <v>154</v>
      </c>
      <c r="U104">
        <v>98</v>
      </c>
      <c r="V104">
        <v>45</v>
      </c>
      <c r="W104">
        <v>60</v>
      </c>
      <c r="X104">
        <v>12</v>
      </c>
      <c r="AA104">
        <v>9</v>
      </c>
      <c r="AB104">
        <v>3</v>
      </c>
      <c r="AC104">
        <v>1</v>
      </c>
      <c r="AD104">
        <v>3</v>
      </c>
      <c r="AE104">
        <v>5</v>
      </c>
      <c r="AF104" s="21">
        <v>1</v>
      </c>
      <c r="AG104">
        <v>1</v>
      </c>
      <c r="AH104">
        <v>1</v>
      </c>
      <c r="AI104">
        <v>2</v>
      </c>
      <c r="AK104">
        <v>4</v>
      </c>
      <c r="AL104">
        <v>2</v>
      </c>
      <c r="AM104">
        <v>2</v>
      </c>
      <c r="AN104">
        <v>100</v>
      </c>
      <c r="AO104">
        <v>1</v>
      </c>
      <c r="AP104">
        <v>2</v>
      </c>
      <c r="AQ104">
        <v>2</v>
      </c>
      <c r="AR104">
        <v>2</v>
      </c>
      <c r="AS104">
        <v>1</v>
      </c>
      <c r="AT104">
        <v>1</v>
      </c>
      <c r="AU104">
        <v>1</v>
      </c>
      <c r="AV104">
        <v>0</v>
      </c>
      <c r="AW104">
        <v>0</v>
      </c>
      <c r="AX104">
        <v>0</v>
      </c>
      <c r="AY104">
        <v>0</v>
      </c>
      <c r="AZ104">
        <v>0</v>
      </c>
      <c r="BA104">
        <v>0</v>
      </c>
      <c r="BB104">
        <v>0</v>
      </c>
      <c r="BC104" s="21">
        <v>10</v>
      </c>
      <c r="BD104">
        <v>0</v>
      </c>
      <c r="BE104">
        <v>0</v>
      </c>
      <c r="BF104">
        <v>0</v>
      </c>
      <c r="BG104" s="21">
        <v>0</v>
      </c>
    </row>
    <row r="105" spans="1:59" ht="15" customHeight="1" x14ac:dyDescent="0.25">
      <c r="A105" t="s">
        <v>901</v>
      </c>
      <c r="B105" s="21">
        <v>64</v>
      </c>
      <c r="C105" s="21">
        <v>1</v>
      </c>
      <c r="D105" s="21">
        <v>11</v>
      </c>
      <c r="E105" s="21">
        <v>2</v>
      </c>
      <c r="F105" s="21">
        <v>2</v>
      </c>
      <c r="G105" s="21">
        <v>2</v>
      </c>
      <c r="H105" s="21">
        <v>2</v>
      </c>
      <c r="I105" s="21">
        <v>1</v>
      </c>
      <c r="J105">
        <v>2</v>
      </c>
      <c r="K105" s="21">
        <v>2</v>
      </c>
      <c r="L105" s="21">
        <v>2</v>
      </c>
      <c r="M105" s="21">
        <v>2</v>
      </c>
      <c r="N105" s="21">
        <v>1</v>
      </c>
      <c r="O105">
        <v>14.3</v>
      </c>
      <c r="R105">
        <v>6.29</v>
      </c>
      <c r="S105">
        <v>6.9</v>
      </c>
      <c r="T105">
        <v>174</v>
      </c>
      <c r="U105">
        <v>123</v>
      </c>
      <c r="V105">
        <v>27</v>
      </c>
      <c r="W105">
        <v>116</v>
      </c>
      <c r="X105">
        <v>23</v>
      </c>
      <c r="AA105">
        <v>9</v>
      </c>
      <c r="AB105">
        <v>3</v>
      </c>
      <c r="AC105">
        <v>1</v>
      </c>
      <c r="AD105">
        <v>3</v>
      </c>
      <c r="AE105">
        <v>5</v>
      </c>
      <c r="AF105" s="21">
        <v>1</v>
      </c>
      <c r="AG105">
        <v>1</v>
      </c>
      <c r="AH105">
        <v>1</v>
      </c>
      <c r="AI105">
        <v>2</v>
      </c>
      <c r="AK105">
        <v>4</v>
      </c>
      <c r="AL105">
        <v>2</v>
      </c>
      <c r="AM105">
        <v>2</v>
      </c>
      <c r="AN105">
        <v>60</v>
      </c>
      <c r="AO105">
        <v>0</v>
      </c>
      <c r="AP105">
        <v>1</v>
      </c>
      <c r="AQ105">
        <v>2</v>
      </c>
      <c r="AR105">
        <v>2</v>
      </c>
      <c r="AS105">
        <v>1</v>
      </c>
      <c r="AT105">
        <v>1</v>
      </c>
      <c r="AU105">
        <v>1</v>
      </c>
      <c r="AV105">
        <v>0</v>
      </c>
      <c r="AW105">
        <v>0</v>
      </c>
      <c r="AX105">
        <v>0</v>
      </c>
      <c r="AY105">
        <v>0</v>
      </c>
      <c r="AZ105">
        <v>0</v>
      </c>
      <c r="BA105">
        <v>0</v>
      </c>
      <c r="BB105">
        <v>0</v>
      </c>
      <c r="BC105" s="21">
        <v>8</v>
      </c>
      <c r="BD105">
        <v>1</v>
      </c>
      <c r="BE105">
        <v>1</v>
      </c>
      <c r="BF105">
        <v>1</v>
      </c>
      <c r="BG105" s="21">
        <v>2</v>
      </c>
    </row>
    <row r="106" spans="1:59" ht="15" customHeight="1" x14ac:dyDescent="0.25">
      <c r="A106" t="s">
        <v>366</v>
      </c>
      <c r="B106" s="21">
        <v>48</v>
      </c>
      <c r="C106" s="21">
        <v>1</v>
      </c>
      <c r="D106" s="21">
        <v>1</v>
      </c>
      <c r="E106" s="21">
        <v>1</v>
      </c>
      <c r="F106" s="21">
        <v>2</v>
      </c>
      <c r="G106" s="21">
        <v>2</v>
      </c>
      <c r="H106" s="21">
        <v>2</v>
      </c>
      <c r="I106" s="21">
        <v>2</v>
      </c>
      <c r="J106">
        <v>2</v>
      </c>
      <c r="K106" s="21">
        <v>2</v>
      </c>
      <c r="L106" s="21">
        <v>2</v>
      </c>
      <c r="M106" s="21">
        <v>2</v>
      </c>
      <c r="N106" s="21">
        <v>2</v>
      </c>
      <c r="O106">
        <v>14.5</v>
      </c>
      <c r="P106">
        <v>44</v>
      </c>
      <c r="Q106">
        <v>92</v>
      </c>
      <c r="R106">
        <v>15.29</v>
      </c>
      <c r="T106">
        <v>144</v>
      </c>
      <c r="U106">
        <v>79.599999999999994</v>
      </c>
      <c r="V106">
        <v>39</v>
      </c>
      <c r="W106">
        <v>127</v>
      </c>
      <c r="X106">
        <v>25.4</v>
      </c>
      <c r="Y106">
        <v>2000</v>
      </c>
      <c r="AA106">
        <v>9</v>
      </c>
      <c r="AB106">
        <v>3</v>
      </c>
      <c r="AC106">
        <v>1</v>
      </c>
      <c r="AD106">
        <v>3</v>
      </c>
      <c r="AE106">
        <v>5</v>
      </c>
      <c r="AF106" s="21">
        <v>1</v>
      </c>
      <c r="AG106">
        <v>2</v>
      </c>
      <c r="AH106">
        <v>2</v>
      </c>
      <c r="AI106">
        <v>2</v>
      </c>
      <c r="AL106">
        <v>2</v>
      </c>
      <c r="AM106">
        <v>2</v>
      </c>
      <c r="AN106">
        <v>100</v>
      </c>
      <c r="AO106">
        <v>0</v>
      </c>
      <c r="AP106">
        <v>0</v>
      </c>
      <c r="AQ106">
        <v>0</v>
      </c>
      <c r="AR106">
        <v>0</v>
      </c>
      <c r="AS106">
        <v>0</v>
      </c>
      <c r="AT106">
        <v>0</v>
      </c>
      <c r="AU106">
        <v>0</v>
      </c>
      <c r="AV106">
        <v>1</v>
      </c>
      <c r="AW106">
        <v>2</v>
      </c>
      <c r="AX106">
        <v>2</v>
      </c>
      <c r="AY106">
        <v>2</v>
      </c>
      <c r="AZ106">
        <v>1</v>
      </c>
      <c r="BA106">
        <v>1</v>
      </c>
      <c r="BB106">
        <v>1</v>
      </c>
      <c r="BC106" s="21">
        <v>10</v>
      </c>
      <c r="BD106">
        <v>1</v>
      </c>
      <c r="BE106">
        <v>1</v>
      </c>
      <c r="BF106">
        <v>0</v>
      </c>
      <c r="BG106" s="21">
        <v>0</v>
      </c>
    </row>
    <row r="107" spans="1:59" ht="15" customHeight="1" x14ac:dyDescent="0.25">
      <c r="A107" t="s">
        <v>426</v>
      </c>
      <c r="B107" s="21">
        <v>35</v>
      </c>
      <c r="C107" s="21">
        <v>1</v>
      </c>
      <c r="D107" s="21">
        <v>17</v>
      </c>
      <c r="E107" s="21">
        <v>2</v>
      </c>
      <c r="F107" s="21">
        <v>2</v>
      </c>
      <c r="G107" s="21">
        <v>2</v>
      </c>
      <c r="H107" s="21">
        <v>2</v>
      </c>
      <c r="I107" s="21">
        <v>2</v>
      </c>
      <c r="J107">
        <v>2</v>
      </c>
      <c r="K107" s="21">
        <v>2</v>
      </c>
      <c r="L107" s="21">
        <v>2</v>
      </c>
      <c r="M107" s="21">
        <v>2</v>
      </c>
      <c r="N107" s="21">
        <v>2</v>
      </c>
      <c r="O107">
        <v>15.2</v>
      </c>
      <c r="P107">
        <v>44.7</v>
      </c>
      <c r="Q107">
        <v>90.7</v>
      </c>
      <c r="R107">
        <v>10.92</v>
      </c>
      <c r="T107">
        <v>150</v>
      </c>
      <c r="U107">
        <v>101</v>
      </c>
      <c r="V107">
        <v>28</v>
      </c>
      <c r="W107">
        <v>105</v>
      </c>
      <c r="X107">
        <v>21</v>
      </c>
      <c r="Y107">
        <v>238</v>
      </c>
      <c r="Z107">
        <v>21</v>
      </c>
      <c r="AA107">
        <v>7</v>
      </c>
      <c r="AB107">
        <v>3</v>
      </c>
      <c r="AC107">
        <v>1</v>
      </c>
      <c r="AD107">
        <v>2</v>
      </c>
      <c r="AE107">
        <v>4</v>
      </c>
      <c r="AF107" s="21">
        <v>0</v>
      </c>
      <c r="AG107">
        <v>1</v>
      </c>
      <c r="AH107">
        <v>1</v>
      </c>
      <c r="AI107">
        <v>2</v>
      </c>
      <c r="AL107">
        <v>1</v>
      </c>
      <c r="AM107">
        <v>2</v>
      </c>
      <c r="AN107">
        <v>100</v>
      </c>
      <c r="AO107">
        <v>0</v>
      </c>
      <c r="AP107">
        <v>0</v>
      </c>
      <c r="AQ107">
        <v>0</v>
      </c>
      <c r="AR107">
        <v>0</v>
      </c>
      <c r="AS107">
        <v>0</v>
      </c>
      <c r="AT107">
        <v>0</v>
      </c>
      <c r="AU107">
        <v>0</v>
      </c>
      <c r="AV107">
        <v>0</v>
      </c>
      <c r="AW107">
        <v>0</v>
      </c>
      <c r="AX107">
        <v>0</v>
      </c>
      <c r="AY107">
        <v>0</v>
      </c>
      <c r="AZ107">
        <v>1</v>
      </c>
      <c r="BA107">
        <v>1</v>
      </c>
      <c r="BB107">
        <v>1</v>
      </c>
      <c r="BC107" s="21">
        <v>3</v>
      </c>
      <c r="BD107">
        <v>0</v>
      </c>
      <c r="BE107">
        <v>1</v>
      </c>
      <c r="BF107" t="s">
        <v>1040</v>
      </c>
      <c r="BG107" s="21">
        <v>0</v>
      </c>
    </row>
    <row r="108" spans="1:59" ht="15" customHeight="1" x14ac:dyDescent="0.25">
      <c r="A108" t="s">
        <v>260</v>
      </c>
      <c r="B108" s="21">
        <v>75</v>
      </c>
      <c r="C108" s="21">
        <v>1</v>
      </c>
      <c r="D108" s="21">
        <v>4</v>
      </c>
      <c r="E108" s="21">
        <v>1</v>
      </c>
      <c r="F108" s="21">
        <v>2</v>
      </c>
      <c r="G108" s="21">
        <v>2</v>
      </c>
      <c r="H108" s="21">
        <v>2</v>
      </c>
      <c r="I108" s="21">
        <v>2</v>
      </c>
      <c r="J108">
        <v>2</v>
      </c>
      <c r="K108" s="21">
        <v>2</v>
      </c>
      <c r="L108" s="21">
        <v>2</v>
      </c>
      <c r="M108" s="21">
        <v>2</v>
      </c>
      <c r="N108" s="21">
        <v>2</v>
      </c>
      <c r="O108">
        <v>15.9</v>
      </c>
      <c r="P108">
        <v>46.3</v>
      </c>
      <c r="Q108">
        <v>87.8</v>
      </c>
      <c r="R108">
        <v>29.06</v>
      </c>
      <c r="Y108">
        <v>665</v>
      </c>
      <c r="AA108">
        <v>5</v>
      </c>
      <c r="AB108">
        <v>3</v>
      </c>
      <c r="AC108">
        <v>1</v>
      </c>
      <c r="AD108">
        <v>3</v>
      </c>
      <c r="AE108">
        <v>5</v>
      </c>
      <c r="AF108" s="21">
        <v>1</v>
      </c>
      <c r="AG108">
        <v>1</v>
      </c>
      <c r="AH108">
        <v>1</v>
      </c>
      <c r="AI108">
        <v>2</v>
      </c>
      <c r="AK108">
        <v>4</v>
      </c>
      <c r="AL108">
        <v>2</v>
      </c>
      <c r="AM108">
        <v>2</v>
      </c>
      <c r="AN108">
        <v>100</v>
      </c>
      <c r="AO108">
        <v>1</v>
      </c>
      <c r="AP108">
        <v>2</v>
      </c>
      <c r="AQ108">
        <v>2</v>
      </c>
      <c r="AR108">
        <v>2</v>
      </c>
      <c r="AS108">
        <v>1</v>
      </c>
      <c r="AT108">
        <v>1</v>
      </c>
      <c r="AU108">
        <v>1</v>
      </c>
      <c r="AV108">
        <v>0</v>
      </c>
      <c r="AW108">
        <v>0</v>
      </c>
      <c r="AX108">
        <v>0</v>
      </c>
      <c r="AY108">
        <v>0</v>
      </c>
      <c r="AZ108">
        <v>0</v>
      </c>
      <c r="BA108">
        <v>0</v>
      </c>
      <c r="BB108">
        <v>0</v>
      </c>
      <c r="BC108" s="21">
        <v>10</v>
      </c>
      <c r="BD108">
        <v>1</v>
      </c>
      <c r="BE108">
        <v>1</v>
      </c>
      <c r="BF108">
        <v>0</v>
      </c>
      <c r="BG108" s="21">
        <v>0</v>
      </c>
    </row>
    <row r="109" spans="1:59" ht="15" customHeight="1" x14ac:dyDescent="0.25">
      <c r="A109" t="s">
        <v>94</v>
      </c>
      <c r="B109" s="21">
        <v>77</v>
      </c>
      <c r="C109" s="21">
        <v>2</v>
      </c>
      <c r="D109" s="21">
        <v>14</v>
      </c>
      <c r="E109" s="21">
        <v>2</v>
      </c>
      <c r="F109" s="21">
        <v>2</v>
      </c>
      <c r="G109" s="21">
        <v>2</v>
      </c>
      <c r="H109" s="21">
        <v>2</v>
      </c>
      <c r="I109" s="21">
        <v>2</v>
      </c>
      <c r="J109">
        <v>2</v>
      </c>
      <c r="K109" s="21">
        <v>2</v>
      </c>
      <c r="L109" s="21">
        <v>2</v>
      </c>
      <c r="M109" s="21">
        <v>2</v>
      </c>
      <c r="N109" s="21">
        <v>1</v>
      </c>
      <c r="O109">
        <v>11.4</v>
      </c>
      <c r="P109">
        <v>36</v>
      </c>
      <c r="Q109">
        <v>77.8</v>
      </c>
      <c r="R109">
        <v>16.7</v>
      </c>
      <c r="S109">
        <v>9.9</v>
      </c>
      <c r="T109">
        <v>169</v>
      </c>
      <c r="U109">
        <v>101</v>
      </c>
      <c r="V109">
        <v>57</v>
      </c>
      <c r="W109">
        <v>55</v>
      </c>
      <c r="X109">
        <v>11</v>
      </c>
      <c r="Y109">
        <v>1202</v>
      </c>
      <c r="AA109">
        <v>10</v>
      </c>
      <c r="AB109">
        <v>3</v>
      </c>
      <c r="AC109">
        <v>1</v>
      </c>
      <c r="AD109">
        <v>3</v>
      </c>
      <c r="AE109">
        <v>4</v>
      </c>
      <c r="AF109" s="21">
        <v>1</v>
      </c>
      <c r="AG109">
        <v>1</v>
      </c>
      <c r="AI109">
        <v>2</v>
      </c>
      <c r="AK109">
        <v>2</v>
      </c>
      <c r="AN109">
        <v>20</v>
      </c>
      <c r="AO109">
        <v>0</v>
      </c>
      <c r="AP109">
        <v>0</v>
      </c>
      <c r="AQ109">
        <v>0</v>
      </c>
      <c r="AR109">
        <v>0</v>
      </c>
      <c r="AS109">
        <v>0</v>
      </c>
      <c r="AT109">
        <v>0</v>
      </c>
      <c r="AU109">
        <v>0</v>
      </c>
      <c r="AV109">
        <v>0</v>
      </c>
      <c r="AW109">
        <v>1</v>
      </c>
      <c r="AX109">
        <v>2</v>
      </c>
      <c r="AY109">
        <v>2</v>
      </c>
      <c r="AZ109">
        <v>1</v>
      </c>
      <c r="BA109">
        <v>1</v>
      </c>
      <c r="BB109">
        <v>1</v>
      </c>
      <c r="BC109" s="21">
        <v>8</v>
      </c>
      <c r="BD109">
        <v>1</v>
      </c>
      <c r="BE109">
        <v>1</v>
      </c>
      <c r="BF109">
        <v>0</v>
      </c>
      <c r="BG109" s="21">
        <v>4</v>
      </c>
    </row>
    <row r="110" spans="1:59" ht="15" customHeight="1" x14ac:dyDescent="0.25">
      <c r="A110" t="s">
        <v>440</v>
      </c>
      <c r="B110" s="21">
        <v>75</v>
      </c>
      <c r="C110" s="21">
        <v>1</v>
      </c>
      <c r="D110" s="21">
        <v>18</v>
      </c>
      <c r="E110" s="21">
        <v>2</v>
      </c>
      <c r="F110" s="21">
        <v>2</v>
      </c>
      <c r="G110" s="21">
        <v>2</v>
      </c>
      <c r="H110" s="21">
        <v>2</v>
      </c>
      <c r="I110" s="21">
        <v>2</v>
      </c>
      <c r="J110">
        <v>2</v>
      </c>
      <c r="K110" s="21">
        <v>2</v>
      </c>
      <c r="L110" s="21">
        <v>2</v>
      </c>
      <c r="M110" s="21">
        <v>2</v>
      </c>
      <c r="N110" s="21">
        <v>2</v>
      </c>
      <c r="O110">
        <v>6.7</v>
      </c>
      <c r="P110">
        <v>20.6</v>
      </c>
      <c r="Q110">
        <v>83.4</v>
      </c>
      <c r="R110">
        <v>22.4</v>
      </c>
      <c r="S110">
        <v>5.4</v>
      </c>
      <c r="T110">
        <v>93</v>
      </c>
      <c r="U110">
        <v>33.799999999999997</v>
      </c>
      <c r="V110">
        <v>15</v>
      </c>
      <c r="W110">
        <v>221</v>
      </c>
      <c r="X110">
        <v>44.2</v>
      </c>
      <c r="Y110">
        <v>148</v>
      </c>
      <c r="AA110">
        <v>8</v>
      </c>
      <c r="AB110">
        <v>3</v>
      </c>
      <c r="AC110">
        <v>1</v>
      </c>
      <c r="AD110">
        <v>3</v>
      </c>
      <c r="AE110">
        <v>5</v>
      </c>
      <c r="AF110" s="21">
        <v>1</v>
      </c>
      <c r="AG110">
        <v>1</v>
      </c>
      <c r="AH110">
        <v>1</v>
      </c>
      <c r="AI110">
        <v>2</v>
      </c>
      <c r="AL110">
        <v>2</v>
      </c>
      <c r="AM110">
        <v>2</v>
      </c>
      <c r="AN110">
        <v>70</v>
      </c>
      <c r="AO110">
        <v>0</v>
      </c>
      <c r="AP110">
        <v>2</v>
      </c>
      <c r="AQ110">
        <v>2</v>
      </c>
      <c r="AR110">
        <v>2</v>
      </c>
      <c r="AS110">
        <v>1</v>
      </c>
      <c r="AT110">
        <v>1</v>
      </c>
      <c r="AU110">
        <v>1</v>
      </c>
      <c r="AV110">
        <v>0</v>
      </c>
      <c r="AW110">
        <v>0</v>
      </c>
      <c r="AX110">
        <v>0</v>
      </c>
      <c r="AY110">
        <v>0</v>
      </c>
      <c r="AZ110">
        <v>0</v>
      </c>
      <c r="BA110">
        <v>0</v>
      </c>
      <c r="BB110">
        <v>0</v>
      </c>
      <c r="BC110" s="21">
        <v>9</v>
      </c>
      <c r="BD110">
        <v>1</v>
      </c>
      <c r="BE110">
        <v>1</v>
      </c>
      <c r="BF110">
        <v>0</v>
      </c>
      <c r="BG110" s="21">
        <v>1</v>
      </c>
    </row>
    <row r="111" spans="1:59" ht="15" customHeight="1" x14ac:dyDescent="0.25">
      <c r="A111" t="s">
        <v>214</v>
      </c>
      <c r="B111" s="21">
        <v>58</v>
      </c>
      <c r="C111" s="21">
        <v>1</v>
      </c>
      <c r="D111" s="21">
        <v>10</v>
      </c>
      <c r="E111" s="21">
        <v>2</v>
      </c>
      <c r="F111" s="21">
        <v>1</v>
      </c>
      <c r="G111" s="21">
        <v>2</v>
      </c>
      <c r="H111" s="21">
        <v>2</v>
      </c>
      <c r="I111" s="21">
        <v>2</v>
      </c>
      <c r="J111">
        <v>2</v>
      </c>
      <c r="K111" s="21">
        <v>2</v>
      </c>
      <c r="L111" s="21">
        <v>1</v>
      </c>
      <c r="M111" s="21">
        <v>2</v>
      </c>
      <c r="N111" s="21">
        <v>2</v>
      </c>
      <c r="O111">
        <v>15.4</v>
      </c>
      <c r="P111">
        <v>48.5</v>
      </c>
      <c r="Q111">
        <v>89.1</v>
      </c>
      <c r="R111">
        <v>39.299999999999997</v>
      </c>
      <c r="S111">
        <v>6.2</v>
      </c>
      <c r="T111">
        <v>186</v>
      </c>
      <c r="U111">
        <v>111</v>
      </c>
      <c r="V111">
        <v>32</v>
      </c>
      <c r="W111">
        <v>212</v>
      </c>
      <c r="X111">
        <v>42</v>
      </c>
      <c r="Y111">
        <v>148</v>
      </c>
      <c r="Z111">
        <v>88</v>
      </c>
      <c r="AA111">
        <v>10</v>
      </c>
      <c r="AB111">
        <v>3</v>
      </c>
      <c r="AC111">
        <v>1</v>
      </c>
      <c r="AD111">
        <v>3</v>
      </c>
      <c r="AE111">
        <v>5</v>
      </c>
      <c r="AF111" s="21">
        <v>1</v>
      </c>
      <c r="AG111">
        <v>1</v>
      </c>
      <c r="AH111">
        <v>2</v>
      </c>
      <c r="AI111">
        <v>1</v>
      </c>
      <c r="AJ111">
        <v>2</v>
      </c>
      <c r="AL111">
        <v>2</v>
      </c>
      <c r="AM111">
        <v>2</v>
      </c>
      <c r="AN111">
        <v>100</v>
      </c>
      <c r="AO111">
        <v>0</v>
      </c>
      <c r="AP111">
        <v>0</v>
      </c>
      <c r="AQ111">
        <v>0</v>
      </c>
      <c r="AR111">
        <v>0</v>
      </c>
      <c r="AS111">
        <v>0</v>
      </c>
      <c r="AT111">
        <v>0</v>
      </c>
      <c r="AU111">
        <v>0</v>
      </c>
      <c r="AV111">
        <v>1</v>
      </c>
      <c r="AW111">
        <v>2</v>
      </c>
      <c r="AX111">
        <v>2</v>
      </c>
      <c r="AY111">
        <v>2</v>
      </c>
      <c r="AZ111">
        <v>0</v>
      </c>
      <c r="BA111">
        <v>0</v>
      </c>
      <c r="BB111">
        <v>1</v>
      </c>
      <c r="BC111" s="21">
        <v>8</v>
      </c>
      <c r="BD111">
        <v>0</v>
      </c>
      <c r="BE111">
        <v>0</v>
      </c>
      <c r="BF111">
        <v>0</v>
      </c>
      <c r="BG111" s="21">
        <v>0</v>
      </c>
    </row>
    <row r="112" spans="1:59" ht="15" customHeight="1" x14ac:dyDescent="0.25">
      <c r="A112" t="s">
        <v>801</v>
      </c>
      <c r="B112" s="21">
        <v>43</v>
      </c>
      <c r="C112" s="21">
        <v>1</v>
      </c>
      <c r="D112" s="21">
        <v>16</v>
      </c>
      <c r="E112" s="21">
        <v>1</v>
      </c>
      <c r="F112" s="21">
        <v>1</v>
      </c>
      <c r="G112" s="21">
        <v>1</v>
      </c>
      <c r="H112" s="21">
        <v>1</v>
      </c>
      <c r="I112" s="21">
        <v>2</v>
      </c>
      <c r="J112">
        <v>2</v>
      </c>
      <c r="K112" s="21">
        <v>2</v>
      </c>
      <c r="L112" s="21">
        <v>1</v>
      </c>
      <c r="M112" s="21">
        <v>2</v>
      </c>
      <c r="N112" s="21">
        <v>2</v>
      </c>
      <c r="O112">
        <v>12.3</v>
      </c>
      <c r="P112">
        <v>37.9</v>
      </c>
      <c r="Q112">
        <v>82.6</v>
      </c>
      <c r="R112">
        <v>23.91</v>
      </c>
      <c r="T112">
        <v>153</v>
      </c>
      <c r="U112">
        <v>105.6</v>
      </c>
      <c r="V112">
        <v>29</v>
      </c>
      <c r="W112">
        <v>92</v>
      </c>
      <c r="X112">
        <v>18.399999999999999</v>
      </c>
      <c r="AA112">
        <v>8</v>
      </c>
      <c r="AB112">
        <v>3</v>
      </c>
      <c r="AC112">
        <v>1</v>
      </c>
      <c r="AD112">
        <v>3</v>
      </c>
      <c r="AE112">
        <v>4</v>
      </c>
      <c r="AF112" s="21">
        <v>1</v>
      </c>
      <c r="AG112">
        <v>1</v>
      </c>
      <c r="AH112">
        <v>1</v>
      </c>
      <c r="AI112">
        <v>1</v>
      </c>
      <c r="AJ112">
        <v>2</v>
      </c>
      <c r="AL112">
        <v>2</v>
      </c>
      <c r="AM112">
        <v>2</v>
      </c>
      <c r="AN112">
        <v>95</v>
      </c>
      <c r="AO112">
        <v>0</v>
      </c>
      <c r="AP112">
        <v>0</v>
      </c>
      <c r="AQ112">
        <v>0</v>
      </c>
      <c r="AR112">
        <v>0</v>
      </c>
      <c r="AS112">
        <v>0</v>
      </c>
      <c r="AT112">
        <v>0</v>
      </c>
      <c r="AU112">
        <v>0</v>
      </c>
      <c r="AV112">
        <v>1</v>
      </c>
      <c r="AW112">
        <v>2</v>
      </c>
      <c r="AX112">
        <v>2</v>
      </c>
      <c r="AY112">
        <v>0</v>
      </c>
      <c r="AZ112">
        <v>1</v>
      </c>
      <c r="BA112">
        <v>1</v>
      </c>
      <c r="BB112">
        <v>1</v>
      </c>
      <c r="BC112" s="21">
        <v>8</v>
      </c>
      <c r="BD112">
        <v>0</v>
      </c>
      <c r="BE112">
        <v>1</v>
      </c>
      <c r="BF112">
        <v>0</v>
      </c>
      <c r="BG112" s="21">
        <v>1</v>
      </c>
    </row>
    <row r="113" spans="1:59" ht="15" customHeight="1" x14ac:dyDescent="0.25">
      <c r="A113" t="s">
        <v>118</v>
      </c>
      <c r="B113" s="21">
        <v>52</v>
      </c>
      <c r="C113" s="21">
        <v>1</v>
      </c>
      <c r="D113" s="21">
        <v>6</v>
      </c>
      <c r="E113" s="21">
        <v>1</v>
      </c>
      <c r="F113" s="21">
        <v>2</v>
      </c>
      <c r="G113" s="21">
        <v>2</v>
      </c>
      <c r="H113" s="21">
        <v>2</v>
      </c>
      <c r="I113" s="21">
        <v>2</v>
      </c>
      <c r="J113">
        <v>2</v>
      </c>
      <c r="K113" s="21">
        <v>2</v>
      </c>
      <c r="L113" s="21">
        <v>2</v>
      </c>
      <c r="M113" s="21">
        <v>2</v>
      </c>
      <c r="N113" s="21">
        <v>2</v>
      </c>
      <c r="O113">
        <v>13.4</v>
      </c>
      <c r="P113">
        <v>41.5</v>
      </c>
      <c r="Q113">
        <v>83.6</v>
      </c>
      <c r="R113">
        <v>40.79</v>
      </c>
      <c r="Y113">
        <v>241</v>
      </c>
      <c r="AA113">
        <v>8</v>
      </c>
      <c r="AB113">
        <v>3</v>
      </c>
      <c r="AC113">
        <v>1</v>
      </c>
      <c r="AD113">
        <v>3</v>
      </c>
      <c r="AE113">
        <v>5</v>
      </c>
      <c r="AF113" s="21">
        <v>1</v>
      </c>
      <c r="AG113">
        <v>1</v>
      </c>
      <c r="AH113">
        <v>1</v>
      </c>
      <c r="AI113">
        <v>2</v>
      </c>
      <c r="AK113">
        <v>4</v>
      </c>
      <c r="AN113">
        <v>100</v>
      </c>
      <c r="AO113">
        <v>0</v>
      </c>
      <c r="AP113">
        <v>0</v>
      </c>
      <c r="AQ113">
        <v>0</v>
      </c>
      <c r="AR113">
        <v>0</v>
      </c>
      <c r="AS113">
        <v>0</v>
      </c>
      <c r="AT113">
        <v>0</v>
      </c>
      <c r="AU113">
        <v>0</v>
      </c>
      <c r="AV113">
        <v>1</v>
      </c>
      <c r="AW113">
        <v>2</v>
      </c>
      <c r="AX113">
        <v>2</v>
      </c>
      <c r="AY113">
        <v>2</v>
      </c>
      <c r="AZ113">
        <v>1</v>
      </c>
      <c r="BA113">
        <v>0</v>
      </c>
      <c r="BB113">
        <v>1</v>
      </c>
      <c r="BC113" s="21">
        <v>9</v>
      </c>
      <c r="BD113">
        <v>1</v>
      </c>
      <c r="BE113">
        <v>1</v>
      </c>
      <c r="BF113">
        <v>0</v>
      </c>
      <c r="BG113" s="21">
        <v>0</v>
      </c>
    </row>
    <row r="114" spans="1:59" ht="15" customHeight="1" x14ac:dyDescent="0.25">
      <c r="A114" t="s">
        <v>336</v>
      </c>
      <c r="B114" s="21">
        <v>62</v>
      </c>
      <c r="C114" s="21">
        <v>1</v>
      </c>
      <c r="D114" s="21">
        <v>5</v>
      </c>
      <c r="E114" s="21">
        <v>2</v>
      </c>
      <c r="F114" s="21">
        <v>1</v>
      </c>
      <c r="G114" s="21">
        <v>2</v>
      </c>
      <c r="H114" s="21">
        <v>1</v>
      </c>
      <c r="I114" s="21">
        <v>1</v>
      </c>
      <c r="J114">
        <v>2</v>
      </c>
      <c r="K114" s="21">
        <v>2</v>
      </c>
      <c r="L114" s="21">
        <v>2</v>
      </c>
      <c r="M114" s="21">
        <v>2</v>
      </c>
      <c r="N114" s="21">
        <v>2</v>
      </c>
      <c r="O114">
        <v>13.4</v>
      </c>
      <c r="P114">
        <v>39.799999999999997</v>
      </c>
      <c r="Q114">
        <v>90.5</v>
      </c>
      <c r="R114">
        <v>10.59</v>
      </c>
      <c r="T114">
        <v>209</v>
      </c>
      <c r="U114">
        <v>135.4</v>
      </c>
      <c r="V114">
        <v>29</v>
      </c>
      <c r="W114">
        <v>223</v>
      </c>
      <c r="X114">
        <v>44.6</v>
      </c>
      <c r="Y114">
        <v>217</v>
      </c>
      <c r="AA114">
        <v>9</v>
      </c>
      <c r="AB114">
        <v>3</v>
      </c>
      <c r="AC114">
        <v>1</v>
      </c>
      <c r="AD114">
        <v>3</v>
      </c>
      <c r="AE114">
        <v>5</v>
      </c>
      <c r="AF114" s="21">
        <v>1</v>
      </c>
      <c r="AG114">
        <v>2</v>
      </c>
      <c r="AH114">
        <v>2</v>
      </c>
      <c r="AI114">
        <v>2</v>
      </c>
      <c r="AL114">
        <v>2</v>
      </c>
      <c r="AM114">
        <v>2</v>
      </c>
      <c r="AN114">
        <v>80</v>
      </c>
      <c r="AO114">
        <v>0</v>
      </c>
      <c r="AP114">
        <v>2</v>
      </c>
      <c r="AQ114">
        <v>2</v>
      </c>
      <c r="AR114">
        <v>2</v>
      </c>
      <c r="AS114">
        <v>1</v>
      </c>
      <c r="AT114">
        <v>0</v>
      </c>
      <c r="AU114">
        <v>1</v>
      </c>
      <c r="AV114">
        <v>0</v>
      </c>
      <c r="AW114">
        <v>0</v>
      </c>
      <c r="AX114">
        <v>0</v>
      </c>
      <c r="AY114">
        <v>0</v>
      </c>
      <c r="AZ114">
        <v>0</v>
      </c>
      <c r="BA114">
        <v>0</v>
      </c>
      <c r="BB114">
        <v>0</v>
      </c>
      <c r="BC114" s="21">
        <v>8</v>
      </c>
      <c r="BD114">
        <v>1</v>
      </c>
      <c r="BE114">
        <v>1</v>
      </c>
      <c r="BF114">
        <v>0</v>
      </c>
      <c r="BG114" s="21">
        <v>1</v>
      </c>
    </row>
    <row r="115" spans="1:59" ht="15" customHeight="1" x14ac:dyDescent="0.25">
      <c r="A115" t="s">
        <v>471</v>
      </c>
      <c r="B115" s="21">
        <v>35</v>
      </c>
      <c r="C115" s="21">
        <v>1</v>
      </c>
      <c r="D115" s="21">
        <v>1</v>
      </c>
      <c r="E115" s="21">
        <v>2</v>
      </c>
      <c r="F115" s="21">
        <v>2</v>
      </c>
      <c r="G115" s="21">
        <v>1</v>
      </c>
      <c r="H115" s="21">
        <v>1</v>
      </c>
      <c r="I115" s="21">
        <v>2</v>
      </c>
      <c r="J115">
        <v>2</v>
      </c>
      <c r="K115" s="21">
        <v>2</v>
      </c>
      <c r="L115" s="21">
        <v>2</v>
      </c>
      <c r="M115" s="21">
        <v>2</v>
      </c>
      <c r="N115" s="21">
        <v>2</v>
      </c>
      <c r="O115">
        <v>11.6</v>
      </c>
      <c r="P115">
        <v>33.299999999999997</v>
      </c>
      <c r="Q115">
        <v>10.71</v>
      </c>
      <c r="R115">
        <v>13.05</v>
      </c>
      <c r="S115">
        <v>4.8</v>
      </c>
      <c r="T115">
        <v>136</v>
      </c>
      <c r="U115">
        <v>95.6</v>
      </c>
      <c r="V115">
        <v>27</v>
      </c>
      <c r="W115">
        <v>67</v>
      </c>
      <c r="X115">
        <v>13.4</v>
      </c>
      <c r="Y115">
        <v>373</v>
      </c>
      <c r="AA115">
        <v>10</v>
      </c>
      <c r="AB115">
        <v>3</v>
      </c>
      <c r="AC115">
        <v>1</v>
      </c>
      <c r="AD115">
        <v>3</v>
      </c>
      <c r="AE115">
        <v>5</v>
      </c>
      <c r="AF115" s="21">
        <v>1</v>
      </c>
      <c r="AG115">
        <v>1</v>
      </c>
      <c r="AH115">
        <v>1</v>
      </c>
      <c r="AI115">
        <v>2</v>
      </c>
      <c r="AL115">
        <v>2</v>
      </c>
      <c r="AM115">
        <v>2</v>
      </c>
      <c r="AN115">
        <v>100</v>
      </c>
      <c r="AO115">
        <v>0</v>
      </c>
      <c r="AP115">
        <v>0</v>
      </c>
      <c r="AQ115">
        <v>0</v>
      </c>
      <c r="AR115">
        <v>0</v>
      </c>
      <c r="AS115">
        <v>0</v>
      </c>
      <c r="AT115">
        <v>0</v>
      </c>
      <c r="AU115">
        <v>0</v>
      </c>
      <c r="AV115">
        <v>1</v>
      </c>
      <c r="AW115">
        <v>2</v>
      </c>
      <c r="AX115">
        <v>2</v>
      </c>
      <c r="AY115">
        <v>2</v>
      </c>
      <c r="AZ115">
        <v>1</v>
      </c>
      <c r="BA115">
        <v>1</v>
      </c>
      <c r="BB115">
        <v>1</v>
      </c>
      <c r="BC115" s="21">
        <v>10</v>
      </c>
      <c r="BD115">
        <v>0</v>
      </c>
      <c r="BE115">
        <v>1</v>
      </c>
      <c r="BF115">
        <v>0</v>
      </c>
      <c r="BG115" s="21">
        <v>0</v>
      </c>
    </row>
    <row r="116" spans="1:59" ht="15" customHeight="1" x14ac:dyDescent="0.25">
      <c r="A116" t="s">
        <v>342</v>
      </c>
      <c r="B116" s="21">
        <v>68</v>
      </c>
      <c r="C116" s="21">
        <v>1</v>
      </c>
      <c r="D116" s="21">
        <v>7</v>
      </c>
      <c r="E116" s="21">
        <v>1</v>
      </c>
      <c r="F116" s="21">
        <v>2</v>
      </c>
      <c r="G116" s="21">
        <v>2</v>
      </c>
      <c r="H116" s="21">
        <v>2</v>
      </c>
      <c r="I116" s="21">
        <v>2</v>
      </c>
      <c r="J116">
        <v>2</v>
      </c>
      <c r="K116" s="21">
        <v>2</v>
      </c>
      <c r="L116" s="21">
        <v>2</v>
      </c>
      <c r="M116" s="21">
        <v>2</v>
      </c>
      <c r="N116" s="21">
        <v>2</v>
      </c>
      <c r="O116">
        <v>12.4</v>
      </c>
      <c r="P116">
        <v>36.5</v>
      </c>
      <c r="Q116">
        <v>92.2</v>
      </c>
      <c r="R116">
        <v>20.73</v>
      </c>
      <c r="S116">
        <v>5.5</v>
      </c>
      <c r="T116">
        <v>203</v>
      </c>
      <c r="U116">
        <v>136.4</v>
      </c>
      <c r="V116">
        <v>36</v>
      </c>
      <c r="W116">
        <v>153</v>
      </c>
      <c r="X116">
        <v>30.6</v>
      </c>
      <c r="Y116">
        <v>400</v>
      </c>
      <c r="AA116">
        <v>7</v>
      </c>
      <c r="AB116">
        <v>3</v>
      </c>
      <c r="AC116">
        <v>1</v>
      </c>
      <c r="AD116">
        <v>3</v>
      </c>
      <c r="AE116">
        <v>5</v>
      </c>
      <c r="AF116" s="21">
        <v>1</v>
      </c>
      <c r="AG116">
        <v>1</v>
      </c>
      <c r="AH116">
        <v>1</v>
      </c>
      <c r="AI116">
        <v>2</v>
      </c>
      <c r="AK116">
        <v>3</v>
      </c>
      <c r="AL116">
        <v>2</v>
      </c>
      <c r="AM116">
        <v>2</v>
      </c>
      <c r="AO116">
        <v>0</v>
      </c>
      <c r="AP116">
        <v>0</v>
      </c>
      <c r="AQ116">
        <v>0</v>
      </c>
      <c r="AR116">
        <v>0</v>
      </c>
      <c r="AS116">
        <v>0</v>
      </c>
      <c r="AT116">
        <v>0</v>
      </c>
      <c r="AU116">
        <v>0</v>
      </c>
      <c r="AV116">
        <v>1</v>
      </c>
      <c r="AW116">
        <v>2</v>
      </c>
      <c r="AX116">
        <v>1</v>
      </c>
      <c r="AY116">
        <v>2</v>
      </c>
      <c r="AZ116">
        <v>1</v>
      </c>
      <c r="BA116">
        <v>1</v>
      </c>
      <c r="BB116">
        <v>1</v>
      </c>
      <c r="BC116" s="21">
        <v>9</v>
      </c>
      <c r="BD116">
        <v>1</v>
      </c>
      <c r="BE116">
        <v>1</v>
      </c>
      <c r="BF116">
        <v>0</v>
      </c>
      <c r="BG116" s="21">
        <v>2</v>
      </c>
    </row>
    <row r="117" spans="1:59" ht="15" customHeight="1" x14ac:dyDescent="0.25">
      <c r="A117" t="s">
        <v>246</v>
      </c>
      <c r="B117" s="21">
        <v>46</v>
      </c>
      <c r="C117" s="21">
        <v>1</v>
      </c>
      <c r="D117" s="21">
        <v>4</v>
      </c>
      <c r="E117" s="21">
        <v>1</v>
      </c>
      <c r="F117" s="21">
        <v>1</v>
      </c>
      <c r="G117" s="21">
        <v>1</v>
      </c>
      <c r="H117" s="21">
        <v>1</v>
      </c>
      <c r="I117" s="21">
        <v>2</v>
      </c>
      <c r="J117">
        <v>2</v>
      </c>
      <c r="K117" s="21">
        <v>2</v>
      </c>
      <c r="L117" s="21">
        <v>2</v>
      </c>
      <c r="M117" s="21">
        <v>2</v>
      </c>
      <c r="N117" s="21">
        <v>2</v>
      </c>
      <c r="O117">
        <v>15.2</v>
      </c>
      <c r="P117">
        <v>45.1</v>
      </c>
      <c r="Q117">
        <v>82</v>
      </c>
      <c r="R117">
        <v>35.75</v>
      </c>
      <c r="S117">
        <v>13.1</v>
      </c>
      <c r="AA117">
        <v>9</v>
      </c>
      <c r="AB117">
        <v>3</v>
      </c>
      <c r="AC117">
        <v>1</v>
      </c>
      <c r="AD117">
        <v>3</v>
      </c>
      <c r="AE117">
        <v>5</v>
      </c>
      <c r="AF117" s="21">
        <v>1</v>
      </c>
      <c r="AG117">
        <v>1</v>
      </c>
      <c r="AH117">
        <v>1</v>
      </c>
      <c r="AI117">
        <v>2</v>
      </c>
      <c r="AK117">
        <v>1</v>
      </c>
      <c r="AL117">
        <v>2</v>
      </c>
      <c r="AM117">
        <v>1</v>
      </c>
      <c r="AN117">
        <v>70</v>
      </c>
      <c r="AO117">
        <v>0</v>
      </c>
      <c r="AP117">
        <v>0</v>
      </c>
      <c r="AQ117">
        <v>0</v>
      </c>
      <c r="AR117">
        <v>0</v>
      </c>
      <c r="AS117">
        <v>0</v>
      </c>
      <c r="AT117">
        <v>0</v>
      </c>
      <c r="AU117">
        <v>0</v>
      </c>
      <c r="AV117">
        <v>0</v>
      </c>
      <c r="AW117">
        <v>1</v>
      </c>
      <c r="AX117">
        <v>2</v>
      </c>
      <c r="AY117">
        <v>2</v>
      </c>
      <c r="AZ117">
        <v>1</v>
      </c>
      <c r="BA117">
        <v>0</v>
      </c>
      <c r="BB117">
        <v>1</v>
      </c>
      <c r="BC117" s="21">
        <v>7</v>
      </c>
      <c r="BD117">
        <v>1</v>
      </c>
      <c r="BE117">
        <v>1</v>
      </c>
      <c r="BF117">
        <v>0</v>
      </c>
      <c r="BG117" s="21">
        <v>3</v>
      </c>
    </row>
    <row r="118" spans="1:59" ht="15" customHeight="1" x14ac:dyDescent="0.25">
      <c r="A118" t="s">
        <v>235</v>
      </c>
      <c r="B118" s="21">
        <v>65</v>
      </c>
      <c r="C118" s="21">
        <v>2</v>
      </c>
      <c r="D118" s="21">
        <v>24</v>
      </c>
      <c r="E118" s="21">
        <v>1</v>
      </c>
      <c r="F118" s="21">
        <v>2</v>
      </c>
      <c r="G118" s="21">
        <v>2</v>
      </c>
      <c r="H118" s="21">
        <v>2</v>
      </c>
      <c r="I118" s="21">
        <v>2</v>
      </c>
      <c r="J118">
        <v>2</v>
      </c>
      <c r="K118" s="21">
        <v>2</v>
      </c>
      <c r="L118" s="21">
        <v>2</v>
      </c>
      <c r="M118" s="21">
        <v>2</v>
      </c>
      <c r="N118" s="21">
        <v>2</v>
      </c>
      <c r="O118">
        <v>12</v>
      </c>
      <c r="P118">
        <v>38.9</v>
      </c>
      <c r="Q118">
        <v>79.400000000000006</v>
      </c>
      <c r="R118">
        <v>8</v>
      </c>
      <c r="Y118">
        <v>732</v>
      </c>
      <c r="AA118">
        <v>8</v>
      </c>
      <c r="AB118">
        <v>3</v>
      </c>
      <c r="AC118">
        <v>2</v>
      </c>
      <c r="AD118">
        <v>3</v>
      </c>
      <c r="AE118">
        <v>4</v>
      </c>
      <c r="AF118" s="21">
        <v>0</v>
      </c>
      <c r="AG118">
        <v>1</v>
      </c>
      <c r="AH118">
        <v>1</v>
      </c>
      <c r="AI118">
        <v>2</v>
      </c>
      <c r="AN118">
        <v>0</v>
      </c>
      <c r="AO118">
        <v>1</v>
      </c>
      <c r="AP118">
        <v>2</v>
      </c>
      <c r="AQ118">
        <v>1</v>
      </c>
      <c r="AR118">
        <v>1</v>
      </c>
      <c r="AS118">
        <v>1</v>
      </c>
      <c r="AT118">
        <v>1</v>
      </c>
      <c r="AU118">
        <v>1</v>
      </c>
      <c r="AV118">
        <v>0</v>
      </c>
      <c r="AW118">
        <v>0</v>
      </c>
      <c r="AX118">
        <v>0</v>
      </c>
      <c r="AY118">
        <v>0</v>
      </c>
      <c r="AZ118">
        <v>0</v>
      </c>
      <c r="BA118">
        <v>0</v>
      </c>
      <c r="BB118">
        <v>0</v>
      </c>
      <c r="BC118" s="21">
        <v>8</v>
      </c>
      <c r="BD118">
        <v>1</v>
      </c>
      <c r="BE118">
        <v>1</v>
      </c>
      <c r="BF118">
        <v>0</v>
      </c>
      <c r="BG118" s="21">
        <v>6</v>
      </c>
    </row>
    <row r="119" spans="1:59" ht="15" customHeight="1" x14ac:dyDescent="0.25">
      <c r="A119" t="s">
        <v>122</v>
      </c>
      <c r="B119" s="21">
        <v>53</v>
      </c>
      <c r="C119" s="21">
        <v>1</v>
      </c>
      <c r="D119" s="21">
        <v>24</v>
      </c>
      <c r="E119" s="21">
        <v>2</v>
      </c>
      <c r="F119" s="21">
        <v>2</v>
      </c>
      <c r="G119" s="21">
        <v>2</v>
      </c>
      <c r="H119" s="21">
        <v>2</v>
      </c>
      <c r="I119" s="21">
        <v>2</v>
      </c>
      <c r="J119">
        <v>2</v>
      </c>
      <c r="K119" s="21">
        <v>2</v>
      </c>
      <c r="L119" s="21">
        <v>2</v>
      </c>
      <c r="M119" s="21">
        <v>2</v>
      </c>
      <c r="N119" s="21">
        <v>2</v>
      </c>
      <c r="O119">
        <v>13.4</v>
      </c>
      <c r="P119">
        <v>37.9</v>
      </c>
      <c r="Q119">
        <v>97.1</v>
      </c>
      <c r="R119">
        <v>20.57</v>
      </c>
      <c r="Y119">
        <v>209</v>
      </c>
      <c r="AA119">
        <v>7</v>
      </c>
      <c r="AB119">
        <v>3</v>
      </c>
      <c r="AC119">
        <v>2</v>
      </c>
      <c r="AD119">
        <v>1</v>
      </c>
      <c r="AE119">
        <v>3</v>
      </c>
      <c r="AF119" s="21">
        <v>0</v>
      </c>
      <c r="AG119">
        <v>1</v>
      </c>
      <c r="AH119">
        <v>2</v>
      </c>
      <c r="AI119">
        <v>1</v>
      </c>
      <c r="AJ119">
        <v>1</v>
      </c>
      <c r="AN119">
        <v>60</v>
      </c>
      <c r="AO119">
        <v>0</v>
      </c>
      <c r="AP119">
        <v>0</v>
      </c>
      <c r="AQ119">
        <v>0</v>
      </c>
      <c r="AR119">
        <v>0</v>
      </c>
      <c r="AS119">
        <v>0</v>
      </c>
      <c r="AT119">
        <v>0</v>
      </c>
      <c r="AU119">
        <v>0</v>
      </c>
      <c r="AV119">
        <v>0</v>
      </c>
      <c r="AW119">
        <v>2</v>
      </c>
      <c r="AX119">
        <v>0</v>
      </c>
      <c r="AY119">
        <v>0</v>
      </c>
      <c r="AZ119">
        <v>0</v>
      </c>
      <c r="BA119">
        <v>0</v>
      </c>
      <c r="BB119">
        <v>1</v>
      </c>
      <c r="BC119" s="21">
        <v>4</v>
      </c>
      <c r="BD119">
        <v>0</v>
      </c>
      <c r="BE119">
        <v>1</v>
      </c>
      <c r="BF119">
        <v>0</v>
      </c>
      <c r="BG119" s="21">
        <v>3</v>
      </c>
    </row>
    <row r="120" spans="1:59" ht="15" customHeight="1" x14ac:dyDescent="0.25">
      <c r="A120" t="s">
        <v>542</v>
      </c>
      <c r="B120" s="21">
        <v>76</v>
      </c>
      <c r="C120" s="21">
        <v>2</v>
      </c>
      <c r="D120" s="21">
        <v>16</v>
      </c>
      <c r="E120" s="21">
        <v>1</v>
      </c>
      <c r="F120" s="21">
        <v>2</v>
      </c>
      <c r="G120" s="21">
        <v>2</v>
      </c>
      <c r="H120" s="21">
        <v>2</v>
      </c>
      <c r="I120" s="21">
        <v>2</v>
      </c>
      <c r="J120">
        <v>2</v>
      </c>
      <c r="K120" s="21">
        <v>1</v>
      </c>
      <c r="L120" s="21">
        <v>2</v>
      </c>
      <c r="M120" s="21">
        <v>2</v>
      </c>
      <c r="N120" s="21">
        <v>2</v>
      </c>
      <c r="O120">
        <v>11.8</v>
      </c>
      <c r="P120">
        <v>34.700000000000003</v>
      </c>
      <c r="Q120">
        <v>94.1</v>
      </c>
      <c r="R120">
        <v>15.08</v>
      </c>
      <c r="S120">
        <v>5.6</v>
      </c>
      <c r="T120">
        <v>122</v>
      </c>
      <c r="U120">
        <v>72.2</v>
      </c>
      <c r="V120">
        <v>33</v>
      </c>
      <c r="W120">
        <v>84</v>
      </c>
      <c r="X120">
        <v>16.8</v>
      </c>
      <c r="Y120">
        <v>366</v>
      </c>
      <c r="AA120">
        <v>7</v>
      </c>
      <c r="AB120">
        <v>3</v>
      </c>
      <c r="AC120">
        <v>1</v>
      </c>
      <c r="AD120">
        <v>3</v>
      </c>
      <c r="AE120">
        <v>5</v>
      </c>
      <c r="AF120" s="21">
        <v>1</v>
      </c>
      <c r="AG120">
        <v>1</v>
      </c>
      <c r="AH120">
        <v>1</v>
      </c>
      <c r="AI120">
        <v>2</v>
      </c>
      <c r="AL120">
        <v>2</v>
      </c>
      <c r="AM120">
        <v>2</v>
      </c>
      <c r="AO120">
        <v>0</v>
      </c>
      <c r="AP120">
        <v>1</v>
      </c>
      <c r="AQ120">
        <v>1</v>
      </c>
      <c r="AR120">
        <v>2</v>
      </c>
      <c r="AS120">
        <v>1</v>
      </c>
      <c r="AT120">
        <v>1</v>
      </c>
      <c r="AU120">
        <v>1</v>
      </c>
      <c r="AV120">
        <v>0</v>
      </c>
      <c r="AW120">
        <v>0</v>
      </c>
      <c r="AX120">
        <v>0</v>
      </c>
      <c r="AY120">
        <v>0</v>
      </c>
      <c r="AZ120">
        <v>0</v>
      </c>
      <c r="BA120">
        <v>0</v>
      </c>
      <c r="BB120">
        <v>0</v>
      </c>
      <c r="BC120" s="21">
        <v>7</v>
      </c>
      <c r="BD120">
        <v>1</v>
      </c>
      <c r="BE120">
        <v>1</v>
      </c>
      <c r="BF120" t="s">
        <v>1040</v>
      </c>
      <c r="BG120" s="21">
        <v>1</v>
      </c>
    </row>
    <row r="121" spans="1:59" ht="15" customHeight="1" x14ac:dyDescent="0.25">
      <c r="A121" t="s">
        <v>515</v>
      </c>
      <c r="B121" s="21">
        <v>68</v>
      </c>
      <c r="C121" s="21">
        <v>2</v>
      </c>
      <c r="D121" s="21">
        <v>12</v>
      </c>
      <c r="E121" s="21">
        <v>1</v>
      </c>
      <c r="F121" s="21">
        <v>1</v>
      </c>
      <c r="G121" s="21">
        <v>2</v>
      </c>
      <c r="H121" s="21">
        <v>2</v>
      </c>
      <c r="I121" s="21">
        <v>2</v>
      </c>
      <c r="J121">
        <v>2</v>
      </c>
      <c r="K121" s="21">
        <v>2</v>
      </c>
      <c r="L121" s="21">
        <v>2</v>
      </c>
      <c r="M121" s="21">
        <v>2</v>
      </c>
      <c r="N121" s="21">
        <v>1</v>
      </c>
      <c r="O121">
        <v>14.3</v>
      </c>
      <c r="P121">
        <v>42.8</v>
      </c>
      <c r="Q121">
        <v>91.5</v>
      </c>
      <c r="S121">
        <v>11.1</v>
      </c>
      <c r="T121">
        <v>196</v>
      </c>
      <c r="U121">
        <v>127</v>
      </c>
      <c r="V121">
        <v>43</v>
      </c>
      <c r="W121">
        <v>130</v>
      </c>
      <c r="X121">
        <v>26</v>
      </c>
      <c r="AA121">
        <v>9</v>
      </c>
      <c r="AB121">
        <v>3</v>
      </c>
      <c r="AC121">
        <v>1</v>
      </c>
      <c r="AD121">
        <v>3</v>
      </c>
      <c r="AE121">
        <v>5</v>
      </c>
      <c r="AF121" s="21">
        <v>1</v>
      </c>
      <c r="AG121">
        <v>1</v>
      </c>
      <c r="AH121">
        <v>2</v>
      </c>
      <c r="AI121">
        <v>2</v>
      </c>
      <c r="AL121">
        <v>2</v>
      </c>
      <c r="AM121">
        <v>2</v>
      </c>
      <c r="AN121">
        <v>100</v>
      </c>
      <c r="AO121">
        <v>0</v>
      </c>
      <c r="AP121">
        <v>0</v>
      </c>
      <c r="AQ121">
        <v>0</v>
      </c>
      <c r="AR121">
        <v>0</v>
      </c>
      <c r="AS121">
        <v>0</v>
      </c>
      <c r="AT121">
        <v>0</v>
      </c>
      <c r="AU121">
        <v>0</v>
      </c>
      <c r="AV121">
        <v>0</v>
      </c>
      <c r="AW121">
        <v>0</v>
      </c>
      <c r="AX121">
        <v>1</v>
      </c>
      <c r="AY121">
        <v>2</v>
      </c>
      <c r="AZ121">
        <v>1</v>
      </c>
      <c r="BA121">
        <v>1</v>
      </c>
      <c r="BB121">
        <v>1</v>
      </c>
      <c r="BC121" s="21">
        <v>6</v>
      </c>
      <c r="BD121">
        <v>0</v>
      </c>
      <c r="BE121">
        <v>1</v>
      </c>
      <c r="BF121" t="s">
        <v>1110</v>
      </c>
      <c r="BG121" s="21">
        <v>0</v>
      </c>
    </row>
    <row r="122" spans="1:59" ht="15" customHeight="1" x14ac:dyDescent="0.25">
      <c r="A122" t="s">
        <v>266</v>
      </c>
      <c r="B122" s="21">
        <v>51</v>
      </c>
      <c r="C122" s="21">
        <v>1</v>
      </c>
      <c r="D122" s="21">
        <v>12</v>
      </c>
      <c r="E122" s="21">
        <v>2</v>
      </c>
      <c r="F122" s="21">
        <v>1</v>
      </c>
      <c r="G122" s="21">
        <v>2</v>
      </c>
      <c r="H122" s="21">
        <v>1</v>
      </c>
      <c r="I122" s="21">
        <v>2</v>
      </c>
      <c r="J122">
        <v>2</v>
      </c>
      <c r="K122" s="21">
        <v>2</v>
      </c>
      <c r="L122" s="21">
        <v>2</v>
      </c>
      <c r="M122" s="21">
        <v>2</v>
      </c>
      <c r="N122" s="21">
        <v>2</v>
      </c>
      <c r="O122">
        <v>13.3</v>
      </c>
      <c r="P122">
        <v>41.5</v>
      </c>
      <c r="R122">
        <v>30.8</v>
      </c>
      <c r="S122">
        <v>8</v>
      </c>
      <c r="Y122">
        <v>153</v>
      </c>
      <c r="AA122">
        <v>9</v>
      </c>
      <c r="AB122">
        <v>3</v>
      </c>
      <c r="AC122">
        <v>1</v>
      </c>
      <c r="AD122">
        <v>3</v>
      </c>
      <c r="AE122">
        <v>5</v>
      </c>
      <c r="AF122" s="21">
        <v>1</v>
      </c>
      <c r="AG122">
        <v>1</v>
      </c>
      <c r="AH122">
        <v>1</v>
      </c>
      <c r="AI122">
        <v>2</v>
      </c>
      <c r="AK122">
        <v>3</v>
      </c>
      <c r="AL122">
        <v>2</v>
      </c>
      <c r="AM122">
        <v>2</v>
      </c>
      <c r="AN122">
        <v>50</v>
      </c>
      <c r="AO122">
        <v>0</v>
      </c>
      <c r="AP122">
        <v>0</v>
      </c>
      <c r="AQ122">
        <v>2</v>
      </c>
      <c r="AR122">
        <v>2</v>
      </c>
      <c r="AS122">
        <v>0</v>
      </c>
      <c r="AT122">
        <v>1</v>
      </c>
      <c r="AU122">
        <v>1</v>
      </c>
      <c r="AV122">
        <v>0</v>
      </c>
      <c r="AW122">
        <v>0</v>
      </c>
      <c r="AX122">
        <v>0</v>
      </c>
      <c r="AY122">
        <v>0</v>
      </c>
      <c r="AZ122">
        <v>0</v>
      </c>
      <c r="BA122">
        <v>0</v>
      </c>
      <c r="BB122">
        <v>0</v>
      </c>
      <c r="BC122" s="21">
        <v>6</v>
      </c>
      <c r="BD122">
        <v>1</v>
      </c>
      <c r="BE122">
        <v>0</v>
      </c>
      <c r="BF122">
        <v>0</v>
      </c>
      <c r="BG122" s="21">
        <v>4</v>
      </c>
    </row>
    <row r="123" spans="1:59" ht="15" customHeight="1" x14ac:dyDescent="0.25">
      <c r="A123" t="s">
        <v>233</v>
      </c>
      <c r="B123" s="21">
        <v>42</v>
      </c>
      <c r="C123" s="21">
        <v>1</v>
      </c>
      <c r="D123" s="21">
        <v>22</v>
      </c>
      <c r="E123" s="21">
        <v>1</v>
      </c>
      <c r="F123" s="21">
        <v>2</v>
      </c>
      <c r="G123" s="21">
        <v>1</v>
      </c>
      <c r="H123" s="21">
        <v>2</v>
      </c>
      <c r="I123" s="21">
        <v>2</v>
      </c>
      <c r="J123">
        <v>2</v>
      </c>
      <c r="K123" s="21">
        <v>2</v>
      </c>
      <c r="L123" s="21">
        <v>1</v>
      </c>
      <c r="M123" s="21">
        <v>2</v>
      </c>
      <c r="N123" s="21">
        <v>1</v>
      </c>
      <c r="O123">
        <v>12.9</v>
      </c>
      <c r="P123">
        <v>34.6</v>
      </c>
      <c r="R123">
        <v>29.76</v>
      </c>
      <c r="T123">
        <v>5.8</v>
      </c>
      <c r="U123">
        <v>111.6</v>
      </c>
      <c r="V123">
        <v>25</v>
      </c>
      <c r="W123">
        <v>147</v>
      </c>
      <c r="Y123">
        <v>176</v>
      </c>
      <c r="AA123">
        <v>7</v>
      </c>
      <c r="AB123">
        <v>3</v>
      </c>
      <c r="AC123">
        <v>2</v>
      </c>
      <c r="AD123">
        <v>2</v>
      </c>
      <c r="AE123">
        <v>4</v>
      </c>
      <c r="AF123" s="21">
        <v>0</v>
      </c>
      <c r="AG123">
        <v>1</v>
      </c>
      <c r="AH123">
        <v>2</v>
      </c>
      <c r="AI123">
        <v>1</v>
      </c>
      <c r="AJ123">
        <v>1</v>
      </c>
      <c r="AK123">
        <v>4</v>
      </c>
      <c r="AL123">
        <v>2</v>
      </c>
      <c r="AM123">
        <v>1</v>
      </c>
      <c r="AN123">
        <v>100</v>
      </c>
      <c r="AO123">
        <v>0</v>
      </c>
      <c r="AP123">
        <v>0</v>
      </c>
      <c r="AQ123">
        <v>0</v>
      </c>
      <c r="AR123">
        <v>0</v>
      </c>
      <c r="AS123">
        <v>0</v>
      </c>
      <c r="AT123">
        <v>0</v>
      </c>
      <c r="AU123">
        <v>0</v>
      </c>
      <c r="AV123">
        <v>1</v>
      </c>
      <c r="AW123">
        <v>2</v>
      </c>
      <c r="AX123">
        <v>2</v>
      </c>
      <c r="AY123">
        <v>2</v>
      </c>
      <c r="AZ123">
        <v>0</v>
      </c>
      <c r="BA123">
        <v>1</v>
      </c>
      <c r="BB123">
        <v>1</v>
      </c>
      <c r="BC123" s="21">
        <v>9</v>
      </c>
      <c r="BD123">
        <v>1</v>
      </c>
      <c r="BE123">
        <v>1</v>
      </c>
      <c r="BF123">
        <v>0</v>
      </c>
      <c r="BG123" s="21">
        <v>1</v>
      </c>
    </row>
    <row r="124" spans="1:59" ht="15" customHeight="1" x14ac:dyDescent="0.25">
      <c r="A124" t="s">
        <v>565</v>
      </c>
      <c r="B124" s="21">
        <v>50</v>
      </c>
      <c r="C124" s="21">
        <v>1</v>
      </c>
      <c r="D124" s="21">
        <v>17</v>
      </c>
      <c r="E124" s="21">
        <v>2</v>
      </c>
      <c r="F124" s="21">
        <v>2</v>
      </c>
      <c r="G124" s="21">
        <v>1</v>
      </c>
      <c r="H124" s="21">
        <v>2</v>
      </c>
      <c r="I124" s="21">
        <v>2</v>
      </c>
      <c r="J124">
        <v>2</v>
      </c>
      <c r="K124" s="21">
        <v>2</v>
      </c>
      <c r="L124" s="21">
        <v>2</v>
      </c>
      <c r="M124" s="21">
        <v>2</v>
      </c>
      <c r="N124" s="21">
        <v>2</v>
      </c>
      <c r="O124">
        <v>12.1</v>
      </c>
      <c r="P124">
        <v>35.200000000000003</v>
      </c>
      <c r="Q124">
        <v>95.6</v>
      </c>
      <c r="R124">
        <v>16.89</v>
      </c>
      <c r="T124">
        <v>193</v>
      </c>
      <c r="U124">
        <v>132.19999999999999</v>
      </c>
      <c r="V124">
        <v>40</v>
      </c>
      <c r="W124">
        <v>104</v>
      </c>
      <c r="X124">
        <v>20.8</v>
      </c>
      <c r="AA124">
        <v>8</v>
      </c>
      <c r="AB124">
        <v>3</v>
      </c>
      <c r="AC124">
        <v>1</v>
      </c>
      <c r="AD124">
        <v>2</v>
      </c>
      <c r="AE124">
        <v>5</v>
      </c>
      <c r="AF124" s="21">
        <v>0</v>
      </c>
      <c r="AG124">
        <v>1</v>
      </c>
      <c r="AH124">
        <v>2</v>
      </c>
      <c r="AI124">
        <v>2</v>
      </c>
      <c r="AL124">
        <v>2</v>
      </c>
      <c r="AM124">
        <v>2</v>
      </c>
      <c r="AO124">
        <v>0</v>
      </c>
      <c r="AP124">
        <v>0</v>
      </c>
      <c r="AQ124">
        <v>0</v>
      </c>
      <c r="AR124">
        <v>0</v>
      </c>
      <c r="AS124">
        <v>0</v>
      </c>
      <c r="AT124">
        <v>0</v>
      </c>
      <c r="AU124">
        <v>0</v>
      </c>
      <c r="AV124">
        <v>1</v>
      </c>
      <c r="AW124">
        <v>2</v>
      </c>
      <c r="AX124">
        <v>2</v>
      </c>
      <c r="AY124">
        <v>1</v>
      </c>
      <c r="AZ124">
        <v>1</v>
      </c>
      <c r="BA124">
        <v>1</v>
      </c>
      <c r="BB124">
        <v>1</v>
      </c>
      <c r="BC124" s="21">
        <v>9</v>
      </c>
      <c r="BD124">
        <v>1</v>
      </c>
      <c r="BE124">
        <v>1</v>
      </c>
      <c r="BF124">
        <v>0</v>
      </c>
      <c r="BG124" s="21">
        <v>6</v>
      </c>
    </row>
    <row r="125" spans="1:59" ht="15" customHeight="1" x14ac:dyDescent="0.25">
      <c r="A125" t="s">
        <v>257</v>
      </c>
      <c r="B125" s="21">
        <v>25</v>
      </c>
      <c r="C125" s="21">
        <v>1</v>
      </c>
      <c r="D125" s="21">
        <v>8</v>
      </c>
      <c r="E125" s="21">
        <v>2</v>
      </c>
      <c r="F125" s="21">
        <v>2</v>
      </c>
      <c r="G125" s="21">
        <v>2</v>
      </c>
      <c r="H125" s="21">
        <v>2</v>
      </c>
      <c r="I125" s="21">
        <v>2</v>
      </c>
      <c r="J125">
        <v>2</v>
      </c>
      <c r="K125" s="21">
        <v>2</v>
      </c>
      <c r="L125" s="21">
        <v>2</v>
      </c>
      <c r="M125" s="21">
        <v>2</v>
      </c>
      <c r="N125" s="21">
        <v>2</v>
      </c>
      <c r="O125">
        <v>13.6</v>
      </c>
      <c r="P125">
        <v>43.7</v>
      </c>
      <c r="Q125">
        <v>74.3</v>
      </c>
      <c r="R125">
        <v>8.5299999999999994</v>
      </c>
      <c r="T125">
        <v>166</v>
      </c>
      <c r="U125">
        <v>101.4</v>
      </c>
      <c r="V125">
        <v>29</v>
      </c>
      <c r="W125">
        <v>178</v>
      </c>
      <c r="X125">
        <v>35.6</v>
      </c>
      <c r="Y125">
        <v>406</v>
      </c>
      <c r="AA125">
        <v>9</v>
      </c>
      <c r="AB125">
        <v>3</v>
      </c>
      <c r="AC125">
        <v>1</v>
      </c>
      <c r="AD125">
        <v>3</v>
      </c>
      <c r="AE125">
        <v>5</v>
      </c>
      <c r="AF125" s="21">
        <v>1</v>
      </c>
      <c r="AG125">
        <v>1</v>
      </c>
      <c r="AH125">
        <v>2</v>
      </c>
      <c r="AI125">
        <v>1</v>
      </c>
      <c r="AJ125">
        <v>1</v>
      </c>
      <c r="AK125">
        <v>4</v>
      </c>
      <c r="AL125">
        <v>2</v>
      </c>
      <c r="AM125">
        <v>2</v>
      </c>
      <c r="AN125">
        <v>100</v>
      </c>
      <c r="AO125">
        <v>1</v>
      </c>
      <c r="AP125">
        <v>2</v>
      </c>
      <c r="AQ125">
        <v>0</v>
      </c>
      <c r="AR125">
        <v>1</v>
      </c>
      <c r="AS125">
        <v>1</v>
      </c>
      <c r="AT125">
        <v>1</v>
      </c>
      <c r="AU125">
        <v>1</v>
      </c>
      <c r="AV125">
        <v>0</v>
      </c>
      <c r="AW125">
        <v>0</v>
      </c>
      <c r="AX125">
        <v>0</v>
      </c>
      <c r="AY125">
        <v>0</v>
      </c>
      <c r="AZ125">
        <v>0</v>
      </c>
      <c r="BA125">
        <v>0</v>
      </c>
      <c r="BB125">
        <v>0</v>
      </c>
      <c r="BC125" s="21">
        <v>7</v>
      </c>
      <c r="BD125">
        <v>1</v>
      </c>
      <c r="BE125">
        <v>1</v>
      </c>
      <c r="BF125">
        <v>0</v>
      </c>
      <c r="BG125" s="21">
        <v>0</v>
      </c>
    </row>
    <row r="126" spans="1:59" ht="15" customHeight="1" x14ac:dyDescent="0.25">
      <c r="A126" t="s">
        <v>949</v>
      </c>
      <c r="B126" s="21">
        <v>53</v>
      </c>
      <c r="C126" s="21">
        <v>2</v>
      </c>
      <c r="D126" s="21">
        <v>7</v>
      </c>
      <c r="E126" s="21">
        <v>1</v>
      </c>
      <c r="F126" s="21">
        <v>1</v>
      </c>
      <c r="G126" s="21">
        <v>2</v>
      </c>
      <c r="H126" s="21">
        <v>2</v>
      </c>
      <c r="I126" s="21">
        <v>2</v>
      </c>
      <c r="J126">
        <v>2</v>
      </c>
      <c r="K126" s="21">
        <v>2</v>
      </c>
      <c r="L126" s="21">
        <v>2</v>
      </c>
      <c r="M126" s="21">
        <v>2</v>
      </c>
      <c r="N126" s="21">
        <v>1</v>
      </c>
      <c r="O126">
        <v>13.9</v>
      </c>
      <c r="P126">
        <v>41.8</v>
      </c>
      <c r="Q126">
        <v>87.6</v>
      </c>
      <c r="R126">
        <v>10</v>
      </c>
      <c r="S126">
        <v>12.4</v>
      </c>
      <c r="T126">
        <v>195</v>
      </c>
      <c r="U126">
        <v>138</v>
      </c>
      <c r="V126">
        <v>35</v>
      </c>
      <c r="W126">
        <v>109</v>
      </c>
      <c r="X126">
        <v>21.8</v>
      </c>
      <c r="Y126">
        <v>148</v>
      </c>
      <c r="AA126">
        <v>8</v>
      </c>
      <c r="AB126">
        <v>3</v>
      </c>
      <c r="AC126">
        <v>1</v>
      </c>
      <c r="AD126">
        <v>3</v>
      </c>
      <c r="AE126">
        <v>4</v>
      </c>
      <c r="AF126" s="21">
        <v>1</v>
      </c>
      <c r="AG126">
        <v>1</v>
      </c>
      <c r="AH126">
        <v>2</v>
      </c>
      <c r="AI126">
        <v>2</v>
      </c>
      <c r="AK126">
        <v>4</v>
      </c>
      <c r="AL126">
        <v>2</v>
      </c>
      <c r="AM126">
        <v>2</v>
      </c>
      <c r="AN126">
        <v>100</v>
      </c>
      <c r="AO126">
        <v>1</v>
      </c>
      <c r="AP126">
        <v>2</v>
      </c>
      <c r="AQ126">
        <v>2</v>
      </c>
      <c r="AR126">
        <v>2</v>
      </c>
      <c r="AS126">
        <v>1</v>
      </c>
      <c r="AT126">
        <v>0</v>
      </c>
      <c r="AU126">
        <v>1</v>
      </c>
      <c r="AV126">
        <v>0</v>
      </c>
      <c r="AW126">
        <v>0</v>
      </c>
      <c r="AX126">
        <v>0</v>
      </c>
      <c r="AY126">
        <v>0</v>
      </c>
      <c r="AZ126">
        <v>0</v>
      </c>
      <c r="BA126">
        <v>0</v>
      </c>
      <c r="BB126">
        <v>0</v>
      </c>
      <c r="BC126" s="21">
        <v>9</v>
      </c>
      <c r="BD126">
        <v>1</v>
      </c>
      <c r="BE126">
        <v>1</v>
      </c>
      <c r="BF126">
        <v>1</v>
      </c>
      <c r="BG126" s="21">
        <v>1</v>
      </c>
    </row>
    <row r="127" spans="1:59" ht="15" customHeight="1" x14ac:dyDescent="0.25">
      <c r="A127" t="s">
        <v>390</v>
      </c>
      <c r="B127" s="21">
        <v>42</v>
      </c>
      <c r="C127" s="21">
        <v>1</v>
      </c>
      <c r="D127" s="21">
        <v>17</v>
      </c>
      <c r="E127" s="21">
        <v>2</v>
      </c>
      <c r="F127" s="21">
        <v>2</v>
      </c>
      <c r="G127" s="21">
        <v>2</v>
      </c>
      <c r="H127" s="21">
        <v>2</v>
      </c>
      <c r="I127" s="21">
        <v>2</v>
      </c>
      <c r="J127">
        <v>2</v>
      </c>
      <c r="K127" s="21">
        <v>2</v>
      </c>
      <c r="L127" s="21">
        <v>2</v>
      </c>
      <c r="M127" s="21">
        <v>2</v>
      </c>
      <c r="N127" s="21">
        <v>2</v>
      </c>
      <c r="O127">
        <v>16.2</v>
      </c>
      <c r="P127">
        <v>49.3</v>
      </c>
      <c r="Q127">
        <v>89.9</v>
      </c>
      <c r="R127">
        <v>24.54</v>
      </c>
      <c r="S127">
        <v>5.4</v>
      </c>
      <c r="T127">
        <v>173</v>
      </c>
      <c r="U127">
        <v>101.8</v>
      </c>
      <c r="V127">
        <v>43</v>
      </c>
      <c r="W127">
        <v>141</v>
      </c>
      <c r="X127">
        <v>28.2</v>
      </c>
      <c r="Y127">
        <v>221</v>
      </c>
      <c r="AA127">
        <v>10</v>
      </c>
      <c r="AB127">
        <v>3</v>
      </c>
      <c r="AC127">
        <v>1</v>
      </c>
      <c r="AD127">
        <v>2</v>
      </c>
      <c r="AE127">
        <v>5</v>
      </c>
      <c r="AF127" s="21">
        <v>0</v>
      </c>
      <c r="AG127">
        <v>1</v>
      </c>
      <c r="AH127">
        <v>2</v>
      </c>
      <c r="AI127">
        <v>1</v>
      </c>
      <c r="AJ127">
        <v>1</v>
      </c>
      <c r="AL127">
        <v>2</v>
      </c>
      <c r="AM127">
        <v>2</v>
      </c>
      <c r="AN127">
        <v>100</v>
      </c>
      <c r="AO127">
        <v>0</v>
      </c>
      <c r="AP127">
        <v>0</v>
      </c>
      <c r="AQ127">
        <v>0</v>
      </c>
      <c r="AR127">
        <v>0</v>
      </c>
      <c r="AS127">
        <v>0</v>
      </c>
      <c r="AT127">
        <v>0</v>
      </c>
      <c r="AU127">
        <v>0</v>
      </c>
      <c r="AV127">
        <v>1</v>
      </c>
      <c r="AW127">
        <v>2</v>
      </c>
      <c r="AX127">
        <v>2</v>
      </c>
      <c r="AY127">
        <v>2</v>
      </c>
      <c r="AZ127">
        <v>1</v>
      </c>
      <c r="BA127">
        <v>1</v>
      </c>
      <c r="BB127">
        <v>1</v>
      </c>
      <c r="BC127" s="21">
        <v>10</v>
      </c>
      <c r="BD127">
        <v>1</v>
      </c>
      <c r="BE127">
        <v>1</v>
      </c>
      <c r="BF127">
        <v>0</v>
      </c>
      <c r="BG127" s="21">
        <v>0</v>
      </c>
    </row>
    <row r="128" spans="1:59" ht="15" customHeight="1" x14ac:dyDescent="0.25">
      <c r="A128" t="s">
        <v>39</v>
      </c>
      <c r="B128" s="21">
        <v>45</v>
      </c>
      <c r="C128" s="21">
        <v>2</v>
      </c>
      <c r="D128" s="21">
        <v>17</v>
      </c>
      <c r="E128" s="21">
        <v>2</v>
      </c>
      <c r="F128" s="21">
        <v>1</v>
      </c>
      <c r="G128" s="21">
        <v>2</v>
      </c>
      <c r="H128" s="21">
        <v>2</v>
      </c>
      <c r="I128" s="21">
        <v>2</v>
      </c>
      <c r="J128">
        <v>2</v>
      </c>
      <c r="K128" s="21">
        <v>2</v>
      </c>
      <c r="L128" s="21">
        <v>2</v>
      </c>
      <c r="M128" s="21">
        <v>2</v>
      </c>
      <c r="N128" s="21">
        <v>2</v>
      </c>
      <c r="O128">
        <v>7.7</v>
      </c>
      <c r="P128">
        <v>8.66</v>
      </c>
      <c r="Q128">
        <v>53.4</v>
      </c>
      <c r="R128">
        <v>8.66</v>
      </c>
      <c r="S128">
        <v>9.9</v>
      </c>
      <c r="T128">
        <v>197</v>
      </c>
      <c r="U128">
        <v>139.80000000000001</v>
      </c>
      <c r="V128">
        <v>33</v>
      </c>
      <c r="W128">
        <v>121</v>
      </c>
      <c r="X128">
        <v>24.2</v>
      </c>
      <c r="Y128">
        <v>2000</v>
      </c>
      <c r="AA128">
        <v>7</v>
      </c>
      <c r="AB128">
        <v>3</v>
      </c>
      <c r="AC128">
        <v>1</v>
      </c>
      <c r="AD128">
        <v>3</v>
      </c>
      <c r="AE128">
        <v>4</v>
      </c>
      <c r="AF128" s="21">
        <v>1</v>
      </c>
      <c r="AG128">
        <v>1</v>
      </c>
      <c r="AH128">
        <v>2</v>
      </c>
      <c r="AI128">
        <v>2</v>
      </c>
      <c r="AL128">
        <v>2</v>
      </c>
      <c r="AM128">
        <v>1</v>
      </c>
      <c r="AN128">
        <v>15</v>
      </c>
      <c r="AO128">
        <v>0</v>
      </c>
      <c r="AP128">
        <v>0</v>
      </c>
      <c r="AQ128">
        <v>0</v>
      </c>
      <c r="AR128">
        <v>0</v>
      </c>
      <c r="AS128">
        <v>0</v>
      </c>
      <c r="AT128">
        <v>0</v>
      </c>
      <c r="AU128">
        <v>0</v>
      </c>
      <c r="AV128">
        <v>1</v>
      </c>
      <c r="AW128">
        <v>2</v>
      </c>
      <c r="AX128">
        <v>2</v>
      </c>
      <c r="AY128">
        <v>2</v>
      </c>
      <c r="AZ128">
        <v>1</v>
      </c>
      <c r="BA128">
        <v>1</v>
      </c>
      <c r="BB128">
        <v>1</v>
      </c>
      <c r="BC128" s="21">
        <v>10</v>
      </c>
      <c r="BD128">
        <v>0</v>
      </c>
      <c r="BE128">
        <v>1</v>
      </c>
      <c r="BF128">
        <v>0</v>
      </c>
      <c r="BG128" s="21">
        <v>4</v>
      </c>
    </row>
    <row r="129" spans="1:59" ht="15" customHeight="1" x14ac:dyDescent="0.25">
      <c r="A129" t="s">
        <v>489</v>
      </c>
      <c r="B129" s="21">
        <v>77</v>
      </c>
      <c r="C129" s="21">
        <v>2</v>
      </c>
      <c r="D129" s="21">
        <v>19</v>
      </c>
      <c r="E129" s="21">
        <v>1</v>
      </c>
      <c r="F129" s="21">
        <v>2</v>
      </c>
      <c r="G129" s="21">
        <v>1</v>
      </c>
      <c r="H129" s="21">
        <v>2</v>
      </c>
      <c r="I129" s="21">
        <v>2</v>
      </c>
      <c r="J129">
        <v>2</v>
      </c>
      <c r="K129" s="21">
        <v>2</v>
      </c>
      <c r="L129" s="21">
        <v>2</v>
      </c>
      <c r="M129" s="21">
        <v>2</v>
      </c>
      <c r="N129" s="21">
        <v>2</v>
      </c>
      <c r="O129">
        <v>11.9</v>
      </c>
      <c r="P129">
        <v>36</v>
      </c>
      <c r="Q129">
        <v>97.4</v>
      </c>
      <c r="AA129">
        <v>3</v>
      </c>
      <c r="AB129">
        <v>3</v>
      </c>
      <c r="AC129">
        <v>1</v>
      </c>
      <c r="AD129">
        <v>5</v>
      </c>
      <c r="AE129">
        <v>5</v>
      </c>
      <c r="AF129" s="21">
        <v>1</v>
      </c>
      <c r="AG129">
        <v>1</v>
      </c>
      <c r="AI129">
        <v>2</v>
      </c>
      <c r="AK129">
        <v>1</v>
      </c>
      <c r="AL129">
        <v>2</v>
      </c>
      <c r="AM129">
        <v>2</v>
      </c>
      <c r="AN129">
        <v>60</v>
      </c>
      <c r="AO129">
        <v>0</v>
      </c>
      <c r="AP129">
        <v>0</v>
      </c>
      <c r="AQ129">
        <v>0</v>
      </c>
      <c r="AR129">
        <v>0</v>
      </c>
      <c r="AS129">
        <v>0</v>
      </c>
      <c r="AT129">
        <v>0</v>
      </c>
      <c r="AU129">
        <v>0</v>
      </c>
      <c r="AV129">
        <v>0</v>
      </c>
      <c r="AW129">
        <v>2</v>
      </c>
      <c r="AX129">
        <v>1</v>
      </c>
      <c r="AY129">
        <v>2</v>
      </c>
      <c r="AZ129">
        <v>1</v>
      </c>
      <c r="BA129">
        <v>1</v>
      </c>
      <c r="BB129">
        <v>1</v>
      </c>
      <c r="BC129" s="21">
        <v>8</v>
      </c>
      <c r="BD129">
        <v>0</v>
      </c>
      <c r="BE129">
        <v>1</v>
      </c>
      <c r="BF129" t="s">
        <v>1004</v>
      </c>
      <c r="BG129" s="21">
        <v>2</v>
      </c>
    </row>
    <row r="130" spans="1:59" ht="15" customHeight="1" x14ac:dyDescent="0.25">
      <c r="A130" t="s">
        <v>455</v>
      </c>
      <c r="B130" s="21">
        <v>60</v>
      </c>
      <c r="C130" s="21">
        <v>1</v>
      </c>
      <c r="D130" s="21">
        <v>2</v>
      </c>
      <c r="E130" s="21">
        <v>1</v>
      </c>
      <c r="F130" s="21">
        <v>1</v>
      </c>
      <c r="G130" s="21">
        <v>1</v>
      </c>
      <c r="H130" s="21">
        <v>1</v>
      </c>
      <c r="I130" s="21">
        <v>2</v>
      </c>
      <c r="J130">
        <v>1</v>
      </c>
      <c r="K130" s="21">
        <v>2</v>
      </c>
      <c r="L130" s="21">
        <v>2</v>
      </c>
      <c r="M130" s="21">
        <v>2</v>
      </c>
      <c r="N130" s="21">
        <v>2</v>
      </c>
      <c r="O130">
        <v>13.1</v>
      </c>
      <c r="P130">
        <v>39</v>
      </c>
      <c r="Q130">
        <v>97</v>
      </c>
      <c r="R130">
        <v>11.32</v>
      </c>
      <c r="S130">
        <v>8.6999999999999993</v>
      </c>
      <c r="T130">
        <v>299</v>
      </c>
      <c r="V130">
        <v>39</v>
      </c>
      <c r="W130">
        <v>463</v>
      </c>
      <c r="Y130">
        <v>2000</v>
      </c>
      <c r="AA130">
        <v>9</v>
      </c>
      <c r="AB130">
        <v>3</v>
      </c>
      <c r="AC130">
        <v>1</v>
      </c>
      <c r="AD130">
        <v>3</v>
      </c>
      <c r="AE130">
        <v>5</v>
      </c>
      <c r="AF130" s="21">
        <v>1</v>
      </c>
      <c r="AG130">
        <v>1</v>
      </c>
      <c r="AH130">
        <v>1</v>
      </c>
      <c r="AI130">
        <v>2</v>
      </c>
      <c r="AL130">
        <v>2</v>
      </c>
      <c r="AM130">
        <v>2</v>
      </c>
      <c r="AN130">
        <v>100</v>
      </c>
      <c r="AO130">
        <v>1</v>
      </c>
      <c r="AP130">
        <v>2</v>
      </c>
      <c r="AQ130">
        <v>2</v>
      </c>
      <c r="AR130">
        <v>2</v>
      </c>
      <c r="AS130">
        <v>1</v>
      </c>
      <c r="AT130">
        <v>1</v>
      </c>
      <c r="AU130">
        <v>1</v>
      </c>
      <c r="AV130">
        <v>0</v>
      </c>
      <c r="AW130">
        <v>0</v>
      </c>
      <c r="AX130">
        <v>0</v>
      </c>
      <c r="AY130">
        <v>0</v>
      </c>
      <c r="AZ130">
        <v>0</v>
      </c>
      <c r="BA130">
        <v>0</v>
      </c>
      <c r="BB130">
        <v>0</v>
      </c>
      <c r="BC130" s="21">
        <v>10</v>
      </c>
      <c r="BD130">
        <v>1</v>
      </c>
      <c r="BE130">
        <v>1</v>
      </c>
      <c r="BF130" t="s">
        <v>974</v>
      </c>
      <c r="BG130" s="21">
        <v>0</v>
      </c>
    </row>
    <row r="131" spans="1:59" ht="15" customHeight="1" x14ac:dyDescent="0.25">
      <c r="A131" t="s">
        <v>433</v>
      </c>
      <c r="B131" s="21">
        <v>75</v>
      </c>
      <c r="C131" s="21">
        <v>2</v>
      </c>
      <c r="D131" s="21">
        <v>26</v>
      </c>
      <c r="E131" s="21">
        <v>1</v>
      </c>
      <c r="F131" s="21">
        <v>2</v>
      </c>
      <c r="G131" s="21">
        <v>2</v>
      </c>
      <c r="H131" s="21">
        <v>2</v>
      </c>
      <c r="I131" s="21">
        <v>2</v>
      </c>
      <c r="J131">
        <v>2</v>
      </c>
      <c r="K131" s="21">
        <v>2</v>
      </c>
      <c r="L131" s="21">
        <v>2</v>
      </c>
      <c r="M131" s="21">
        <v>2</v>
      </c>
      <c r="N131" s="21">
        <v>2</v>
      </c>
      <c r="O131">
        <v>12.7</v>
      </c>
      <c r="P131">
        <v>39</v>
      </c>
      <c r="Q131">
        <v>88.7</v>
      </c>
      <c r="R131">
        <v>14.48</v>
      </c>
      <c r="Y131">
        <v>711</v>
      </c>
      <c r="AA131">
        <v>6</v>
      </c>
      <c r="AB131">
        <v>3</v>
      </c>
      <c r="AC131">
        <v>1</v>
      </c>
      <c r="AD131">
        <v>3</v>
      </c>
      <c r="AE131">
        <v>4</v>
      </c>
      <c r="AF131" s="21">
        <v>1</v>
      </c>
      <c r="AG131">
        <v>1</v>
      </c>
      <c r="AH131">
        <v>2</v>
      </c>
      <c r="AI131">
        <v>2</v>
      </c>
      <c r="AJ131">
        <v>2</v>
      </c>
      <c r="AL131">
        <v>2</v>
      </c>
      <c r="AM131">
        <v>2</v>
      </c>
      <c r="AN131">
        <v>0</v>
      </c>
      <c r="AO131">
        <v>1</v>
      </c>
      <c r="AP131">
        <v>2</v>
      </c>
      <c r="AQ131">
        <v>2</v>
      </c>
      <c r="AR131">
        <v>2</v>
      </c>
      <c r="AS131">
        <v>1</v>
      </c>
      <c r="AT131">
        <v>0</v>
      </c>
      <c r="AU131">
        <v>1</v>
      </c>
      <c r="AV131">
        <v>0</v>
      </c>
      <c r="AW131">
        <v>0</v>
      </c>
      <c r="AX131">
        <v>0</v>
      </c>
      <c r="AY131">
        <v>0</v>
      </c>
      <c r="AZ131">
        <v>0</v>
      </c>
      <c r="BA131">
        <v>0</v>
      </c>
      <c r="BB131">
        <v>0</v>
      </c>
      <c r="BC131" s="21">
        <v>9</v>
      </c>
      <c r="BD131">
        <v>0</v>
      </c>
      <c r="BE131">
        <v>0</v>
      </c>
      <c r="BF131" t="s">
        <v>1040</v>
      </c>
      <c r="BG131" s="21">
        <v>6</v>
      </c>
    </row>
    <row r="132" spans="1:59" ht="15" customHeight="1" x14ac:dyDescent="0.25">
      <c r="A132" t="s">
        <v>269</v>
      </c>
      <c r="B132" s="21">
        <v>37</v>
      </c>
      <c r="C132" s="21">
        <v>1</v>
      </c>
      <c r="D132" s="21">
        <v>17</v>
      </c>
      <c r="E132" s="21">
        <v>2</v>
      </c>
      <c r="F132" s="21">
        <v>2</v>
      </c>
      <c r="G132" s="21">
        <v>2</v>
      </c>
      <c r="H132" s="21">
        <v>2</v>
      </c>
      <c r="I132" s="21">
        <v>2</v>
      </c>
      <c r="J132">
        <v>2</v>
      </c>
      <c r="K132" s="21">
        <v>2</v>
      </c>
      <c r="L132" s="21">
        <v>2</v>
      </c>
      <c r="M132" s="21">
        <v>2</v>
      </c>
      <c r="N132" s="21">
        <v>2</v>
      </c>
      <c r="O132">
        <v>12.6</v>
      </c>
      <c r="P132">
        <v>38.299999999999997</v>
      </c>
      <c r="Q132">
        <v>92.1</v>
      </c>
      <c r="R132">
        <v>23.02</v>
      </c>
      <c r="T132">
        <v>143</v>
      </c>
      <c r="U132">
        <v>90.6</v>
      </c>
      <c r="V132">
        <v>32</v>
      </c>
      <c r="W132">
        <v>102</v>
      </c>
      <c r="X132">
        <v>20.399999999999999</v>
      </c>
      <c r="Y132">
        <v>2000</v>
      </c>
      <c r="AA132">
        <v>4</v>
      </c>
      <c r="AB132">
        <v>3</v>
      </c>
      <c r="AC132">
        <v>2</v>
      </c>
      <c r="AD132">
        <v>1</v>
      </c>
      <c r="AF132" s="21">
        <v>0</v>
      </c>
      <c r="AG132">
        <v>1</v>
      </c>
      <c r="AH132">
        <v>2</v>
      </c>
      <c r="AI132">
        <v>2</v>
      </c>
      <c r="AK132">
        <v>3</v>
      </c>
      <c r="AN132">
        <v>40</v>
      </c>
      <c r="AO132">
        <v>0</v>
      </c>
      <c r="AP132">
        <v>0</v>
      </c>
      <c r="AQ132">
        <v>0</v>
      </c>
      <c r="AR132">
        <v>0</v>
      </c>
      <c r="AS132">
        <v>0</v>
      </c>
      <c r="AT132">
        <v>0</v>
      </c>
      <c r="AU132">
        <v>0</v>
      </c>
      <c r="AV132">
        <v>1</v>
      </c>
      <c r="AW132">
        <v>2</v>
      </c>
      <c r="AX132">
        <v>0</v>
      </c>
      <c r="AY132">
        <v>0</v>
      </c>
      <c r="AZ132">
        <v>0</v>
      </c>
      <c r="BA132">
        <v>0</v>
      </c>
      <c r="BB132">
        <v>0</v>
      </c>
      <c r="BC132" s="21">
        <v>3</v>
      </c>
      <c r="BD132">
        <v>0</v>
      </c>
      <c r="BE132">
        <v>1</v>
      </c>
      <c r="BF132">
        <v>0</v>
      </c>
      <c r="BG132" s="21">
        <v>4</v>
      </c>
    </row>
    <row r="133" spans="1:59" ht="15" customHeight="1" x14ac:dyDescent="0.25">
      <c r="A133" t="s">
        <v>942</v>
      </c>
      <c r="B133" s="21">
        <v>44</v>
      </c>
      <c r="C133" s="21">
        <v>1</v>
      </c>
      <c r="D133" s="21">
        <v>14</v>
      </c>
      <c r="E133" s="21">
        <v>1</v>
      </c>
      <c r="F133" s="21">
        <v>2</v>
      </c>
      <c r="G133" s="21">
        <v>2</v>
      </c>
      <c r="H133" s="21">
        <v>2</v>
      </c>
      <c r="I133" s="21">
        <v>2</v>
      </c>
      <c r="J133">
        <v>2</v>
      </c>
      <c r="K133" s="21">
        <v>2</v>
      </c>
      <c r="L133" s="21">
        <v>2</v>
      </c>
      <c r="M133" s="21">
        <v>2</v>
      </c>
      <c r="N133" s="21">
        <v>1</v>
      </c>
      <c r="AA133">
        <v>10</v>
      </c>
      <c r="AB133">
        <v>3</v>
      </c>
      <c r="AC133">
        <v>1</v>
      </c>
      <c r="AD133">
        <v>2</v>
      </c>
      <c r="AE133">
        <v>5</v>
      </c>
      <c r="AF133" s="21">
        <v>0</v>
      </c>
      <c r="AG133">
        <v>1</v>
      </c>
      <c r="AH133">
        <v>2</v>
      </c>
      <c r="AI133">
        <v>1</v>
      </c>
      <c r="AJ133">
        <v>2</v>
      </c>
      <c r="AK133">
        <v>4</v>
      </c>
      <c r="AL133">
        <v>2</v>
      </c>
      <c r="AM133">
        <v>2</v>
      </c>
      <c r="AN133">
        <v>100</v>
      </c>
      <c r="AV133">
        <v>1</v>
      </c>
      <c r="AW133">
        <v>2</v>
      </c>
      <c r="AX133">
        <v>2</v>
      </c>
      <c r="AY133">
        <v>2</v>
      </c>
      <c r="AZ133">
        <v>0</v>
      </c>
      <c r="BA133">
        <v>1</v>
      </c>
      <c r="BB133">
        <v>1</v>
      </c>
      <c r="BC133" s="21">
        <v>9</v>
      </c>
      <c r="BD133">
        <v>1</v>
      </c>
      <c r="BE133">
        <v>1</v>
      </c>
      <c r="BF133">
        <v>1</v>
      </c>
      <c r="BG133" s="21">
        <v>1</v>
      </c>
    </row>
    <row r="134" spans="1:59" ht="15" customHeight="1" x14ac:dyDescent="0.25">
      <c r="A134" t="s">
        <v>458</v>
      </c>
      <c r="B134" s="21">
        <v>69</v>
      </c>
      <c r="C134" s="21">
        <v>2</v>
      </c>
      <c r="D134" s="21">
        <v>1</v>
      </c>
      <c r="E134" s="21">
        <v>2</v>
      </c>
      <c r="F134" s="21">
        <v>1</v>
      </c>
      <c r="G134" s="21">
        <v>2</v>
      </c>
      <c r="H134" s="21">
        <v>2</v>
      </c>
      <c r="I134" s="21">
        <v>2</v>
      </c>
      <c r="J134">
        <v>2</v>
      </c>
      <c r="K134" s="21">
        <v>2</v>
      </c>
      <c r="L134" s="21">
        <v>2</v>
      </c>
      <c r="M134" s="21">
        <v>2</v>
      </c>
      <c r="N134" s="21">
        <v>2</v>
      </c>
      <c r="O134">
        <v>10.3</v>
      </c>
      <c r="P134">
        <v>31</v>
      </c>
      <c r="Q134">
        <v>85.2</v>
      </c>
      <c r="R134">
        <v>11.88</v>
      </c>
      <c r="T134">
        <v>176</v>
      </c>
      <c r="V134">
        <v>5</v>
      </c>
      <c r="W134">
        <v>446</v>
      </c>
      <c r="X134">
        <v>89.2</v>
      </c>
      <c r="Y134">
        <v>504</v>
      </c>
      <c r="AA134">
        <v>10</v>
      </c>
      <c r="AB134">
        <v>3</v>
      </c>
      <c r="AC134">
        <v>1</v>
      </c>
      <c r="AD134">
        <v>3</v>
      </c>
      <c r="AE134">
        <v>5</v>
      </c>
      <c r="AF134" s="21">
        <v>1</v>
      </c>
      <c r="AG134">
        <v>1</v>
      </c>
      <c r="AH134">
        <v>1</v>
      </c>
      <c r="AI134">
        <v>2</v>
      </c>
      <c r="AL134">
        <v>2</v>
      </c>
      <c r="AM134">
        <v>2</v>
      </c>
      <c r="AN134">
        <v>100</v>
      </c>
      <c r="AO134">
        <v>0</v>
      </c>
      <c r="AP134">
        <v>0</v>
      </c>
      <c r="AQ134">
        <v>0</v>
      </c>
      <c r="AR134">
        <v>0</v>
      </c>
      <c r="AS134">
        <v>0</v>
      </c>
      <c r="AT134">
        <v>0</v>
      </c>
      <c r="AU134">
        <v>0</v>
      </c>
      <c r="AV134">
        <v>1</v>
      </c>
      <c r="AW134">
        <v>2</v>
      </c>
      <c r="AX134">
        <v>2</v>
      </c>
      <c r="AY134">
        <v>2</v>
      </c>
      <c r="AZ134">
        <v>1</v>
      </c>
      <c r="BA134">
        <v>1</v>
      </c>
      <c r="BB134">
        <v>1</v>
      </c>
      <c r="BC134" s="21">
        <v>10</v>
      </c>
      <c r="BD134">
        <v>1</v>
      </c>
      <c r="BE134">
        <v>1</v>
      </c>
      <c r="BF134">
        <v>0</v>
      </c>
      <c r="BG134" s="21">
        <v>0</v>
      </c>
    </row>
    <row r="135" spans="1:59" ht="15" customHeight="1" x14ac:dyDescent="0.25">
      <c r="A135" t="s">
        <v>419</v>
      </c>
      <c r="B135" s="21">
        <v>76</v>
      </c>
      <c r="C135" s="21">
        <v>1</v>
      </c>
      <c r="D135" s="21">
        <v>13</v>
      </c>
      <c r="E135" s="21">
        <v>1</v>
      </c>
      <c r="F135" s="21">
        <v>2</v>
      </c>
      <c r="G135" s="21">
        <v>2</v>
      </c>
      <c r="H135" s="21">
        <v>1</v>
      </c>
      <c r="I135" s="21">
        <v>2</v>
      </c>
      <c r="J135">
        <v>2</v>
      </c>
      <c r="K135" s="21">
        <v>2</v>
      </c>
      <c r="L135" s="21">
        <v>2</v>
      </c>
      <c r="M135" s="21">
        <v>2</v>
      </c>
      <c r="N135" s="21">
        <v>2</v>
      </c>
      <c r="O135">
        <v>13.1</v>
      </c>
      <c r="S135">
        <v>5.7</v>
      </c>
      <c r="T135">
        <v>175</v>
      </c>
      <c r="U135">
        <v>112.4</v>
      </c>
      <c r="V135">
        <v>36</v>
      </c>
      <c r="W135">
        <v>133</v>
      </c>
      <c r="X135">
        <v>26.6</v>
      </c>
      <c r="Y135">
        <v>332</v>
      </c>
      <c r="Z135">
        <v>61</v>
      </c>
      <c r="AA135">
        <v>9</v>
      </c>
      <c r="AB135">
        <v>3</v>
      </c>
      <c r="AC135">
        <v>1</v>
      </c>
      <c r="AD135">
        <v>3</v>
      </c>
      <c r="AE135">
        <v>5</v>
      </c>
      <c r="AF135" s="21">
        <v>1</v>
      </c>
      <c r="AG135">
        <v>1</v>
      </c>
      <c r="AH135">
        <v>2</v>
      </c>
      <c r="AI135">
        <v>1</v>
      </c>
      <c r="AJ135">
        <v>1</v>
      </c>
      <c r="AL135">
        <v>2</v>
      </c>
      <c r="AM135">
        <v>2</v>
      </c>
      <c r="AN135">
        <v>0</v>
      </c>
      <c r="AO135">
        <v>0</v>
      </c>
      <c r="AP135">
        <v>1</v>
      </c>
      <c r="AQ135">
        <v>1</v>
      </c>
      <c r="AR135">
        <v>2</v>
      </c>
      <c r="AS135">
        <v>1</v>
      </c>
      <c r="AT135">
        <v>1</v>
      </c>
      <c r="AU135">
        <v>1</v>
      </c>
      <c r="AV135">
        <v>0</v>
      </c>
      <c r="AW135">
        <v>0</v>
      </c>
      <c r="AX135">
        <v>0</v>
      </c>
      <c r="AY135">
        <v>0</v>
      </c>
      <c r="AZ135">
        <v>0</v>
      </c>
      <c r="BA135">
        <v>0</v>
      </c>
      <c r="BB135">
        <v>0</v>
      </c>
      <c r="BC135" s="21">
        <v>7</v>
      </c>
      <c r="BD135">
        <v>1</v>
      </c>
      <c r="BE135">
        <v>0</v>
      </c>
      <c r="BF135" t="s">
        <v>1084</v>
      </c>
      <c r="BG135" s="21">
        <v>6</v>
      </c>
    </row>
    <row r="136" spans="1:59" ht="15" customHeight="1" x14ac:dyDescent="0.25">
      <c r="A136" t="s">
        <v>52</v>
      </c>
      <c r="B136" s="21">
        <v>48</v>
      </c>
      <c r="C136" s="21">
        <v>1</v>
      </c>
      <c r="E136" s="21">
        <v>2</v>
      </c>
      <c r="F136" s="21">
        <v>2</v>
      </c>
      <c r="G136" s="21">
        <v>1</v>
      </c>
      <c r="H136" s="21">
        <v>2</v>
      </c>
      <c r="I136" s="21">
        <v>1</v>
      </c>
      <c r="J136">
        <v>2</v>
      </c>
      <c r="K136" s="21">
        <v>2</v>
      </c>
      <c r="L136" s="21">
        <v>2</v>
      </c>
      <c r="M136" s="21">
        <v>2</v>
      </c>
      <c r="N136" s="21">
        <v>1</v>
      </c>
      <c r="O136">
        <v>13.8</v>
      </c>
      <c r="P136">
        <v>40.4</v>
      </c>
      <c r="Q136">
        <v>98.8</v>
      </c>
      <c r="R136">
        <v>11.07</v>
      </c>
      <c r="T136">
        <v>141</v>
      </c>
      <c r="V136">
        <v>45</v>
      </c>
      <c r="Y136">
        <v>2000</v>
      </c>
      <c r="AA136">
        <v>5</v>
      </c>
      <c r="AB136">
        <v>3</v>
      </c>
      <c r="AC136">
        <v>2</v>
      </c>
      <c r="AD136">
        <v>3</v>
      </c>
      <c r="AE136">
        <v>5</v>
      </c>
      <c r="AF136" s="21">
        <v>0</v>
      </c>
      <c r="AG136">
        <v>1</v>
      </c>
      <c r="AH136">
        <v>2</v>
      </c>
      <c r="AI136">
        <v>2</v>
      </c>
      <c r="AK136">
        <v>1</v>
      </c>
      <c r="AN136">
        <v>65</v>
      </c>
      <c r="AO136">
        <v>0</v>
      </c>
      <c r="AP136">
        <v>0</v>
      </c>
      <c r="AQ136">
        <v>0</v>
      </c>
      <c r="AR136">
        <v>0</v>
      </c>
      <c r="AS136">
        <v>0</v>
      </c>
      <c r="AT136">
        <v>0</v>
      </c>
      <c r="AU136">
        <v>0</v>
      </c>
      <c r="AV136">
        <v>1</v>
      </c>
      <c r="AW136">
        <v>2</v>
      </c>
      <c r="AX136">
        <v>2</v>
      </c>
      <c r="AY136">
        <v>1</v>
      </c>
      <c r="AZ136">
        <v>1</v>
      </c>
      <c r="BA136">
        <v>1</v>
      </c>
      <c r="BB136">
        <v>1</v>
      </c>
      <c r="BC136" s="21">
        <v>9</v>
      </c>
      <c r="BD136">
        <v>1</v>
      </c>
      <c r="BE136">
        <v>1</v>
      </c>
      <c r="BF136">
        <v>0</v>
      </c>
      <c r="BG136" s="21">
        <v>4</v>
      </c>
    </row>
    <row r="137" spans="1:59" ht="15" customHeight="1" x14ac:dyDescent="0.25">
      <c r="A137" t="s">
        <v>93</v>
      </c>
      <c r="B137" s="21">
        <v>37</v>
      </c>
      <c r="C137" s="21">
        <v>1</v>
      </c>
      <c r="D137" s="21">
        <v>1</v>
      </c>
      <c r="E137" s="21">
        <v>2</v>
      </c>
      <c r="F137" s="21">
        <v>2</v>
      </c>
      <c r="G137" s="21">
        <v>2</v>
      </c>
      <c r="H137" s="21">
        <v>2</v>
      </c>
      <c r="I137" s="21">
        <v>2</v>
      </c>
      <c r="J137">
        <v>2</v>
      </c>
      <c r="K137" s="21">
        <v>2</v>
      </c>
      <c r="L137" s="21">
        <v>2</v>
      </c>
      <c r="M137" s="21">
        <v>1</v>
      </c>
      <c r="O137">
        <v>16.2</v>
      </c>
      <c r="R137">
        <v>64</v>
      </c>
      <c r="S137">
        <v>6.7</v>
      </c>
      <c r="T137">
        <v>206</v>
      </c>
      <c r="U137">
        <v>99</v>
      </c>
      <c r="V137">
        <v>29</v>
      </c>
      <c r="W137">
        <v>386</v>
      </c>
      <c r="X137">
        <v>77</v>
      </c>
      <c r="Y137">
        <v>190</v>
      </c>
      <c r="AA137">
        <v>9</v>
      </c>
      <c r="AB137">
        <v>3</v>
      </c>
      <c r="AC137">
        <v>1</v>
      </c>
      <c r="AD137">
        <v>3</v>
      </c>
      <c r="AE137">
        <v>5</v>
      </c>
      <c r="AF137" s="21">
        <v>1</v>
      </c>
      <c r="AG137">
        <v>1</v>
      </c>
      <c r="AH137">
        <v>1</v>
      </c>
      <c r="AN137">
        <v>100</v>
      </c>
      <c r="AO137">
        <v>0</v>
      </c>
      <c r="AP137">
        <v>2</v>
      </c>
      <c r="AQ137">
        <v>2</v>
      </c>
      <c r="AR137">
        <v>2</v>
      </c>
      <c r="AS137">
        <v>1</v>
      </c>
      <c r="AT137">
        <v>1</v>
      </c>
      <c r="AU137">
        <v>1</v>
      </c>
      <c r="BC137" s="21">
        <v>9</v>
      </c>
      <c r="BD137">
        <v>1</v>
      </c>
      <c r="BE137">
        <v>1</v>
      </c>
      <c r="BF137">
        <v>0</v>
      </c>
      <c r="BG137" s="21">
        <v>0</v>
      </c>
    </row>
    <row r="138" spans="1:59" ht="15" customHeight="1" x14ac:dyDescent="0.25">
      <c r="A138" t="s">
        <v>129</v>
      </c>
      <c r="B138" s="21">
        <v>30</v>
      </c>
      <c r="C138" s="21">
        <v>2</v>
      </c>
      <c r="D138" s="21">
        <v>6</v>
      </c>
      <c r="E138" s="21">
        <v>2</v>
      </c>
      <c r="F138" s="21">
        <v>2</v>
      </c>
      <c r="G138" s="21">
        <v>2</v>
      </c>
      <c r="H138" s="21">
        <v>2</v>
      </c>
      <c r="I138" s="21">
        <v>2</v>
      </c>
      <c r="J138">
        <v>2</v>
      </c>
      <c r="K138" s="21">
        <v>2</v>
      </c>
      <c r="L138" s="21">
        <v>2</v>
      </c>
      <c r="M138" s="21">
        <v>2</v>
      </c>
      <c r="N138" s="21">
        <v>2</v>
      </c>
      <c r="O138">
        <v>7</v>
      </c>
      <c r="P138">
        <v>25</v>
      </c>
      <c r="Q138">
        <v>52.5</v>
      </c>
      <c r="R138">
        <v>23</v>
      </c>
      <c r="S138">
        <v>5.8</v>
      </c>
      <c r="T138">
        <v>153</v>
      </c>
      <c r="U138">
        <v>90</v>
      </c>
      <c r="V138">
        <v>29</v>
      </c>
      <c r="W138">
        <v>166</v>
      </c>
      <c r="Y138">
        <v>148</v>
      </c>
      <c r="AA138">
        <v>9</v>
      </c>
      <c r="AB138">
        <v>3</v>
      </c>
      <c r="AC138">
        <v>1</v>
      </c>
      <c r="AD138">
        <v>3</v>
      </c>
      <c r="AE138">
        <v>5</v>
      </c>
      <c r="AF138" s="21">
        <v>1</v>
      </c>
      <c r="AG138">
        <v>1</v>
      </c>
      <c r="AH138">
        <v>1</v>
      </c>
      <c r="AI138">
        <v>2</v>
      </c>
      <c r="AK138">
        <v>1</v>
      </c>
      <c r="AN138">
        <v>100</v>
      </c>
      <c r="AO138">
        <v>0</v>
      </c>
      <c r="AP138">
        <v>0</v>
      </c>
      <c r="AQ138">
        <v>0</v>
      </c>
      <c r="AR138">
        <v>0</v>
      </c>
      <c r="AS138">
        <v>0</v>
      </c>
      <c r="AT138">
        <v>0</v>
      </c>
      <c r="AU138">
        <v>0</v>
      </c>
      <c r="AV138">
        <v>1</v>
      </c>
      <c r="AW138">
        <v>2</v>
      </c>
      <c r="AX138">
        <v>2</v>
      </c>
      <c r="AY138">
        <v>2</v>
      </c>
      <c r="AZ138">
        <v>1</v>
      </c>
      <c r="BA138">
        <v>1</v>
      </c>
      <c r="BB138">
        <v>1</v>
      </c>
      <c r="BC138" s="21">
        <v>10</v>
      </c>
      <c r="BD138">
        <v>1</v>
      </c>
      <c r="BE138">
        <v>1</v>
      </c>
      <c r="BF138" t="s">
        <v>997</v>
      </c>
      <c r="BG138" s="21">
        <v>0</v>
      </c>
    </row>
    <row r="139" spans="1:59" ht="15" customHeight="1" x14ac:dyDescent="0.25">
      <c r="A139" t="s">
        <v>245</v>
      </c>
      <c r="B139" s="21">
        <v>48</v>
      </c>
      <c r="C139" s="21">
        <v>1</v>
      </c>
      <c r="E139" s="21">
        <v>1</v>
      </c>
      <c r="F139" s="21">
        <v>2</v>
      </c>
      <c r="G139" s="21">
        <v>2</v>
      </c>
      <c r="H139" s="21">
        <v>2</v>
      </c>
      <c r="I139" s="21">
        <v>2</v>
      </c>
      <c r="J139">
        <v>2</v>
      </c>
      <c r="K139" s="21">
        <v>2</v>
      </c>
      <c r="L139" s="21">
        <v>2</v>
      </c>
      <c r="M139" s="21">
        <v>2</v>
      </c>
      <c r="N139" s="21">
        <v>2</v>
      </c>
      <c r="O139">
        <v>13.7</v>
      </c>
      <c r="R139">
        <v>48.93</v>
      </c>
      <c r="Y139">
        <v>148</v>
      </c>
      <c r="AA139">
        <v>9</v>
      </c>
      <c r="AB139">
        <v>3</v>
      </c>
      <c r="AC139">
        <v>1</v>
      </c>
      <c r="AD139">
        <v>3</v>
      </c>
      <c r="AE139">
        <v>5</v>
      </c>
      <c r="AF139" s="21">
        <v>1</v>
      </c>
      <c r="AG139">
        <v>1</v>
      </c>
      <c r="AH139">
        <v>1</v>
      </c>
      <c r="AI139">
        <v>2</v>
      </c>
      <c r="AK139">
        <v>4</v>
      </c>
      <c r="AL139">
        <v>2</v>
      </c>
      <c r="AM139">
        <v>2</v>
      </c>
      <c r="AN139">
        <v>95</v>
      </c>
      <c r="AO139">
        <v>0</v>
      </c>
      <c r="AP139">
        <v>0</v>
      </c>
      <c r="AQ139">
        <v>0</v>
      </c>
      <c r="AR139">
        <v>0</v>
      </c>
      <c r="AS139">
        <v>0</v>
      </c>
      <c r="AT139">
        <v>0</v>
      </c>
      <c r="AU139">
        <v>0</v>
      </c>
      <c r="AV139">
        <v>1</v>
      </c>
      <c r="AW139">
        <v>2</v>
      </c>
      <c r="AX139">
        <v>2</v>
      </c>
      <c r="AY139">
        <v>2</v>
      </c>
      <c r="AZ139">
        <v>1</v>
      </c>
      <c r="BA139">
        <v>1</v>
      </c>
      <c r="BB139">
        <v>1</v>
      </c>
      <c r="BC139" s="21">
        <v>10</v>
      </c>
      <c r="BD139">
        <v>1</v>
      </c>
      <c r="BE139">
        <v>1</v>
      </c>
      <c r="BF139">
        <v>0</v>
      </c>
      <c r="BG139" s="21">
        <v>1</v>
      </c>
    </row>
    <row r="140" spans="1:59" ht="15" customHeight="1" x14ac:dyDescent="0.25">
      <c r="A140" t="s">
        <v>484</v>
      </c>
      <c r="B140" s="21">
        <v>40</v>
      </c>
      <c r="C140" s="21">
        <v>2</v>
      </c>
      <c r="D140" s="21">
        <v>4</v>
      </c>
      <c r="E140" s="21">
        <v>2</v>
      </c>
      <c r="F140" s="21">
        <v>2</v>
      </c>
      <c r="G140" s="21">
        <v>2</v>
      </c>
      <c r="H140" s="21">
        <v>2</v>
      </c>
      <c r="I140" s="21">
        <v>2</v>
      </c>
      <c r="J140">
        <v>2</v>
      </c>
      <c r="K140" s="21">
        <v>2</v>
      </c>
      <c r="L140" s="21">
        <v>2</v>
      </c>
      <c r="M140" s="21">
        <v>2</v>
      </c>
      <c r="N140" s="21">
        <v>2</v>
      </c>
      <c r="O140">
        <v>11.4</v>
      </c>
      <c r="P140">
        <v>34.799999999999997</v>
      </c>
      <c r="Q140">
        <v>81</v>
      </c>
      <c r="T140">
        <v>144</v>
      </c>
      <c r="U140">
        <v>80</v>
      </c>
      <c r="V140">
        <v>52</v>
      </c>
      <c r="W140">
        <v>60</v>
      </c>
      <c r="X140">
        <v>12</v>
      </c>
      <c r="AA140">
        <v>8</v>
      </c>
      <c r="AB140">
        <v>3</v>
      </c>
      <c r="AC140">
        <v>1</v>
      </c>
      <c r="AD140">
        <v>3</v>
      </c>
      <c r="AE140">
        <v>5</v>
      </c>
      <c r="AF140" s="21">
        <v>1</v>
      </c>
      <c r="AG140">
        <v>1</v>
      </c>
      <c r="AI140">
        <v>2</v>
      </c>
      <c r="AK140">
        <v>2</v>
      </c>
      <c r="AL140">
        <v>2</v>
      </c>
      <c r="AM140">
        <v>2</v>
      </c>
      <c r="AN140">
        <v>100</v>
      </c>
      <c r="AO140">
        <v>0</v>
      </c>
      <c r="AP140">
        <v>0</v>
      </c>
      <c r="AQ140">
        <v>0</v>
      </c>
      <c r="AR140">
        <v>0</v>
      </c>
      <c r="AS140">
        <v>0</v>
      </c>
      <c r="AT140">
        <v>0</v>
      </c>
      <c r="AU140">
        <v>0</v>
      </c>
      <c r="AV140">
        <v>1</v>
      </c>
      <c r="AW140">
        <v>2</v>
      </c>
      <c r="AX140">
        <v>2</v>
      </c>
      <c r="AY140">
        <v>2</v>
      </c>
      <c r="AZ140">
        <v>1</v>
      </c>
      <c r="BA140">
        <v>1</v>
      </c>
      <c r="BB140">
        <v>1</v>
      </c>
      <c r="BC140" s="21">
        <v>10</v>
      </c>
      <c r="BD140">
        <v>1</v>
      </c>
      <c r="BE140">
        <v>1</v>
      </c>
      <c r="BF140">
        <v>0</v>
      </c>
      <c r="BG140" s="21">
        <v>0</v>
      </c>
    </row>
    <row r="141" spans="1:59" ht="15" customHeight="1" x14ac:dyDescent="0.25">
      <c r="A141" t="s">
        <v>117</v>
      </c>
      <c r="B141" s="21">
        <v>50</v>
      </c>
      <c r="C141" s="21">
        <v>1</v>
      </c>
      <c r="D141" s="21">
        <v>19</v>
      </c>
      <c r="E141" s="21">
        <v>2</v>
      </c>
      <c r="F141" s="21">
        <v>2</v>
      </c>
      <c r="G141" s="21">
        <v>2</v>
      </c>
      <c r="H141" s="21">
        <v>2</v>
      </c>
      <c r="I141" s="21">
        <v>2</v>
      </c>
      <c r="J141">
        <v>2</v>
      </c>
      <c r="K141" s="21">
        <v>2</v>
      </c>
      <c r="L141" s="21">
        <v>2</v>
      </c>
      <c r="M141" s="21">
        <v>2</v>
      </c>
      <c r="N141" s="21">
        <v>2</v>
      </c>
      <c r="O141">
        <v>14</v>
      </c>
      <c r="P141">
        <v>45.6</v>
      </c>
      <c r="Q141">
        <v>84.1</v>
      </c>
      <c r="R141">
        <v>22</v>
      </c>
      <c r="S141">
        <v>5.5</v>
      </c>
      <c r="Y141">
        <v>171</v>
      </c>
      <c r="AA141">
        <v>5</v>
      </c>
      <c r="AB141">
        <v>3</v>
      </c>
      <c r="AC141">
        <v>1</v>
      </c>
      <c r="AD141">
        <v>3</v>
      </c>
      <c r="AE141">
        <v>5</v>
      </c>
      <c r="AF141" s="21">
        <v>1</v>
      </c>
      <c r="AG141">
        <v>1</v>
      </c>
      <c r="AH141">
        <v>2</v>
      </c>
      <c r="AI141">
        <v>2</v>
      </c>
      <c r="AL141">
        <v>1</v>
      </c>
      <c r="AN141">
        <v>35</v>
      </c>
      <c r="AV141">
        <v>0</v>
      </c>
      <c r="AW141">
        <v>0</v>
      </c>
      <c r="AX141">
        <v>0</v>
      </c>
      <c r="AY141">
        <v>0</v>
      </c>
      <c r="AZ141">
        <v>0</v>
      </c>
      <c r="BA141">
        <v>0</v>
      </c>
      <c r="BB141">
        <v>0</v>
      </c>
      <c r="BC141" s="21">
        <v>0</v>
      </c>
      <c r="BD141">
        <v>0</v>
      </c>
      <c r="BE141">
        <v>1</v>
      </c>
      <c r="BG141" s="21">
        <v>4</v>
      </c>
    </row>
    <row r="142" spans="1:59" ht="15" customHeight="1" x14ac:dyDescent="0.25">
      <c r="A142" t="s">
        <v>445</v>
      </c>
      <c r="B142" s="21">
        <v>68</v>
      </c>
      <c r="C142" s="21">
        <v>2</v>
      </c>
      <c r="D142" s="21">
        <v>0</v>
      </c>
      <c r="E142" s="21">
        <v>1</v>
      </c>
      <c r="F142" s="21">
        <v>2</v>
      </c>
      <c r="G142" s="21">
        <v>2</v>
      </c>
      <c r="H142" s="21">
        <v>2</v>
      </c>
      <c r="I142" s="21">
        <v>2</v>
      </c>
      <c r="J142">
        <v>2</v>
      </c>
      <c r="K142" s="21">
        <v>2</v>
      </c>
      <c r="L142" s="21">
        <v>2</v>
      </c>
      <c r="M142" s="21">
        <v>2</v>
      </c>
      <c r="N142" s="21">
        <v>2</v>
      </c>
      <c r="O142">
        <v>10.8</v>
      </c>
      <c r="P142">
        <v>33.9</v>
      </c>
      <c r="Q142">
        <v>13.6</v>
      </c>
      <c r="R142">
        <v>6.18</v>
      </c>
      <c r="S142">
        <v>6.9</v>
      </c>
      <c r="T142">
        <v>239</v>
      </c>
      <c r="U142">
        <v>156.4</v>
      </c>
      <c r="V142">
        <v>48</v>
      </c>
      <c r="W142">
        <v>173</v>
      </c>
      <c r="X142">
        <v>34.6</v>
      </c>
      <c r="Y142">
        <v>1560</v>
      </c>
      <c r="AA142">
        <v>10</v>
      </c>
      <c r="AB142">
        <v>3</v>
      </c>
      <c r="AC142">
        <v>1</v>
      </c>
      <c r="AD142">
        <v>3</v>
      </c>
      <c r="AE142">
        <v>5</v>
      </c>
      <c r="AF142" s="21">
        <v>1</v>
      </c>
      <c r="AG142">
        <v>1</v>
      </c>
      <c r="AH142">
        <v>1</v>
      </c>
      <c r="AI142">
        <v>2</v>
      </c>
      <c r="AL142">
        <v>2</v>
      </c>
      <c r="AM142">
        <v>2</v>
      </c>
      <c r="AN142">
        <v>70</v>
      </c>
      <c r="AO142">
        <v>1</v>
      </c>
      <c r="AP142">
        <v>2</v>
      </c>
      <c r="AQ142">
        <v>2</v>
      </c>
      <c r="AR142">
        <v>0</v>
      </c>
      <c r="AS142">
        <v>1</v>
      </c>
      <c r="AT142">
        <v>1</v>
      </c>
      <c r="AU142">
        <v>1</v>
      </c>
      <c r="AV142">
        <v>0</v>
      </c>
      <c r="AW142">
        <v>0</v>
      </c>
      <c r="AX142">
        <v>0</v>
      </c>
      <c r="AY142">
        <v>0</v>
      </c>
      <c r="AZ142">
        <v>0</v>
      </c>
      <c r="BA142">
        <v>0</v>
      </c>
      <c r="BB142">
        <v>0</v>
      </c>
      <c r="BC142" s="21">
        <v>8</v>
      </c>
      <c r="BD142">
        <v>1</v>
      </c>
      <c r="BE142">
        <v>1</v>
      </c>
      <c r="BF142">
        <v>0</v>
      </c>
      <c r="BG142" s="21">
        <v>2</v>
      </c>
    </row>
    <row r="143" spans="1:59" ht="15" customHeight="1" x14ac:dyDescent="0.25">
      <c r="A143" t="s">
        <v>498</v>
      </c>
      <c r="B143" s="21">
        <v>30</v>
      </c>
      <c r="C143" s="21">
        <v>1</v>
      </c>
      <c r="D143" s="21">
        <v>0</v>
      </c>
      <c r="E143" s="21">
        <v>1</v>
      </c>
      <c r="F143" s="21">
        <v>2</v>
      </c>
      <c r="G143" s="21">
        <v>2</v>
      </c>
      <c r="H143" s="21">
        <v>2</v>
      </c>
      <c r="I143" s="21">
        <v>2</v>
      </c>
      <c r="J143">
        <v>1</v>
      </c>
      <c r="K143" s="21">
        <v>2</v>
      </c>
      <c r="L143" s="21">
        <v>2</v>
      </c>
      <c r="M143" s="21">
        <v>2</v>
      </c>
      <c r="N143" s="21">
        <v>2</v>
      </c>
      <c r="O143">
        <v>14.4</v>
      </c>
      <c r="P143">
        <v>44.7</v>
      </c>
      <c r="Q143">
        <v>97.7</v>
      </c>
      <c r="R143">
        <v>54.63</v>
      </c>
      <c r="S143">
        <v>5.4</v>
      </c>
      <c r="T143">
        <v>201</v>
      </c>
      <c r="U143">
        <v>117</v>
      </c>
      <c r="V143">
        <v>30</v>
      </c>
      <c r="W143">
        <v>270</v>
      </c>
      <c r="X143">
        <v>54</v>
      </c>
      <c r="AA143">
        <v>9</v>
      </c>
      <c r="AB143">
        <v>3</v>
      </c>
      <c r="AC143">
        <v>1</v>
      </c>
      <c r="AD143">
        <v>3</v>
      </c>
      <c r="AE143">
        <v>5</v>
      </c>
      <c r="AF143" s="21">
        <v>1</v>
      </c>
      <c r="AG143">
        <v>1</v>
      </c>
      <c r="AH143">
        <v>1</v>
      </c>
      <c r="AI143">
        <v>2</v>
      </c>
      <c r="AL143">
        <v>2</v>
      </c>
      <c r="AM143">
        <v>2</v>
      </c>
      <c r="AN143">
        <v>100</v>
      </c>
      <c r="AV143">
        <v>1</v>
      </c>
      <c r="AW143">
        <v>2</v>
      </c>
      <c r="AX143">
        <v>2</v>
      </c>
      <c r="AY143">
        <v>2</v>
      </c>
      <c r="AZ143">
        <v>1</v>
      </c>
      <c r="BA143">
        <v>1</v>
      </c>
      <c r="BB143">
        <v>1</v>
      </c>
      <c r="BC143" s="21">
        <v>10</v>
      </c>
      <c r="BD143">
        <v>1</v>
      </c>
      <c r="BE143">
        <v>1</v>
      </c>
      <c r="BF143">
        <v>1</v>
      </c>
      <c r="BG143" s="21">
        <v>0</v>
      </c>
    </row>
    <row r="144" spans="1:59" ht="15" customHeight="1" x14ac:dyDescent="0.25">
      <c r="A144" t="s">
        <v>291</v>
      </c>
      <c r="B144" s="21">
        <v>73</v>
      </c>
      <c r="C144" s="21">
        <v>1</v>
      </c>
      <c r="D144" s="21">
        <v>6</v>
      </c>
      <c r="E144" s="21">
        <v>1</v>
      </c>
      <c r="F144" s="21">
        <v>1</v>
      </c>
      <c r="G144" s="21">
        <v>1</v>
      </c>
      <c r="H144" s="21">
        <v>2</v>
      </c>
      <c r="I144" s="21">
        <v>2</v>
      </c>
      <c r="J144">
        <v>2</v>
      </c>
      <c r="K144" s="21">
        <v>2</v>
      </c>
      <c r="L144" s="21">
        <v>2</v>
      </c>
      <c r="M144" s="21">
        <v>2</v>
      </c>
      <c r="N144" s="21">
        <v>1</v>
      </c>
      <c r="O144">
        <v>12</v>
      </c>
      <c r="P144">
        <v>40</v>
      </c>
      <c r="Q144">
        <v>84.6</v>
      </c>
      <c r="S144">
        <v>7</v>
      </c>
      <c r="Y144">
        <v>806</v>
      </c>
      <c r="AA144">
        <v>10</v>
      </c>
      <c r="AB144">
        <v>3</v>
      </c>
      <c r="AD144">
        <v>3</v>
      </c>
      <c r="AE144">
        <v>5</v>
      </c>
      <c r="AF144" s="21">
        <v>1</v>
      </c>
      <c r="AG144">
        <v>1</v>
      </c>
      <c r="AH144">
        <v>2</v>
      </c>
      <c r="AI144">
        <v>2</v>
      </c>
      <c r="AL144">
        <v>2</v>
      </c>
      <c r="AM144">
        <v>2</v>
      </c>
      <c r="AN144">
        <v>65</v>
      </c>
      <c r="AO144" s="13"/>
      <c r="AP144" s="13"/>
      <c r="AQ144" s="13"/>
      <c r="AR144" s="13"/>
      <c r="AS144" s="13"/>
      <c r="AT144" s="13"/>
      <c r="AU144" s="13"/>
      <c r="AV144" s="13">
        <v>0</v>
      </c>
      <c r="AW144" s="13">
        <v>1</v>
      </c>
      <c r="AX144" s="13">
        <v>2</v>
      </c>
      <c r="AY144" s="13">
        <v>2</v>
      </c>
      <c r="AZ144" s="13">
        <v>1</v>
      </c>
      <c r="BA144" s="13">
        <v>1</v>
      </c>
      <c r="BB144" s="13">
        <v>1</v>
      </c>
      <c r="BC144" s="24">
        <v>8</v>
      </c>
      <c r="BD144" s="13">
        <v>1</v>
      </c>
      <c r="BE144" s="13">
        <v>1</v>
      </c>
      <c r="BF144" t="e">
        <v>#N/A</v>
      </c>
      <c r="BG144" s="21">
        <v>2</v>
      </c>
    </row>
    <row r="145" spans="1:59" ht="15" customHeight="1" x14ac:dyDescent="0.25">
      <c r="A145" t="s">
        <v>860</v>
      </c>
      <c r="B145" s="21">
        <v>22</v>
      </c>
      <c r="C145" s="21">
        <v>1</v>
      </c>
      <c r="D145" s="21">
        <v>3</v>
      </c>
      <c r="E145" s="21">
        <v>2</v>
      </c>
      <c r="F145" s="21">
        <v>2</v>
      </c>
      <c r="G145" s="21">
        <v>2</v>
      </c>
      <c r="H145" s="21">
        <v>2</v>
      </c>
      <c r="I145" s="21">
        <v>2</v>
      </c>
      <c r="J145">
        <v>2</v>
      </c>
      <c r="K145" s="21">
        <v>2</v>
      </c>
      <c r="L145" s="21">
        <v>2</v>
      </c>
      <c r="M145" s="21">
        <v>2</v>
      </c>
      <c r="N145" s="21">
        <v>2</v>
      </c>
      <c r="O145">
        <v>16.2</v>
      </c>
      <c r="R145">
        <v>37.21</v>
      </c>
      <c r="Y145">
        <v>148</v>
      </c>
      <c r="AA145">
        <v>10</v>
      </c>
      <c r="AB145">
        <v>3</v>
      </c>
      <c r="AC145">
        <v>1</v>
      </c>
      <c r="AD145">
        <v>3</v>
      </c>
      <c r="AE145">
        <v>5</v>
      </c>
      <c r="AF145" s="21">
        <v>1</v>
      </c>
      <c r="AG145">
        <v>1</v>
      </c>
      <c r="AH145">
        <v>1</v>
      </c>
      <c r="AI145">
        <v>1</v>
      </c>
      <c r="AJ145">
        <v>1</v>
      </c>
      <c r="AL145">
        <v>2</v>
      </c>
      <c r="AM145">
        <v>2</v>
      </c>
      <c r="AN145">
        <v>100</v>
      </c>
      <c r="AV145">
        <v>1</v>
      </c>
      <c r="AW145">
        <v>2</v>
      </c>
      <c r="AX145">
        <v>2</v>
      </c>
      <c r="AY145">
        <v>2</v>
      </c>
      <c r="AZ145">
        <v>1</v>
      </c>
      <c r="BA145">
        <v>1</v>
      </c>
      <c r="BB145">
        <v>1</v>
      </c>
      <c r="BC145" s="21">
        <v>10</v>
      </c>
      <c r="BD145">
        <v>1</v>
      </c>
      <c r="BE145">
        <v>1</v>
      </c>
      <c r="BG145" s="21">
        <v>0</v>
      </c>
    </row>
    <row r="146" spans="1:59" ht="15" customHeight="1" x14ac:dyDescent="0.25">
      <c r="A146" t="s">
        <v>887</v>
      </c>
      <c r="B146" s="21">
        <v>69</v>
      </c>
      <c r="C146" s="21">
        <v>1</v>
      </c>
      <c r="D146" s="21">
        <v>5</v>
      </c>
      <c r="E146" s="21">
        <v>2</v>
      </c>
      <c r="F146" s="21">
        <v>2</v>
      </c>
      <c r="G146" s="21">
        <v>2</v>
      </c>
      <c r="H146" s="21">
        <v>1</v>
      </c>
      <c r="I146" s="21">
        <v>2</v>
      </c>
      <c r="J146">
        <v>2</v>
      </c>
      <c r="K146" s="21">
        <v>1</v>
      </c>
      <c r="L146" s="21">
        <v>2</v>
      </c>
      <c r="M146" s="21">
        <v>2</v>
      </c>
      <c r="N146" s="21">
        <v>1</v>
      </c>
      <c r="O146">
        <v>11.4</v>
      </c>
      <c r="P146">
        <v>36</v>
      </c>
      <c r="Q146">
        <v>75</v>
      </c>
      <c r="R146">
        <v>11.33</v>
      </c>
      <c r="S146">
        <v>8</v>
      </c>
      <c r="T146">
        <v>168</v>
      </c>
      <c r="U146">
        <v>103</v>
      </c>
      <c r="V146">
        <v>27</v>
      </c>
      <c r="W146">
        <v>189</v>
      </c>
      <c r="X146">
        <v>37</v>
      </c>
      <c r="Y146">
        <v>466</v>
      </c>
      <c r="AA146">
        <v>9</v>
      </c>
      <c r="AB146">
        <v>3</v>
      </c>
      <c r="AC146">
        <v>1</v>
      </c>
      <c r="AD146">
        <v>3</v>
      </c>
      <c r="AE146">
        <v>5</v>
      </c>
      <c r="AF146" s="21">
        <v>1</v>
      </c>
      <c r="AG146">
        <v>1</v>
      </c>
      <c r="AH146">
        <v>2</v>
      </c>
      <c r="AI146">
        <v>2</v>
      </c>
      <c r="AK146">
        <v>3</v>
      </c>
      <c r="AL146">
        <v>2</v>
      </c>
      <c r="AM146">
        <v>2</v>
      </c>
      <c r="AN146">
        <v>85</v>
      </c>
      <c r="AO146">
        <v>1</v>
      </c>
      <c r="AP146">
        <v>2</v>
      </c>
      <c r="AQ146">
        <v>2</v>
      </c>
      <c r="AR146">
        <v>2</v>
      </c>
      <c r="AS146">
        <v>1</v>
      </c>
      <c r="AT146">
        <v>1</v>
      </c>
      <c r="AU146">
        <v>1</v>
      </c>
      <c r="BC146" s="21">
        <v>10</v>
      </c>
      <c r="BD146">
        <v>1</v>
      </c>
      <c r="BE146">
        <v>1</v>
      </c>
      <c r="BF146" t="s">
        <v>1110</v>
      </c>
      <c r="BG146" s="21">
        <v>1</v>
      </c>
    </row>
    <row r="147" spans="1:59" ht="15" customHeight="1" x14ac:dyDescent="0.25">
      <c r="A147" t="s">
        <v>891</v>
      </c>
      <c r="B147" s="21">
        <v>55</v>
      </c>
      <c r="C147" s="21">
        <v>1</v>
      </c>
      <c r="D147" s="21">
        <v>4</v>
      </c>
      <c r="E147" s="21">
        <v>1</v>
      </c>
      <c r="F147" s="21">
        <v>1</v>
      </c>
      <c r="G147" s="21">
        <v>1</v>
      </c>
      <c r="H147" s="21">
        <v>2</v>
      </c>
      <c r="I147" s="21">
        <v>1</v>
      </c>
      <c r="J147">
        <v>1</v>
      </c>
      <c r="K147" s="21">
        <v>2</v>
      </c>
      <c r="L147" s="21">
        <v>1</v>
      </c>
      <c r="M147" s="21">
        <v>1</v>
      </c>
      <c r="N147" s="21">
        <v>2</v>
      </c>
      <c r="O147">
        <v>9.1</v>
      </c>
      <c r="P147">
        <v>28.4</v>
      </c>
      <c r="Q147">
        <v>89</v>
      </c>
      <c r="R147">
        <v>19.420000000000002</v>
      </c>
      <c r="S147">
        <v>7.2</v>
      </c>
      <c r="T147">
        <v>171</v>
      </c>
      <c r="U147">
        <v>80</v>
      </c>
      <c r="V147">
        <v>36</v>
      </c>
      <c r="W147">
        <v>86</v>
      </c>
      <c r="X147">
        <v>173</v>
      </c>
      <c r="Y147">
        <v>2000</v>
      </c>
      <c r="AA147">
        <v>9</v>
      </c>
      <c r="AB147">
        <v>3</v>
      </c>
      <c r="AC147">
        <v>1</v>
      </c>
      <c r="AD147">
        <v>3</v>
      </c>
      <c r="AE147">
        <v>5</v>
      </c>
      <c r="AF147" s="21">
        <v>1</v>
      </c>
      <c r="AG147">
        <v>1</v>
      </c>
      <c r="AH147">
        <v>2</v>
      </c>
      <c r="AI147">
        <v>2</v>
      </c>
      <c r="AK147">
        <v>3</v>
      </c>
      <c r="AL147">
        <v>2</v>
      </c>
      <c r="AM147">
        <v>2</v>
      </c>
      <c r="AN147">
        <v>100</v>
      </c>
      <c r="AO147" s="13"/>
      <c r="AP147" s="13"/>
      <c r="AQ147" s="13"/>
      <c r="AR147" s="13"/>
      <c r="AS147" s="13"/>
      <c r="AT147" s="13"/>
      <c r="AU147" s="13"/>
      <c r="AV147" s="13">
        <v>1</v>
      </c>
      <c r="AW147" s="13">
        <v>2</v>
      </c>
      <c r="AX147" s="13">
        <v>2</v>
      </c>
      <c r="AY147" s="13">
        <v>2</v>
      </c>
      <c r="AZ147" s="13">
        <v>1</v>
      </c>
      <c r="BA147" s="13">
        <v>1</v>
      </c>
      <c r="BB147" s="13">
        <v>1</v>
      </c>
      <c r="BC147" s="24">
        <v>10</v>
      </c>
      <c r="BD147" s="13">
        <v>1</v>
      </c>
      <c r="BE147" s="13">
        <v>1</v>
      </c>
      <c r="BG147" s="21">
        <v>1</v>
      </c>
    </row>
    <row r="148" spans="1:59" ht="15" customHeight="1" x14ac:dyDescent="0.25">
      <c r="A148" t="s">
        <v>422</v>
      </c>
      <c r="B148" s="21">
        <v>70</v>
      </c>
      <c r="C148" s="21">
        <v>1</v>
      </c>
      <c r="D148" s="21">
        <v>5</v>
      </c>
      <c r="E148" s="21">
        <v>1</v>
      </c>
      <c r="F148" s="21">
        <v>2</v>
      </c>
      <c r="G148" s="21">
        <v>2</v>
      </c>
      <c r="H148" s="21">
        <v>2</v>
      </c>
      <c r="I148" s="21">
        <v>2</v>
      </c>
      <c r="J148">
        <v>2</v>
      </c>
      <c r="K148" s="21">
        <v>2</v>
      </c>
      <c r="L148" s="21">
        <v>2</v>
      </c>
      <c r="M148" s="21">
        <v>2</v>
      </c>
      <c r="N148" s="21">
        <v>2</v>
      </c>
      <c r="O148">
        <v>14.1</v>
      </c>
      <c r="P148">
        <v>43.8</v>
      </c>
      <c r="Q148">
        <v>86.8</v>
      </c>
      <c r="R148">
        <v>12.35</v>
      </c>
      <c r="S148">
        <v>6.1</v>
      </c>
      <c r="T148">
        <v>185</v>
      </c>
      <c r="U148">
        <v>122.2</v>
      </c>
      <c r="V148">
        <v>30</v>
      </c>
      <c r="W148">
        <v>119</v>
      </c>
      <c r="X148">
        <v>23.8</v>
      </c>
      <c r="Y148">
        <v>448</v>
      </c>
      <c r="AA148">
        <v>9</v>
      </c>
      <c r="AB148">
        <v>4</v>
      </c>
      <c r="AC148">
        <v>1</v>
      </c>
      <c r="AD148">
        <v>3</v>
      </c>
      <c r="AE148">
        <v>5</v>
      </c>
      <c r="AF148" s="21">
        <v>1</v>
      </c>
      <c r="AG148">
        <v>1</v>
      </c>
      <c r="AH148">
        <v>2</v>
      </c>
      <c r="AI148">
        <v>2</v>
      </c>
      <c r="AK148">
        <v>3</v>
      </c>
      <c r="AL148">
        <v>2</v>
      </c>
      <c r="AM148">
        <v>2</v>
      </c>
      <c r="AN148">
        <v>100</v>
      </c>
      <c r="AO148">
        <v>1</v>
      </c>
      <c r="AP148">
        <v>2</v>
      </c>
      <c r="AQ148">
        <v>2</v>
      </c>
      <c r="AR148">
        <v>2</v>
      </c>
      <c r="AS148">
        <v>1</v>
      </c>
      <c r="AT148">
        <v>1</v>
      </c>
      <c r="AU148">
        <v>1</v>
      </c>
      <c r="AV148">
        <v>0</v>
      </c>
      <c r="AW148">
        <v>0</v>
      </c>
      <c r="AX148">
        <v>0</v>
      </c>
      <c r="AY148">
        <v>0</v>
      </c>
      <c r="AZ148">
        <v>0</v>
      </c>
      <c r="BA148">
        <v>0</v>
      </c>
      <c r="BB148">
        <v>0</v>
      </c>
      <c r="BC148" s="21">
        <v>10</v>
      </c>
      <c r="BD148">
        <v>1</v>
      </c>
      <c r="BE148">
        <v>1</v>
      </c>
      <c r="BF148">
        <v>0</v>
      </c>
      <c r="BG148" s="21">
        <v>1</v>
      </c>
    </row>
    <row r="149" spans="1:59" ht="15" customHeight="1" x14ac:dyDescent="0.25">
      <c r="A149" t="s">
        <v>543</v>
      </c>
      <c r="B149" s="21">
        <v>48</v>
      </c>
      <c r="C149" s="21">
        <v>1</v>
      </c>
      <c r="D149" s="21">
        <v>0</v>
      </c>
      <c r="E149" s="21">
        <v>1</v>
      </c>
      <c r="F149" s="21">
        <v>2</v>
      </c>
      <c r="G149" s="21">
        <v>1</v>
      </c>
      <c r="H149" s="21">
        <v>2</v>
      </c>
      <c r="I149" s="21">
        <v>1</v>
      </c>
      <c r="J149">
        <v>2</v>
      </c>
      <c r="K149" s="21">
        <v>2</v>
      </c>
      <c r="L149" s="21">
        <v>2</v>
      </c>
      <c r="M149" s="21">
        <v>2</v>
      </c>
      <c r="N149" s="21">
        <v>2</v>
      </c>
      <c r="O149">
        <v>17.399999999999999</v>
      </c>
      <c r="P149">
        <v>50.8</v>
      </c>
      <c r="Q149">
        <v>10.73</v>
      </c>
      <c r="R149">
        <v>75</v>
      </c>
      <c r="S149">
        <v>5</v>
      </c>
      <c r="T149">
        <v>193</v>
      </c>
      <c r="U149">
        <v>107.2</v>
      </c>
      <c r="V149">
        <v>39</v>
      </c>
      <c r="W149">
        <v>234</v>
      </c>
      <c r="X149">
        <v>46.8</v>
      </c>
      <c r="AA149">
        <v>9</v>
      </c>
      <c r="AB149">
        <v>4</v>
      </c>
      <c r="AC149">
        <v>1</v>
      </c>
      <c r="AD149">
        <v>3</v>
      </c>
      <c r="AE149">
        <v>5</v>
      </c>
      <c r="AF149" s="21">
        <v>1</v>
      </c>
      <c r="AG149">
        <v>1</v>
      </c>
      <c r="AH149">
        <v>1</v>
      </c>
      <c r="AI149">
        <v>2</v>
      </c>
      <c r="AL149">
        <v>2</v>
      </c>
      <c r="AM149">
        <v>2</v>
      </c>
      <c r="AV149">
        <v>1</v>
      </c>
      <c r="AW149">
        <v>2</v>
      </c>
      <c r="AX149">
        <v>2</v>
      </c>
      <c r="AY149">
        <v>2</v>
      </c>
      <c r="AZ149">
        <v>1</v>
      </c>
      <c r="BA149">
        <v>1</v>
      </c>
      <c r="BB149">
        <v>1</v>
      </c>
      <c r="BC149" s="21">
        <v>10</v>
      </c>
      <c r="BD149">
        <v>1</v>
      </c>
      <c r="BE149">
        <v>1</v>
      </c>
      <c r="BF149">
        <v>1</v>
      </c>
      <c r="BG149" s="21">
        <v>0</v>
      </c>
    </row>
    <row r="150" spans="1:59" ht="15" customHeight="1" x14ac:dyDescent="0.25">
      <c r="A150" s="8" t="s">
        <v>808</v>
      </c>
      <c r="B150" s="21">
        <v>57</v>
      </c>
      <c r="C150" s="21">
        <v>1</v>
      </c>
      <c r="D150" s="21">
        <v>4</v>
      </c>
      <c r="E150" s="21">
        <v>1</v>
      </c>
      <c r="F150" s="21">
        <v>1</v>
      </c>
      <c r="G150" s="21">
        <v>1</v>
      </c>
      <c r="H150" s="21">
        <v>1</v>
      </c>
      <c r="I150" s="21">
        <v>2</v>
      </c>
      <c r="J150" s="8">
        <v>2</v>
      </c>
      <c r="K150" s="21">
        <v>2</v>
      </c>
      <c r="L150" s="21">
        <v>2</v>
      </c>
      <c r="M150" s="21">
        <v>2</v>
      </c>
      <c r="N150" s="21">
        <v>2</v>
      </c>
      <c r="O150" s="8">
        <v>13.4</v>
      </c>
      <c r="P150" s="8"/>
      <c r="Q150" s="8"/>
      <c r="R150" s="8">
        <v>13.2</v>
      </c>
      <c r="S150" s="8">
        <v>8.3000000000000007</v>
      </c>
      <c r="T150" s="8"/>
      <c r="U150" s="8"/>
      <c r="V150" s="8"/>
      <c r="W150" s="8"/>
      <c r="X150" s="8"/>
      <c r="Y150" s="8">
        <v>204</v>
      </c>
      <c r="Z150" s="8"/>
      <c r="AA150" s="8">
        <v>9</v>
      </c>
      <c r="AB150" s="8">
        <v>4</v>
      </c>
      <c r="AC150" s="8">
        <v>1</v>
      </c>
      <c r="AD150" s="8">
        <v>3</v>
      </c>
      <c r="AE150" s="8">
        <v>5</v>
      </c>
      <c r="AF150" s="21">
        <v>1</v>
      </c>
      <c r="AG150" s="8">
        <v>1</v>
      </c>
      <c r="AH150" s="8">
        <v>1</v>
      </c>
      <c r="AI150" s="8">
        <v>2</v>
      </c>
      <c r="AJ150" s="8"/>
      <c r="AK150" s="8"/>
      <c r="AL150" s="8">
        <v>2</v>
      </c>
      <c r="AM150" s="8">
        <v>2</v>
      </c>
      <c r="AN150" s="8">
        <v>100</v>
      </c>
      <c r="AO150" s="8">
        <v>1</v>
      </c>
      <c r="AP150" s="8">
        <v>1</v>
      </c>
      <c r="AQ150" s="8">
        <v>2</v>
      </c>
      <c r="AR150" s="8">
        <v>2</v>
      </c>
      <c r="AS150" s="8">
        <v>1</v>
      </c>
      <c r="AT150" s="8">
        <v>1</v>
      </c>
      <c r="AU150" s="8">
        <v>1</v>
      </c>
      <c r="AV150" s="8"/>
      <c r="AW150" s="8"/>
      <c r="AX150" s="8"/>
      <c r="AY150" s="8"/>
      <c r="AZ150" s="8"/>
      <c r="BA150" s="8"/>
      <c r="BB150" s="8"/>
      <c r="BC150" s="21">
        <v>9</v>
      </c>
      <c r="BD150" s="8">
        <v>1</v>
      </c>
      <c r="BE150" s="8">
        <v>1</v>
      </c>
      <c r="BF150" s="8">
        <v>1</v>
      </c>
      <c r="BG150" s="21">
        <v>1</v>
      </c>
    </row>
    <row r="151" spans="1:59" ht="15" customHeight="1" x14ac:dyDescent="0.25">
      <c r="A151" s="8" t="s">
        <v>508</v>
      </c>
      <c r="B151" s="21">
        <v>56</v>
      </c>
      <c r="C151" s="21">
        <v>1</v>
      </c>
      <c r="D151" s="21">
        <v>3</v>
      </c>
      <c r="E151" s="21">
        <v>1</v>
      </c>
      <c r="F151" s="21">
        <v>2</v>
      </c>
      <c r="G151" s="21">
        <v>2</v>
      </c>
      <c r="H151" s="21">
        <v>1</v>
      </c>
      <c r="I151" s="21">
        <v>2</v>
      </c>
      <c r="J151" s="8">
        <v>2</v>
      </c>
      <c r="K151" s="21">
        <v>2</v>
      </c>
      <c r="L151" s="21">
        <v>2</v>
      </c>
      <c r="M151" s="21">
        <v>2</v>
      </c>
      <c r="N151" s="21">
        <v>2</v>
      </c>
      <c r="O151" s="8">
        <v>15.3</v>
      </c>
      <c r="P151" s="8">
        <v>44.5</v>
      </c>
      <c r="Q151" s="8">
        <v>10.220000000000001</v>
      </c>
      <c r="R151" s="8">
        <v>10.4</v>
      </c>
      <c r="S151" s="8">
        <v>6.9</v>
      </c>
      <c r="T151" s="8">
        <v>162</v>
      </c>
      <c r="U151" s="8">
        <v>92</v>
      </c>
      <c r="V151" s="8">
        <v>29</v>
      </c>
      <c r="W151" s="8">
        <v>205</v>
      </c>
      <c r="X151" s="8">
        <v>41</v>
      </c>
      <c r="Y151" s="8">
        <v>150</v>
      </c>
      <c r="Z151" s="8"/>
      <c r="AA151" s="8">
        <v>9</v>
      </c>
      <c r="AB151" s="8">
        <v>4</v>
      </c>
      <c r="AC151" s="8">
        <v>1</v>
      </c>
      <c r="AD151" s="8">
        <v>3</v>
      </c>
      <c r="AE151" s="8">
        <v>5</v>
      </c>
      <c r="AF151" s="21">
        <v>1</v>
      </c>
      <c r="AG151" s="8">
        <v>1</v>
      </c>
      <c r="AH151" s="8">
        <v>1</v>
      </c>
      <c r="AI151" s="8">
        <v>2</v>
      </c>
      <c r="AJ151" s="8"/>
      <c r="AK151" s="8"/>
      <c r="AL151" s="8">
        <v>2</v>
      </c>
      <c r="AM151" s="8">
        <v>2</v>
      </c>
      <c r="AN151" s="8">
        <v>100</v>
      </c>
      <c r="AO151" s="8">
        <v>1</v>
      </c>
      <c r="AP151" s="8">
        <v>2</v>
      </c>
      <c r="AQ151" s="8">
        <v>2</v>
      </c>
      <c r="AR151" s="8">
        <v>2</v>
      </c>
      <c r="AS151" s="8">
        <v>1</v>
      </c>
      <c r="AT151" s="8">
        <v>1</v>
      </c>
      <c r="AU151" s="8">
        <v>1</v>
      </c>
      <c r="AV151" s="8"/>
      <c r="AW151" s="8"/>
      <c r="AX151" s="8"/>
      <c r="AY151" s="8"/>
      <c r="AZ151" s="8"/>
      <c r="BA151" s="8"/>
      <c r="BB151" s="8"/>
      <c r="BC151" s="21">
        <v>10</v>
      </c>
      <c r="BD151" s="8">
        <v>1</v>
      </c>
      <c r="BE151" s="8">
        <v>1</v>
      </c>
      <c r="BF151" s="8">
        <v>1</v>
      </c>
      <c r="BG151" s="21">
        <v>0</v>
      </c>
    </row>
    <row r="152" spans="1:59" ht="15" customHeight="1" x14ac:dyDescent="0.25">
      <c r="A152" t="s">
        <v>242</v>
      </c>
      <c r="B152" s="21">
        <v>65</v>
      </c>
      <c r="C152" s="21">
        <v>1</v>
      </c>
      <c r="D152" s="21">
        <v>9</v>
      </c>
      <c r="E152" s="21">
        <v>1</v>
      </c>
      <c r="F152" s="21">
        <v>1</v>
      </c>
      <c r="G152" s="21">
        <v>2</v>
      </c>
      <c r="H152" s="21">
        <v>2</v>
      </c>
      <c r="I152" s="21">
        <v>2</v>
      </c>
      <c r="J152">
        <v>2</v>
      </c>
      <c r="K152" s="21">
        <v>2</v>
      </c>
      <c r="L152" s="21">
        <v>2</v>
      </c>
      <c r="M152" s="21">
        <v>2</v>
      </c>
      <c r="N152" s="21">
        <v>2</v>
      </c>
      <c r="O152">
        <v>13</v>
      </c>
      <c r="P152">
        <v>39.1</v>
      </c>
      <c r="R152">
        <v>20.04</v>
      </c>
      <c r="S152">
        <v>6</v>
      </c>
      <c r="T152">
        <v>117</v>
      </c>
      <c r="U152">
        <v>61</v>
      </c>
      <c r="V152">
        <v>38</v>
      </c>
      <c r="W152">
        <v>89</v>
      </c>
      <c r="AA152">
        <v>9</v>
      </c>
      <c r="AB152">
        <v>4</v>
      </c>
      <c r="AC152">
        <v>1</v>
      </c>
      <c r="AD152">
        <v>3</v>
      </c>
      <c r="AE152">
        <v>5</v>
      </c>
      <c r="AF152" s="21">
        <v>1</v>
      </c>
      <c r="AG152">
        <v>1</v>
      </c>
      <c r="AH152">
        <v>1</v>
      </c>
      <c r="AI152">
        <v>2</v>
      </c>
      <c r="AK152">
        <v>4</v>
      </c>
      <c r="AN152">
        <v>90</v>
      </c>
      <c r="AO152">
        <v>1</v>
      </c>
      <c r="AP152">
        <v>1</v>
      </c>
      <c r="AQ152">
        <v>2</v>
      </c>
      <c r="AR152">
        <v>2</v>
      </c>
      <c r="AS152">
        <v>1</v>
      </c>
      <c r="AT152">
        <v>1</v>
      </c>
      <c r="AU152">
        <v>1</v>
      </c>
      <c r="AV152">
        <v>0</v>
      </c>
      <c r="AW152">
        <v>0</v>
      </c>
      <c r="AX152">
        <v>0</v>
      </c>
      <c r="AY152">
        <v>0</v>
      </c>
      <c r="AZ152">
        <v>0</v>
      </c>
      <c r="BA152">
        <v>0</v>
      </c>
      <c r="BB152">
        <v>0</v>
      </c>
      <c r="BC152" s="21">
        <v>9</v>
      </c>
      <c r="BD152">
        <v>1</v>
      </c>
      <c r="BE152">
        <v>0</v>
      </c>
      <c r="BF152">
        <v>0</v>
      </c>
      <c r="BG152" s="21">
        <v>0</v>
      </c>
    </row>
    <row r="153" spans="1:59" ht="15" customHeight="1" x14ac:dyDescent="0.25">
      <c r="A153" t="s">
        <v>88</v>
      </c>
      <c r="B153" s="21">
        <v>49</v>
      </c>
      <c r="C153" s="21">
        <v>2</v>
      </c>
      <c r="D153" s="21">
        <v>16</v>
      </c>
      <c r="O153">
        <v>12.8</v>
      </c>
      <c r="P153">
        <v>41</v>
      </c>
      <c r="Q153">
        <v>82</v>
      </c>
      <c r="R153">
        <v>13</v>
      </c>
      <c r="S153">
        <v>9.1999999999999993</v>
      </c>
      <c r="T153">
        <v>247</v>
      </c>
      <c r="U153">
        <v>193.6</v>
      </c>
      <c r="V153">
        <v>40</v>
      </c>
      <c r="W153">
        <v>67</v>
      </c>
      <c r="X153">
        <v>13.4</v>
      </c>
      <c r="Y153">
        <v>149</v>
      </c>
      <c r="AA153">
        <v>8</v>
      </c>
      <c r="AB153">
        <v>4</v>
      </c>
      <c r="AC153">
        <v>1</v>
      </c>
      <c r="AD153">
        <v>3</v>
      </c>
      <c r="AE153">
        <v>5</v>
      </c>
      <c r="AF153" s="21">
        <v>1</v>
      </c>
      <c r="AG153">
        <v>1</v>
      </c>
      <c r="AH153">
        <v>1</v>
      </c>
      <c r="AI153">
        <v>1</v>
      </c>
      <c r="AJ153">
        <v>1</v>
      </c>
      <c r="AK153">
        <v>4</v>
      </c>
      <c r="AN153">
        <v>0</v>
      </c>
      <c r="AO153">
        <v>1</v>
      </c>
      <c r="AP153">
        <v>2</v>
      </c>
      <c r="AQ153">
        <v>2</v>
      </c>
      <c r="AR153">
        <v>2</v>
      </c>
      <c r="AS153">
        <v>1</v>
      </c>
      <c r="AT153">
        <v>0</v>
      </c>
      <c r="AU153">
        <v>1</v>
      </c>
      <c r="AV153">
        <v>0</v>
      </c>
      <c r="AW153">
        <v>0</v>
      </c>
      <c r="AX153">
        <v>0</v>
      </c>
      <c r="AY153">
        <v>0</v>
      </c>
      <c r="AZ153">
        <v>0</v>
      </c>
      <c r="BA153">
        <v>0</v>
      </c>
      <c r="BB153">
        <v>0</v>
      </c>
      <c r="BC153" s="21">
        <v>9</v>
      </c>
      <c r="BD153">
        <v>1</v>
      </c>
      <c r="BE153">
        <v>1</v>
      </c>
      <c r="BF153">
        <v>0</v>
      </c>
      <c r="BG153" s="21">
        <v>6</v>
      </c>
    </row>
    <row r="154" spans="1:59" ht="15" customHeight="1" x14ac:dyDescent="0.25">
      <c r="A154" t="s">
        <v>249</v>
      </c>
      <c r="B154" s="21">
        <v>48</v>
      </c>
      <c r="C154" s="21">
        <v>2</v>
      </c>
      <c r="D154" s="21">
        <v>3</v>
      </c>
      <c r="E154" s="21">
        <v>1</v>
      </c>
      <c r="F154" s="21">
        <v>2</v>
      </c>
      <c r="G154" s="21">
        <v>2</v>
      </c>
      <c r="H154" s="21">
        <v>2</v>
      </c>
      <c r="I154" s="21">
        <v>2</v>
      </c>
      <c r="J154">
        <v>2</v>
      </c>
      <c r="K154" s="21">
        <v>2</v>
      </c>
      <c r="L154" s="21">
        <v>2</v>
      </c>
      <c r="M154" s="21">
        <v>2</v>
      </c>
      <c r="N154" s="21">
        <v>2</v>
      </c>
      <c r="O154">
        <v>10.6</v>
      </c>
      <c r="P154">
        <v>32.5</v>
      </c>
      <c r="Q154">
        <v>75.5</v>
      </c>
      <c r="R154">
        <v>6.22</v>
      </c>
      <c r="Y154">
        <v>494</v>
      </c>
      <c r="AA154">
        <v>9</v>
      </c>
      <c r="AB154">
        <v>4</v>
      </c>
      <c r="AC154">
        <v>1</v>
      </c>
      <c r="AD154">
        <v>3</v>
      </c>
      <c r="AE154">
        <v>5</v>
      </c>
      <c r="AF154" s="21">
        <v>1</v>
      </c>
      <c r="AG154">
        <v>1</v>
      </c>
      <c r="AH154">
        <v>1</v>
      </c>
      <c r="AI154">
        <v>2</v>
      </c>
      <c r="AK154">
        <v>4</v>
      </c>
      <c r="AN154">
        <v>100</v>
      </c>
      <c r="AO154">
        <v>1</v>
      </c>
      <c r="AP154">
        <v>2</v>
      </c>
      <c r="AQ154">
        <v>1</v>
      </c>
      <c r="AR154">
        <v>2</v>
      </c>
      <c r="AS154">
        <v>1</v>
      </c>
      <c r="AT154">
        <v>1</v>
      </c>
      <c r="AU154">
        <v>1</v>
      </c>
      <c r="AV154">
        <v>0</v>
      </c>
      <c r="AW154">
        <v>0</v>
      </c>
      <c r="AX154">
        <v>0</v>
      </c>
      <c r="AY154">
        <v>0</v>
      </c>
      <c r="AZ154">
        <v>0</v>
      </c>
      <c r="BA154">
        <v>0</v>
      </c>
      <c r="BB154">
        <v>0</v>
      </c>
      <c r="BC154" s="21">
        <v>9</v>
      </c>
      <c r="BD154">
        <v>1</v>
      </c>
      <c r="BE154">
        <v>1</v>
      </c>
      <c r="BF154">
        <v>0</v>
      </c>
      <c r="BG154" s="21">
        <v>0</v>
      </c>
    </row>
    <row r="155" spans="1:59" ht="15" customHeight="1" x14ac:dyDescent="0.25">
      <c r="A155" t="s">
        <v>510</v>
      </c>
      <c r="B155" s="21">
        <v>71</v>
      </c>
      <c r="C155" s="21">
        <v>1</v>
      </c>
      <c r="D155" s="21">
        <v>2</v>
      </c>
      <c r="E155" s="21">
        <v>2</v>
      </c>
      <c r="F155" s="21">
        <v>2</v>
      </c>
      <c r="G155" s="21">
        <v>2</v>
      </c>
      <c r="H155" s="21">
        <v>2</v>
      </c>
      <c r="I155" s="21">
        <v>1</v>
      </c>
      <c r="J155">
        <v>2</v>
      </c>
      <c r="K155" s="21">
        <v>2</v>
      </c>
      <c r="L155" s="21">
        <v>2</v>
      </c>
      <c r="M155" s="21">
        <v>2</v>
      </c>
      <c r="N155" s="21">
        <v>2</v>
      </c>
      <c r="AA155">
        <v>8</v>
      </c>
      <c r="AB155">
        <v>4</v>
      </c>
      <c r="AC155">
        <v>1</v>
      </c>
      <c r="AD155">
        <v>3</v>
      </c>
      <c r="AE155">
        <v>5</v>
      </c>
      <c r="AF155" s="21">
        <v>1</v>
      </c>
      <c r="AG155">
        <v>1</v>
      </c>
      <c r="AH155">
        <v>1</v>
      </c>
      <c r="AI155">
        <v>2</v>
      </c>
      <c r="AL155">
        <v>2</v>
      </c>
      <c r="AM155">
        <v>2</v>
      </c>
      <c r="AN155">
        <v>95</v>
      </c>
      <c r="AO155">
        <v>0</v>
      </c>
      <c r="AP155">
        <v>0</v>
      </c>
      <c r="AQ155">
        <v>0</v>
      </c>
      <c r="AR155">
        <v>0</v>
      </c>
      <c r="AS155">
        <v>0</v>
      </c>
      <c r="AT155">
        <v>0</v>
      </c>
      <c r="AU155">
        <v>0</v>
      </c>
      <c r="AV155">
        <v>0</v>
      </c>
      <c r="AW155">
        <v>2</v>
      </c>
      <c r="AX155">
        <v>2</v>
      </c>
      <c r="AY155">
        <v>2</v>
      </c>
      <c r="AZ155">
        <v>1</v>
      </c>
      <c r="BA155">
        <v>1</v>
      </c>
      <c r="BB155">
        <v>1</v>
      </c>
      <c r="BC155" s="21">
        <v>9</v>
      </c>
      <c r="BD155">
        <v>1</v>
      </c>
      <c r="BE155">
        <v>1</v>
      </c>
      <c r="BF155">
        <v>1</v>
      </c>
      <c r="BG155" s="21">
        <v>0</v>
      </c>
    </row>
    <row r="156" spans="1:59" ht="15" customHeight="1" x14ac:dyDescent="0.25">
      <c r="A156" t="s">
        <v>544</v>
      </c>
      <c r="B156" s="21">
        <v>24</v>
      </c>
      <c r="C156" s="21">
        <v>2</v>
      </c>
      <c r="D156" s="21">
        <v>5</v>
      </c>
      <c r="E156" s="21">
        <v>1</v>
      </c>
      <c r="F156" s="21">
        <v>2</v>
      </c>
      <c r="G156" s="21">
        <v>2</v>
      </c>
      <c r="H156" s="21">
        <v>2</v>
      </c>
      <c r="I156" s="21">
        <v>2</v>
      </c>
      <c r="J156">
        <v>2</v>
      </c>
      <c r="K156" s="21">
        <v>2</v>
      </c>
      <c r="L156" s="21">
        <v>2</v>
      </c>
      <c r="M156" s="21">
        <v>2</v>
      </c>
      <c r="N156" s="21">
        <v>1</v>
      </c>
      <c r="O156">
        <v>14.4</v>
      </c>
      <c r="P156">
        <v>42.6</v>
      </c>
      <c r="Q156">
        <v>89.9</v>
      </c>
      <c r="R156">
        <v>7.87</v>
      </c>
      <c r="S156">
        <v>5.2</v>
      </c>
      <c r="T156">
        <v>207</v>
      </c>
      <c r="U156">
        <v>126.8</v>
      </c>
      <c r="V156">
        <v>39</v>
      </c>
      <c r="W156">
        <v>206</v>
      </c>
      <c r="X156">
        <v>41.2</v>
      </c>
      <c r="Y156">
        <v>369</v>
      </c>
      <c r="AA156">
        <v>8</v>
      </c>
      <c r="AB156">
        <v>4</v>
      </c>
      <c r="AC156">
        <v>1</v>
      </c>
      <c r="AD156">
        <v>3</v>
      </c>
      <c r="AE156">
        <v>5</v>
      </c>
      <c r="AF156" s="21">
        <v>1</v>
      </c>
      <c r="AG156">
        <v>1</v>
      </c>
      <c r="AH156">
        <v>1</v>
      </c>
      <c r="AI156">
        <v>2</v>
      </c>
      <c r="AL156">
        <v>2</v>
      </c>
      <c r="AM156">
        <v>2</v>
      </c>
      <c r="AN156">
        <v>100</v>
      </c>
      <c r="AO156">
        <v>1</v>
      </c>
      <c r="AP156">
        <v>2</v>
      </c>
      <c r="AQ156">
        <v>2</v>
      </c>
      <c r="AR156">
        <v>2</v>
      </c>
      <c r="AS156">
        <v>1</v>
      </c>
      <c r="AT156">
        <v>0</v>
      </c>
      <c r="AU156">
        <v>1</v>
      </c>
      <c r="AV156">
        <v>0</v>
      </c>
      <c r="AW156">
        <v>0</v>
      </c>
      <c r="AX156">
        <v>0</v>
      </c>
      <c r="AY156">
        <v>0</v>
      </c>
      <c r="AZ156">
        <v>0</v>
      </c>
      <c r="BA156">
        <v>0</v>
      </c>
      <c r="BB156">
        <v>0</v>
      </c>
      <c r="BC156" s="21">
        <v>9</v>
      </c>
      <c r="BD156">
        <v>1</v>
      </c>
      <c r="BE156">
        <v>1</v>
      </c>
      <c r="BF156">
        <v>0</v>
      </c>
      <c r="BG156" s="21">
        <v>0</v>
      </c>
    </row>
    <row r="157" spans="1:59" ht="15" customHeight="1" x14ac:dyDescent="0.25">
      <c r="A157" t="s">
        <v>24</v>
      </c>
      <c r="B157" s="21">
        <v>57</v>
      </c>
      <c r="C157" s="21">
        <v>1</v>
      </c>
      <c r="D157" s="21">
        <v>1</v>
      </c>
      <c r="E157" s="21">
        <v>1</v>
      </c>
      <c r="F157" s="21">
        <v>1</v>
      </c>
      <c r="G157" s="21">
        <v>2</v>
      </c>
      <c r="H157" s="21">
        <v>2</v>
      </c>
      <c r="I157" s="21">
        <v>2</v>
      </c>
      <c r="J157">
        <v>2</v>
      </c>
      <c r="K157" s="21">
        <v>2</v>
      </c>
      <c r="L157" s="21">
        <v>2</v>
      </c>
      <c r="M157" s="21">
        <v>2</v>
      </c>
      <c r="N157" s="21">
        <v>2</v>
      </c>
      <c r="O157">
        <v>12.3</v>
      </c>
      <c r="R157">
        <v>77.17</v>
      </c>
      <c r="S157">
        <v>8.6</v>
      </c>
      <c r="T157">
        <v>180</v>
      </c>
      <c r="U157">
        <v>64.8</v>
      </c>
      <c r="V157">
        <v>25</v>
      </c>
      <c r="W157">
        <v>451</v>
      </c>
      <c r="X157">
        <v>90.2</v>
      </c>
      <c r="Y157">
        <v>148</v>
      </c>
      <c r="AA157">
        <v>10</v>
      </c>
      <c r="AB157">
        <v>4</v>
      </c>
      <c r="AC157">
        <v>1</v>
      </c>
      <c r="AD157">
        <v>3</v>
      </c>
      <c r="AE157">
        <v>5</v>
      </c>
      <c r="AF157" s="21">
        <v>1</v>
      </c>
      <c r="AG157">
        <v>1</v>
      </c>
      <c r="AH157">
        <v>1</v>
      </c>
      <c r="AI157">
        <v>2</v>
      </c>
      <c r="AK157">
        <v>4</v>
      </c>
      <c r="AN157">
        <v>100</v>
      </c>
      <c r="AO157">
        <v>0</v>
      </c>
      <c r="AP157">
        <v>0</v>
      </c>
      <c r="AQ157">
        <v>0</v>
      </c>
      <c r="AR157">
        <v>0</v>
      </c>
      <c r="AS157">
        <v>0</v>
      </c>
      <c r="AT157">
        <v>0</v>
      </c>
      <c r="AU157">
        <v>0</v>
      </c>
      <c r="AV157">
        <v>1</v>
      </c>
      <c r="AW157">
        <v>2</v>
      </c>
      <c r="AX157">
        <v>1</v>
      </c>
      <c r="AY157">
        <v>2</v>
      </c>
      <c r="AZ157">
        <v>1</v>
      </c>
      <c r="BA157">
        <v>1</v>
      </c>
      <c r="BB157">
        <v>1</v>
      </c>
      <c r="BC157" s="21">
        <v>9</v>
      </c>
      <c r="BD157">
        <v>1</v>
      </c>
      <c r="BE157">
        <v>1</v>
      </c>
      <c r="BF157" t="s">
        <v>974</v>
      </c>
      <c r="BG157" s="21">
        <v>0</v>
      </c>
    </row>
    <row r="158" spans="1:59" ht="15" customHeight="1" x14ac:dyDescent="0.25">
      <c r="A158" t="s">
        <v>107</v>
      </c>
      <c r="B158" s="21">
        <v>47</v>
      </c>
      <c r="C158" s="21">
        <v>1</v>
      </c>
      <c r="D158" s="21">
        <v>6</v>
      </c>
      <c r="O158">
        <v>17.100000000000001</v>
      </c>
      <c r="P158">
        <v>50</v>
      </c>
      <c r="R158">
        <v>81</v>
      </c>
      <c r="S158">
        <v>8.1999999999999993</v>
      </c>
      <c r="Y158">
        <v>195</v>
      </c>
      <c r="AA158">
        <v>8</v>
      </c>
      <c r="AB158">
        <v>4</v>
      </c>
      <c r="AC158">
        <v>1</v>
      </c>
      <c r="AD158">
        <v>3</v>
      </c>
      <c r="AE158">
        <v>5</v>
      </c>
      <c r="AF158" s="21">
        <v>1</v>
      </c>
      <c r="AG158">
        <v>1</v>
      </c>
      <c r="AH158">
        <v>2</v>
      </c>
      <c r="AI158">
        <v>1</v>
      </c>
      <c r="AJ158">
        <v>1</v>
      </c>
      <c r="AK158">
        <v>1</v>
      </c>
      <c r="AN158">
        <v>100</v>
      </c>
      <c r="AO158">
        <v>0</v>
      </c>
      <c r="AP158">
        <v>0</v>
      </c>
      <c r="AQ158">
        <v>0</v>
      </c>
      <c r="AR158">
        <v>0</v>
      </c>
      <c r="AS158">
        <v>0</v>
      </c>
      <c r="AT158">
        <v>0</v>
      </c>
      <c r="AU158">
        <v>0</v>
      </c>
      <c r="AV158">
        <v>0</v>
      </c>
      <c r="AW158">
        <v>2</v>
      </c>
      <c r="AX158">
        <v>2</v>
      </c>
      <c r="AY158">
        <v>2</v>
      </c>
      <c r="AZ158">
        <v>1</v>
      </c>
      <c r="BA158">
        <v>1</v>
      </c>
      <c r="BB158">
        <v>1</v>
      </c>
      <c r="BC158" s="21">
        <v>9</v>
      </c>
      <c r="BD158">
        <v>0</v>
      </c>
      <c r="BE158">
        <v>1</v>
      </c>
      <c r="BF158">
        <v>0</v>
      </c>
      <c r="BG158" s="21">
        <v>0</v>
      </c>
    </row>
    <row r="159" spans="1:59" ht="15" customHeight="1" x14ac:dyDescent="0.25">
      <c r="A159" t="s">
        <v>380</v>
      </c>
      <c r="B159" s="21">
        <v>38</v>
      </c>
      <c r="C159" s="21">
        <v>1</v>
      </c>
      <c r="D159" s="21">
        <v>16</v>
      </c>
      <c r="E159" s="21">
        <v>2</v>
      </c>
      <c r="F159" s="21">
        <v>1</v>
      </c>
      <c r="G159" s="21">
        <v>2</v>
      </c>
      <c r="H159" s="21">
        <v>2</v>
      </c>
      <c r="I159" s="21">
        <v>2</v>
      </c>
      <c r="J159">
        <v>2</v>
      </c>
      <c r="K159" s="21">
        <v>2</v>
      </c>
      <c r="L159" s="21">
        <v>1</v>
      </c>
      <c r="M159" s="21">
        <v>2</v>
      </c>
      <c r="N159" s="21">
        <v>2</v>
      </c>
      <c r="O159">
        <v>12.7</v>
      </c>
      <c r="P159">
        <v>40.4</v>
      </c>
      <c r="Q159">
        <v>72.900000000000006</v>
      </c>
      <c r="R159">
        <v>10.33</v>
      </c>
      <c r="S159">
        <v>12.7</v>
      </c>
      <c r="T159">
        <v>159</v>
      </c>
      <c r="U159">
        <v>106.4</v>
      </c>
      <c r="V159">
        <v>34</v>
      </c>
      <c r="W159">
        <v>93</v>
      </c>
      <c r="X159">
        <v>18.600000000000001</v>
      </c>
      <c r="Y159">
        <v>248</v>
      </c>
      <c r="AA159">
        <v>5</v>
      </c>
      <c r="AB159">
        <v>4</v>
      </c>
      <c r="AC159">
        <v>1</v>
      </c>
      <c r="AD159">
        <v>3</v>
      </c>
      <c r="AE159">
        <v>5</v>
      </c>
      <c r="AF159" s="21">
        <v>1</v>
      </c>
      <c r="AG159">
        <v>1</v>
      </c>
      <c r="AH159">
        <v>2</v>
      </c>
      <c r="AI159">
        <v>2</v>
      </c>
      <c r="AL159">
        <v>2</v>
      </c>
      <c r="AM159">
        <v>1</v>
      </c>
      <c r="AN159">
        <v>80</v>
      </c>
      <c r="AO159">
        <v>1</v>
      </c>
      <c r="AP159">
        <v>2</v>
      </c>
      <c r="AQ159">
        <v>2</v>
      </c>
      <c r="AR159">
        <v>1</v>
      </c>
      <c r="AS159">
        <v>1</v>
      </c>
      <c r="AT159">
        <v>1</v>
      </c>
      <c r="AU159">
        <v>1</v>
      </c>
      <c r="AV159">
        <v>0</v>
      </c>
      <c r="AW159">
        <v>0</v>
      </c>
      <c r="AX159">
        <v>0</v>
      </c>
      <c r="AY159">
        <v>0</v>
      </c>
      <c r="AZ159">
        <v>0</v>
      </c>
      <c r="BA159">
        <v>0</v>
      </c>
      <c r="BB159">
        <v>0</v>
      </c>
      <c r="BC159" s="21">
        <v>9</v>
      </c>
      <c r="BD159">
        <v>1</v>
      </c>
      <c r="BE159">
        <v>1</v>
      </c>
      <c r="BF159">
        <v>0</v>
      </c>
      <c r="BG159" s="21">
        <v>1</v>
      </c>
    </row>
    <row r="160" spans="1:59" ht="15" customHeight="1" x14ac:dyDescent="0.25">
      <c r="A160" t="s">
        <v>379</v>
      </c>
      <c r="B160" s="21">
        <v>66</v>
      </c>
      <c r="C160" s="21">
        <v>1</v>
      </c>
      <c r="D160" s="21">
        <v>3</v>
      </c>
      <c r="E160" s="21">
        <v>1</v>
      </c>
      <c r="F160" s="21">
        <v>1</v>
      </c>
      <c r="G160" s="21">
        <v>2</v>
      </c>
      <c r="H160" s="21">
        <v>2</v>
      </c>
      <c r="I160" s="21">
        <v>2</v>
      </c>
      <c r="J160">
        <v>2</v>
      </c>
      <c r="K160" s="21">
        <v>2</v>
      </c>
      <c r="L160" s="21">
        <v>1</v>
      </c>
      <c r="M160" s="21">
        <v>2</v>
      </c>
      <c r="N160" s="21">
        <v>2</v>
      </c>
      <c r="O160">
        <v>12.2</v>
      </c>
      <c r="P160">
        <v>38.799999999999997</v>
      </c>
      <c r="Q160">
        <v>96</v>
      </c>
      <c r="S160">
        <v>13</v>
      </c>
      <c r="Y160">
        <v>304</v>
      </c>
      <c r="AA160">
        <v>9</v>
      </c>
      <c r="AB160">
        <v>4</v>
      </c>
      <c r="AC160">
        <v>1</v>
      </c>
      <c r="AD160">
        <v>3</v>
      </c>
      <c r="AE160">
        <v>5</v>
      </c>
      <c r="AF160" s="21">
        <v>1</v>
      </c>
      <c r="AG160">
        <v>1</v>
      </c>
      <c r="AH160">
        <v>2</v>
      </c>
      <c r="AI160">
        <v>1</v>
      </c>
      <c r="AJ160">
        <v>1</v>
      </c>
      <c r="AK160">
        <v>4</v>
      </c>
      <c r="AL160">
        <v>2</v>
      </c>
      <c r="AM160">
        <v>2</v>
      </c>
      <c r="AN160">
        <v>35</v>
      </c>
      <c r="AO160">
        <v>1</v>
      </c>
      <c r="AP160">
        <v>2</v>
      </c>
      <c r="AQ160">
        <v>2</v>
      </c>
      <c r="AR160">
        <v>2</v>
      </c>
      <c r="AS160">
        <v>1</v>
      </c>
      <c r="AT160">
        <v>1</v>
      </c>
      <c r="AU160">
        <v>1</v>
      </c>
      <c r="AV160">
        <v>0</v>
      </c>
      <c r="AW160">
        <v>0</v>
      </c>
      <c r="AX160">
        <v>0</v>
      </c>
      <c r="AY160">
        <v>0</v>
      </c>
      <c r="AZ160">
        <v>0</v>
      </c>
      <c r="BA160">
        <v>0</v>
      </c>
      <c r="BB160">
        <v>0</v>
      </c>
      <c r="BC160" s="21">
        <v>10</v>
      </c>
      <c r="BD160">
        <v>1</v>
      </c>
      <c r="BE160">
        <v>1</v>
      </c>
      <c r="BF160">
        <v>0</v>
      </c>
      <c r="BG160" s="21">
        <v>4</v>
      </c>
    </row>
    <row r="161" spans="1:59" ht="15" customHeight="1" x14ac:dyDescent="0.25">
      <c r="A161" t="s">
        <v>259</v>
      </c>
      <c r="B161" s="21">
        <v>70</v>
      </c>
      <c r="C161" s="21">
        <v>1</v>
      </c>
      <c r="D161" s="21">
        <v>4</v>
      </c>
      <c r="E161" s="21">
        <v>2</v>
      </c>
      <c r="F161" s="21">
        <v>2</v>
      </c>
      <c r="G161" s="21">
        <v>2</v>
      </c>
      <c r="H161" s="21">
        <v>1</v>
      </c>
      <c r="I161" s="21">
        <v>2</v>
      </c>
      <c r="J161">
        <v>2</v>
      </c>
      <c r="K161" s="21">
        <v>2</v>
      </c>
      <c r="L161" s="21">
        <v>2</v>
      </c>
      <c r="M161" s="21">
        <v>2</v>
      </c>
      <c r="N161" s="21">
        <v>2</v>
      </c>
      <c r="O161">
        <v>14.2</v>
      </c>
      <c r="P161">
        <v>41.2</v>
      </c>
      <c r="Q161">
        <v>97.7</v>
      </c>
      <c r="AA161">
        <v>9</v>
      </c>
      <c r="AB161">
        <v>4</v>
      </c>
      <c r="AC161">
        <v>1</v>
      </c>
      <c r="AD161">
        <v>3</v>
      </c>
      <c r="AE161">
        <v>5</v>
      </c>
      <c r="AF161" s="21">
        <v>1</v>
      </c>
      <c r="AG161">
        <v>1</v>
      </c>
      <c r="AH161">
        <v>1</v>
      </c>
      <c r="AI161">
        <v>2</v>
      </c>
      <c r="AK161">
        <v>4</v>
      </c>
      <c r="AL161">
        <v>2</v>
      </c>
      <c r="AM161">
        <v>2</v>
      </c>
      <c r="AN161">
        <v>100</v>
      </c>
      <c r="AO161">
        <v>0</v>
      </c>
      <c r="AP161">
        <v>0</v>
      </c>
      <c r="AQ161">
        <v>0</v>
      </c>
      <c r="AR161">
        <v>0</v>
      </c>
      <c r="AS161">
        <v>0</v>
      </c>
      <c r="AT161">
        <v>0</v>
      </c>
      <c r="AU161">
        <v>0</v>
      </c>
      <c r="AV161">
        <v>1</v>
      </c>
      <c r="AW161">
        <v>2</v>
      </c>
      <c r="AX161">
        <v>2</v>
      </c>
      <c r="AY161">
        <v>2</v>
      </c>
      <c r="AZ161">
        <v>1</v>
      </c>
      <c r="BA161">
        <v>1</v>
      </c>
      <c r="BB161">
        <v>1</v>
      </c>
      <c r="BC161" s="21">
        <v>10</v>
      </c>
      <c r="BD161">
        <v>1</v>
      </c>
      <c r="BE161">
        <v>1</v>
      </c>
      <c r="BF161" t="s">
        <v>1040</v>
      </c>
      <c r="BG161" s="21">
        <v>0</v>
      </c>
    </row>
    <row r="162" spans="1:59" ht="15" customHeight="1" x14ac:dyDescent="0.25">
      <c r="A162" t="s">
        <v>378</v>
      </c>
      <c r="B162" s="21">
        <v>83</v>
      </c>
      <c r="C162" s="21">
        <v>2</v>
      </c>
      <c r="D162" s="21">
        <v>8</v>
      </c>
      <c r="E162" s="21">
        <v>2</v>
      </c>
      <c r="F162" s="21">
        <v>2</v>
      </c>
      <c r="G162" s="21">
        <v>2</v>
      </c>
      <c r="H162" s="21">
        <v>2</v>
      </c>
      <c r="I162" s="21">
        <v>2</v>
      </c>
      <c r="J162">
        <v>2</v>
      </c>
      <c r="K162" s="21">
        <v>2</v>
      </c>
      <c r="L162" s="21">
        <v>2</v>
      </c>
      <c r="M162" s="21">
        <v>2</v>
      </c>
      <c r="N162" s="21">
        <v>2</v>
      </c>
      <c r="O162">
        <v>12.4</v>
      </c>
      <c r="P162">
        <v>38.5</v>
      </c>
      <c r="Q162">
        <v>96</v>
      </c>
      <c r="R162">
        <v>39.909999999999997</v>
      </c>
      <c r="S162">
        <v>6.1</v>
      </c>
      <c r="T162">
        <v>190</v>
      </c>
      <c r="U162">
        <v>126.2</v>
      </c>
      <c r="V162">
        <v>48</v>
      </c>
      <c r="W162">
        <v>79</v>
      </c>
      <c r="X162">
        <v>15.8</v>
      </c>
      <c r="Y162">
        <v>148</v>
      </c>
      <c r="AA162">
        <v>9</v>
      </c>
      <c r="AB162">
        <v>4</v>
      </c>
      <c r="AC162">
        <v>1</v>
      </c>
      <c r="AD162">
        <v>3</v>
      </c>
      <c r="AE162">
        <v>5</v>
      </c>
      <c r="AF162" s="21">
        <v>1</v>
      </c>
      <c r="AG162">
        <v>1</v>
      </c>
      <c r="AH162">
        <v>1</v>
      </c>
      <c r="AI162">
        <v>2</v>
      </c>
      <c r="AL162">
        <v>2</v>
      </c>
      <c r="AM162">
        <v>2</v>
      </c>
      <c r="AN162">
        <v>100</v>
      </c>
      <c r="AV162">
        <v>1</v>
      </c>
      <c r="AW162">
        <v>2</v>
      </c>
      <c r="AX162">
        <v>2</v>
      </c>
      <c r="AY162">
        <v>2</v>
      </c>
      <c r="AZ162">
        <v>1</v>
      </c>
      <c r="BA162">
        <v>1</v>
      </c>
      <c r="BB162">
        <v>1</v>
      </c>
      <c r="BC162" s="21">
        <v>10</v>
      </c>
      <c r="BD162">
        <v>1</v>
      </c>
      <c r="BE162">
        <v>1</v>
      </c>
      <c r="BF162">
        <v>1</v>
      </c>
      <c r="BG162" s="21">
        <v>0</v>
      </c>
    </row>
    <row r="163" spans="1:59" ht="15" customHeight="1" x14ac:dyDescent="0.25">
      <c r="A163" t="s">
        <v>403</v>
      </c>
      <c r="B163" s="21">
        <v>75</v>
      </c>
      <c r="C163" s="21">
        <v>1</v>
      </c>
      <c r="D163" s="21">
        <v>2</v>
      </c>
      <c r="E163" s="21">
        <v>1</v>
      </c>
      <c r="F163" s="21">
        <v>1</v>
      </c>
      <c r="G163" s="21">
        <v>2</v>
      </c>
      <c r="H163" s="21">
        <v>2</v>
      </c>
      <c r="I163" s="21">
        <v>2</v>
      </c>
      <c r="J163">
        <v>2</v>
      </c>
      <c r="K163" s="21">
        <v>2</v>
      </c>
      <c r="L163" s="21">
        <v>2</v>
      </c>
      <c r="M163" s="21">
        <v>2</v>
      </c>
      <c r="N163" s="21">
        <v>2</v>
      </c>
      <c r="O163">
        <v>11.2</v>
      </c>
      <c r="P163">
        <v>36.9</v>
      </c>
      <c r="Q163">
        <v>67.7</v>
      </c>
      <c r="R163">
        <v>28</v>
      </c>
      <c r="S163">
        <v>10.7</v>
      </c>
      <c r="T163">
        <v>152</v>
      </c>
      <c r="U163">
        <v>98.8</v>
      </c>
      <c r="V163">
        <v>31</v>
      </c>
      <c r="W163">
        <v>111</v>
      </c>
      <c r="X163">
        <v>21.2</v>
      </c>
      <c r="Y163">
        <v>345</v>
      </c>
      <c r="AA163">
        <v>9</v>
      </c>
      <c r="AB163">
        <v>5</v>
      </c>
      <c r="AC163">
        <v>1</v>
      </c>
      <c r="AD163">
        <v>3</v>
      </c>
      <c r="AE163">
        <v>5</v>
      </c>
      <c r="AF163" s="21">
        <v>1</v>
      </c>
      <c r="AG163">
        <v>1</v>
      </c>
      <c r="AI163">
        <v>2</v>
      </c>
      <c r="AK163">
        <v>3</v>
      </c>
      <c r="AL163">
        <v>2</v>
      </c>
      <c r="AM163">
        <v>2</v>
      </c>
      <c r="AN163">
        <v>95</v>
      </c>
      <c r="AO163">
        <v>1</v>
      </c>
      <c r="AP163">
        <v>1</v>
      </c>
      <c r="AQ163">
        <v>2</v>
      </c>
      <c r="AR163">
        <v>2</v>
      </c>
      <c r="AS163">
        <v>1</v>
      </c>
      <c r="AT163">
        <v>1</v>
      </c>
      <c r="AU163">
        <v>1</v>
      </c>
      <c r="AV163">
        <v>0</v>
      </c>
      <c r="AW163">
        <v>0</v>
      </c>
      <c r="AX163">
        <v>0</v>
      </c>
      <c r="AY163">
        <v>0</v>
      </c>
      <c r="AZ163">
        <v>0</v>
      </c>
      <c r="BA163">
        <v>0</v>
      </c>
      <c r="BB163">
        <v>0</v>
      </c>
      <c r="BC163" s="21">
        <v>9</v>
      </c>
      <c r="BD163">
        <v>1</v>
      </c>
      <c r="BE163">
        <v>1</v>
      </c>
      <c r="BF163" t="s">
        <v>1040</v>
      </c>
      <c r="BG163" s="21">
        <v>0</v>
      </c>
    </row>
    <row r="164" spans="1:59" ht="15" customHeight="1" x14ac:dyDescent="0.25">
      <c r="A164" t="s">
        <v>398</v>
      </c>
      <c r="B164" s="21">
        <v>62</v>
      </c>
      <c r="C164" s="21">
        <v>1</v>
      </c>
      <c r="D164" s="21">
        <v>4</v>
      </c>
      <c r="E164" s="21">
        <v>1</v>
      </c>
      <c r="F164" s="21">
        <v>2</v>
      </c>
      <c r="G164" s="21">
        <v>2</v>
      </c>
      <c r="H164" s="21">
        <v>1</v>
      </c>
      <c r="I164" s="21">
        <v>2</v>
      </c>
      <c r="J164">
        <v>2</v>
      </c>
      <c r="K164" s="21">
        <v>2</v>
      </c>
      <c r="L164" s="21">
        <v>2</v>
      </c>
      <c r="M164" s="21">
        <v>2</v>
      </c>
      <c r="N164" s="21">
        <v>2</v>
      </c>
      <c r="O164">
        <v>14.4</v>
      </c>
      <c r="P164">
        <v>45.1</v>
      </c>
      <c r="Q164">
        <v>82.5</v>
      </c>
      <c r="R164">
        <v>52.77</v>
      </c>
      <c r="S164">
        <v>6.4</v>
      </c>
      <c r="T164">
        <v>223</v>
      </c>
      <c r="U164">
        <v>41</v>
      </c>
      <c r="V164">
        <v>41</v>
      </c>
      <c r="W164">
        <v>137</v>
      </c>
      <c r="X164">
        <v>27.4</v>
      </c>
      <c r="Y164">
        <v>241</v>
      </c>
      <c r="AA164">
        <v>9</v>
      </c>
      <c r="AB164">
        <v>5</v>
      </c>
      <c r="AC164">
        <v>1</v>
      </c>
      <c r="AD164">
        <v>3</v>
      </c>
      <c r="AE164">
        <v>5</v>
      </c>
      <c r="AF164" s="21">
        <v>1</v>
      </c>
      <c r="AG164">
        <v>1</v>
      </c>
      <c r="AH164">
        <v>1</v>
      </c>
      <c r="AI164">
        <v>2</v>
      </c>
      <c r="AL164">
        <v>2</v>
      </c>
      <c r="AM164">
        <v>2</v>
      </c>
      <c r="AN164">
        <v>100</v>
      </c>
      <c r="AO164">
        <v>0</v>
      </c>
      <c r="AP164">
        <v>0</v>
      </c>
      <c r="AQ164">
        <v>0</v>
      </c>
      <c r="AR164">
        <v>0</v>
      </c>
      <c r="AS164">
        <v>0</v>
      </c>
      <c r="AT164">
        <v>0</v>
      </c>
      <c r="AU164">
        <v>0</v>
      </c>
      <c r="AV164">
        <v>1</v>
      </c>
      <c r="AW164">
        <v>2</v>
      </c>
      <c r="AX164">
        <v>2</v>
      </c>
      <c r="AY164">
        <v>2</v>
      </c>
      <c r="AZ164">
        <v>1</v>
      </c>
      <c r="BA164">
        <v>1</v>
      </c>
      <c r="BB164">
        <v>1</v>
      </c>
      <c r="BC164" s="21">
        <v>10</v>
      </c>
      <c r="BD164">
        <v>1</v>
      </c>
      <c r="BE164">
        <v>1</v>
      </c>
      <c r="BF164">
        <v>0</v>
      </c>
      <c r="BG164" s="21">
        <v>0</v>
      </c>
    </row>
    <row r="165" spans="1:59" ht="15" customHeight="1" x14ac:dyDescent="0.25">
      <c r="A165" t="s">
        <v>363</v>
      </c>
      <c r="B165" s="21">
        <v>80</v>
      </c>
      <c r="C165" s="21">
        <v>1</v>
      </c>
      <c r="E165" s="21">
        <v>1</v>
      </c>
      <c r="F165" s="21">
        <v>1</v>
      </c>
      <c r="G165" s="21">
        <v>2</v>
      </c>
      <c r="H165" s="21">
        <v>2</v>
      </c>
      <c r="I165" s="21">
        <v>2</v>
      </c>
      <c r="J165">
        <v>2</v>
      </c>
      <c r="K165" s="21">
        <v>2</v>
      </c>
      <c r="L165" s="21">
        <v>2</v>
      </c>
      <c r="M165" s="21">
        <v>2</v>
      </c>
      <c r="N165" s="21">
        <v>2</v>
      </c>
      <c r="O165">
        <v>13</v>
      </c>
      <c r="P165">
        <v>38.799999999999997</v>
      </c>
      <c r="Q165">
        <v>83</v>
      </c>
      <c r="R165">
        <v>27</v>
      </c>
      <c r="S165">
        <v>11.1</v>
      </c>
      <c r="T165">
        <v>276</v>
      </c>
      <c r="U165">
        <v>168.4</v>
      </c>
      <c r="V165">
        <v>43</v>
      </c>
      <c r="W165">
        <v>323</v>
      </c>
      <c r="X165">
        <v>64.599999999999994</v>
      </c>
      <c r="Y165">
        <v>305</v>
      </c>
      <c r="Z165">
        <v>138</v>
      </c>
      <c r="AA165">
        <v>10</v>
      </c>
      <c r="AB165">
        <v>5</v>
      </c>
      <c r="AC165">
        <v>1</v>
      </c>
      <c r="AD165">
        <v>3</v>
      </c>
      <c r="AE165">
        <v>5</v>
      </c>
      <c r="AF165" s="21">
        <v>1</v>
      </c>
      <c r="AG165">
        <v>2</v>
      </c>
      <c r="AH165">
        <v>2</v>
      </c>
      <c r="AI165">
        <v>2</v>
      </c>
      <c r="AL165">
        <v>2</v>
      </c>
      <c r="AM165">
        <v>2</v>
      </c>
      <c r="AN165">
        <v>65</v>
      </c>
      <c r="AO165">
        <v>0</v>
      </c>
      <c r="AP165">
        <v>0</v>
      </c>
      <c r="AQ165">
        <v>0</v>
      </c>
      <c r="AR165">
        <v>0</v>
      </c>
      <c r="AS165">
        <v>0</v>
      </c>
      <c r="AT165">
        <v>0</v>
      </c>
      <c r="AU165">
        <v>0</v>
      </c>
      <c r="AV165">
        <v>0</v>
      </c>
      <c r="AW165">
        <v>1</v>
      </c>
      <c r="AX165">
        <v>2</v>
      </c>
      <c r="AY165">
        <v>2</v>
      </c>
      <c r="AZ165">
        <v>1</v>
      </c>
      <c r="BA165">
        <v>1</v>
      </c>
      <c r="BB165">
        <v>1</v>
      </c>
      <c r="BC165" s="21">
        <v>8</v>
      </c>
      <c r="BD165">
        <v>0</v>
      </c>
      <c r="BE165">
        <v>0</v>
      </c>
      <c r="BF165">
        <v>0</v>
      </c>
      <c r="BG165" s="21">
        <v>2</v>
      </c>
    </row>
    <row r="166" spans="1:59" ht="15" customHeight="1" x14ac:dyDescent="0.25">
      <c r="A166" t="s">
        <v>537</v>
      </c>
      <c r="B166" s="21">
        <v>58</v>
      </c>
      <c r="C166" s="21">
        <v>1</v>
      </c>
      <c r="D166" s="21">
        <v>2</v>
      </c>
      <c r="E166" s="21">
        <v>1</v>
      </c>
      <c r="F166" s="21">
        <v>2</v>
      </c>
      <c r="G166" s="21">
        <v>2</v>
      </c>
      <c r="H166" s="21">
        <v>1</v>
      </c>
      <c r="I166" s="21">
        <v>2</v>
      </c>
      <c r="J166">
        <v>2</v>
      </c>
      <c r="K166" s="21">
        <v>2</v>
      </c>
      <c r="L166" s="21">
        <v>2</v>
      </c>
      <c r="M166" s="21">
        <v>2</v>
      </c>
      <c r="N166" s="21">
        <v>2</v>
      </c>
      <c r="AA166">
        <v>10</v>
      </c>
      <c r="AB166">
        <v>5</v>
      </c>
      <c r="AC166">
        <v>1</v>
      </c>
      <c r="AD166">
        <v>3</v>
      </c>
      <c r="AE166">
        <v>5</v>
      </c>
      <c r="AF166" s="21">
        <v>1</v>
      </c>
      <c r="AG166">
        <v>1</v>
      </c>
      <c r="AH166">
        <v>1</v>
      </c>
      <c r="AI166">
        <v>2</v>
      </c>
      <c r="AL166">
        <v>2</v>
      </c>
      <c r="AM166">
        <v>2</v>
      </c>
      <c r="AN166">
        <v>100</v>
      </c>
      <c r="AO166">
        <v>1</v>
      </c>
      <c r="AP166">
        <v>2</v>
      </c>
      <c r="AQ166">
        <v>2</v>
      </c>
      <c r="AR166">
        <v>2</v>
      </c>
      <c r="AS166">
        <v>1</v>
      </c>
      <c r="AT166">
        <v>1</v>
      </c>
      <c r="AU166">
        <v>1</v>
      </c>
      <c r="AV166">
        <v>0</v>
      </c>
      <c r="AW166">
        <v>0</v>
      </c>
      <c r="AX166">
        <v>0</v>
      </c>
      <c r="AY166">
        <v>0</v>
      </c>
      <c r="AZ166">
        <v>0</v>
      </c>
      <c r="BA166">
        <v>0</v>
      </c>
      <c r="BB166">
        <v>0</v>
      </c>
      <c r="BC166" s="21">
        <v>10</v>
      </c>
      <c r="BD166">
        <v>1</v>
      </c>
      <c r="BE166">
        <v>1</v>
      </c>
      <c r="BF166">
        <v>0</v>
      </c>
      <c r="BG166" s="21">
        <v>0</v>
      </c>
    </row>
    <row r="167" spans="1:59" ht="15" customHeight="1" x14ac:dyDescent="0.25">
      <c r="A167" t="s">
        <v>369</v>
      </c>
      <c r="B167" s="21">
        <v>42</v>
      </c>
      <c r="C167" s="21">
        <v>1</v>
      </c>
      <c r="D167" s="21">
        <v>3</v>
      </c>
      <c r="E167" s="21">
        <v>1</v>
      </c>
      <c r="F167" s="21">
        <v>2</v>
      </c>
      <c r="G167" s="21">
        <v>1</v>
      </c>
      <c r="H167" s="21">
        <v>1</v>
      </c>
      <c r="I167" s="21">
        <v>2</v>
      </c>
      <c r="J167">
        <v>2</v>
      </c>
      <c r="K167" s="21">
        <v>2</v>
      </c>
      <c r="L167" s="21">
        <v>1</v>
      </c>
      <c r="M167" s="21">
        <v>2</v>
      </c>
      <c r="N167" s="21">
        <v>2</v>
      </c>
      <c r="O167">
        <v>16.399999999999999</v>
      </c>
      <c r="P167">
        <v>48.3</v>
      </c>
      <c r="Q167">
        <v>83.4</v>
      </c>
      <c r="R167">
        <v>26.05</v>
      </c>
      <c r="S167">
        <v>5.3</v>
      </c>
      <c r="T167">
        <v>186</v>
      </c>
      <c r="U167">
        <v>101.6</v>
      </c>
      <c r="V167">
        <v>43</v>
      </c>
      <c r="W167">
        <v>207</v>
      </c>
      <c r="X167">
        <v>41.4</v>
      </c>
      <c r="Y167">
        <v>157</v>
      </c>
      <c r="AA167">
        <v>8</v>
      </c>
      <c r="AB167">
        <v>5</v>
      </c>
      <c r="AC167">
        <v>1</v>
      </c>
      <c r="AD167">
        <v>3</v>
      </c>
      <c r="AE167">
        <v>5</v>
      </c>
      <c r="AF167" s="21">
        <v>1</v>
      </c>
      <c r="AG167">
        <v>1</v>
      </c>
      <c r="AH167">
        <v>1</v>
      </c>
      <c r="AI167">
        <v>2</v>
      </c>
      <c r="AL167">
        <v>2</v>
      </c>
      <c r="AM167">
        <v>2</v>
      </c>
      <c r="AN167">
        <v>100</v>
      </c>
      <c r="AO167">
        <v>0</v>
      </c>
      <c r="AP167">
        <v>0</v>
      </c>
      <c r="AQ167">
        <v>0</v>
      </c>
      <c r="AR167">
        <v>0</v>
      </c>
      <c r="AS167">
        <v>0</v>
      </c>
      <c r="AT167">
        <v>0</v>
      </c>
      <c r="AU167">
        <v>0</v>
      </c>
      <c r="AV167">
        <v>1</v>
      </c>
      <c r="AW167">
        <v>2</v>
      </c>
      <c r="AX167">
        <v>2</v>
      </c>
      <c r="AY167">
        <v>2</v>
      </c>
      <c r="AZ167">
        <v>1</v>
      </c>
      <c r="BA167">
        <v>1</v>
      </c>
      <c r="BB167">
        <v>1</v>
      </c>
      <c r="BC167" s="21">
        <v>10</v>
      </c>
      <c r="BD167">
        <v>1</v>
      </c>
      <c r="BE167">
        <v>1</v>
      </c>
      <c r="BF167">
        <v>0</v>
      </c>
      <c r="BG167" s="21">
        <v>1</v>
      </c>
    </row>
    <row r="168" spans="1:59" ht="15" customHeight="1" x14ac:dyDescent="0.25">
      <c r="A168" t="s">
        <v>54</v>
      </c>
      <c r="B168" s="21">
        <v>47</v>
      </c>
      <c r="C168" s="21">
        <v>1</v>
      </c>
      <c r="D168" s="21">
        <v>8</v>
      </c>
      <c r="E168" s="21">
        <v>1</v>
      </c>
      <c r="F168" s="21">
        <v>2</v>
      </c>
      <c r="G168" s="21">
        <v>2</v>
      </c>
      <c r="H168" s="21">
        <v>1</v>
      </c>
      <c r="I168" s="21">
        <v>2</v>
      </c>
      <c r="J168">
        <v>2</v>
      </c>
      <c r="K168" s="21">
        <v>2</v>
      </c>
      <c r="L168" s="21">
        <v>2</v>
      </c>
      <c r="M168" s="21">
        <v>2</v>
      </c>
      <c r="N168" s="21">
        <v>1</v>
      </c>
      <c r="O168">
        <v>13.2</v>
      </c>
      <c r="R168">
        <v>7.61</v>
      </c>
      <c r="S168">
        <v>5.9</v>
      </c>
      <c r="T168">
        <v>182</v>
      </c>
      <c r="U168">
        <v>126.6</v>
      </c>
      <c r="V168">
        <v>41</v>
      </c>
      <c r="W168">
        <v>72</v>
      </c>
      <c r="X168">
        <v>14.4</v>
      </c>
      <c r="Y168">
        <v>735</v>
      </c>
      <c r="AA168">
        <v>10</v>
      </c>
      <c r="AB168">
        <v>5</v>
      </c>
      <c r="AC168">
        <v>1</v>
      </c>
      <c r="AD168">
        <v>3</v>
      </c>
      <c r="AE168">
        <v>5</v>
      </c>
      <c r="AF168" s="21">
        <v>1</v>
      </c>
      <c r="AG168">
        <v>1</v>
      </c>
      <c r="AH168">
        <v>1</v>
      </c>
      <c r="AI168">
        <v>1</v>
      </c>
      <c r="AJ168">
        <v>1</v>
      </c>
      <c r="AN168">
        <v>100</v>
      </c>
      <c r="AO168">
        <v>1</v>
      </c>
      <c r="AP168">
        <v>2</v>
      </c>
      <c r="AQ168">
        <v>2</v>
      </c>
      <c r="AR168">
        <v>2</v>
      </c>
      <c r="AS168">
        <v>1</v>
      </c>
      <c r="AT168">
        <v>1</v>
      </c>
      <c r="AU168">
        <v>1</v>
      </c>
      <c r="AV168">
        <v>0</v>
      </c>
      <c r="AW168">
        <v>0</v>
      </c>
      <c r="AX168">
        <v>0</v>
      </c>
      <c r="AY168">
        <v>0</v>
      </c>
      <c r="AZ168">
        <v>0</v>
      </c>
      <c r="BA168">
        <v>0</v>
      </c>
      <c r="BB168">
        <v>0</v>
      </c>
      <c r="BC168" s="21">
        <v>10</v>
      </c>
      <c r="BD168">
        <v>1</v>
      </c>
      <c r="BE168">
        <v>1</v>
      </c>
      <c r="BF168">
        <v>0</v>
      </c>
      <c r="BG168" s="21">
        <v>0</v>
      </c>
    </row>
    <row r="169" spans="1:59" ht="15" customHeight="1" x14ac:dyDescent="0.25">
      <c r="A169" t="s">
        <v>50</v>
      </c>
      <c r="B169" s="21">
        <v>47</v>
      </c>
      <c r="C169" s="21">
        <v>2</v>
      </c>
      <c r="D169" s="21">
        <v>5</v>
      </c>
      <c r="E169" s="21">
        <v>1</v>
      </c>
      <c r="F169" s="21">
        <v>2</v>
      </c>
      <c r="G169" s="21">
        <v>2</v>
      </c>
      <c r="H169" s="21">
        <v>2</v>
      </c>
      <c r="I169" s="21">
        <v>2</v>
      </c>
      <c r="J169">
        <v>2</v>
      </c>
      <c r="K169" s="21">
        <v>2</v>
      </c>
      <c r="L169" s="21">
        <v>2</v>
      </c>
      <c r="M169" s="21">
        <v>2</v>
      </c>
      <c r="N169" s="21">
        <v>2</v>
      </c>
      <c r="O169">
        <v>14.6</v>
      </c>
      <c r="P169">
        <v>46.2</v>
      </c>
      <c r="Q169">
        <v>83.9</v>
      </c>
      <c r="R169">
        <v>15.88</v>
      </c>
      <c r="S169">
        <v>6</v>
      </c>
      <c r="T169">
        <v>246</v>
      </c>
      <c r="U169">
        <v>141.4</v>
      </c>
      <c r="V169">
        <v>48</v>
      </c>
      <c r="W169">
        <v>283</v>
      </c>
      <c r="X169">
        <v>56.6</v>
      </c>
      <c r="Y169">
        <v>179</v>
      </c>
      <c r="AA169">
        <v>10</v>
      </c>
      <c r="AB169">
        <v>5</v>
      </c>
      <c r="AC169">
        <v>1</v>
      </c>
      <c r="AD169">
        <v>3</v>
      </c>
      <c r="AE169">
        <v>5</v>
      </c>
      <c r="AF169" s="21">
        <v>1</v>
      </c>
      <c r="AG169">
        <v>1</v>
      </c>
      <c r="AH169">
        <v>1</v>
      </c>
      <c r="AI169">
        <v>2</v>
      </c>
      <c r="AN169">
        <v>95</v>
      </c>
      <c r="AO169">
        <v>0</v>
      </c>
      <c r="AP169">
        <v>0</v>
      </c>
      <c r="AQ169">
        <v>0</v>
      </c>
      <c r="AR169">
        <v>0</v>
      </c>
      <c r="AS169">
        <v>0</v>
      </c>
      <c r="AT169">
        <v>0</v>
      </c>
      <c r="AU169">
        <v>0</v>
      </c>
      <c r="AV169">
        <v>1</v>
      </c>
      <c r="AW169">
        <v>2</v>
      </c>
      <c r="AX169">
        <v>2</v>
      </c>
      <c r="AY169">
        <v>2</v>
      </c>
      <c r="AZ169">
        <v>1</v>
      </c>
      <c r="BA169">
        <v>1</v>
      </c>
      <c r="BB169">
        <v>1</v>
      </c>
      <c r="BC169" s="21">
        <v>10</v>
      </c>
      <c r="BD169">
        <v>1</v>
      </c>
      <c r="BE169">
        <v>1</v>
      </c>
      <c r="BF169">
        <v>0</v>
      </c>
      <c r="BG169" s="21">
        <v>2</v>
      </c>
    </row>
    <row r="170" spans="1:59" ht="15" customHeight="1" x14ac:dyDescent="0.25">
      <c r="A170" s="8" t="s">
        <v>449</v>
      </c>
      <c r="B170" s="21">
        <v>48</v>
      </c>
      <c r="C170" s="21">
        <v>2</v>
      </c>
      <c r="D170" s="21">
        <v>7</v>
      </c>
      <c r="E170" s="21">
        <v>2</v>
      </c>
      <c r="F170" s="21">
        <v>2</v>
      </c>
      <c r="G170" s="21">
        <v>2</v>
      </c>
      <c r="H170" s="21">
        <v>1</v>
      </c>
      <c r="I170" s="21">
        <v>2</v>
      </c>
      <c r="J170" s="8">
        <v>2</v>
      </c>
      <c r="K170" s="21">
        <v>2</v>
      </c>
      <c r="L170" s="21">
        <v>2</v>
      </c>
      <c r="M170" s="21">
        <v>2</v>
      </c>
      <c r="N170" s="21">
        <v>2</v>
      </c>
      <c r="O170" s="8">
        <v>11.3</v>
      </c>
      <c r="P170" s="8">
        <v>33.200000000000003</v>
      </c>
      <c r="Q170" s="8">
        <v>87.9</v>
      </c>
      <c r="R170" s="8"/>
      <c r="S170" s="8"/>
      <c r="T170" s="8"/>
      <c r="U170" s="8"/>
      <c r="V170" s="8"/>
      <c r="W170" s="8"/>
      <c r="X170" s="8"/>
      <c r="Y170" s="8"/>
      <c r="Z170" s="8"/>
      <c r="AA170" s="8">
        <v>9</v>
      </c>
      <c r="AB170" s="8">
        <v>5</v>
      </c>
      <c r="AC170" s="8">
        <v>1</v>
      </c>
      <c r="AD170" s="8">
        <v>3</v>
      </c>
      <c r="AE170" s="8">
        <v>5</v>
      </c>
      <c r="AF170" s="21">
        <v>1</v>
      </c>
      <c r="AG170" s="8">
        <v>1</v>
      </c>
      <c r="AH170" s="8">
        <v>1</v>
      </c>
      <c r="AI170" s="8">
        <v>2</v>
      </c>
      <c r="AJ170" s="8"/>
      <c r="AK170" s="8"/>
      <c r="AL170" s="8">
        <v>2</v>
      </c>
      <c r="AM170" s="8">
        <v>2</v>
      </c>
      <c r="AN170" s="8">
        <v>100</v>
      </c>
      <c r="AO170" s="8"/>
      <c r="AP170" s="8"/>
      <c r="AQ170" s="8"/>
      <c r="AR170" s="8"/>
      <c r="AS170" s="8"/>
      <c r="AT170" s="8"/>
      <c r="AU170" s="8"/>
      <c r="AV170" s="8">
        <v>1</v>
      </c>
      <c r="AW170" s="8">
        <v>1</v>
      </c>
      <c r="AX170" s="8">
        <v>2</v>
      </c>
      <c r="AY170" s="8">
        <v>2</v>
      </c>
      <c r="AZ170" s="8">
        <v>1</v>
      </c>
      <c r="BA170" s="8">
        <v>1</v>
      </c>
      <c r="BB170" s="8">
        <v>1</v>
      </c>
      <c r="BC170" s="21">
        <v>9</v>
      </c>
      <c r="BD170" s="8">
        <v>1</v>
      </c>
      <c r="BE170" s="8">
        <v>1</v>
      </c>
      <c r="BF170" s="8">
        <v>1</v>
      </c>
      <c r="BG170" s="21">
        <v>0</v>
      </c>
    </row>
    <row r="171" spans="1:59" ht="15" customHeight="1" x14ac:dyDescent="0.25">
      <c r="A171" t="s">
        <v>522</v>
      </c>
      <c r="B171" s="21">
        <v>48</v>
      </c>
      <c r="C171" s="21">
        <v>1</v>
      </c>
      <c r="D171" s="21">
        <v>6</v>
      </c>
      <c r="E171" s="21">
        <v>1</v>
      </c>
      <c r="F171" s="21">
        <v>2</v>
      </c>
      <c r="G171" s="21">
        <v>2</v>
      </c>
      <c r="H171" s="21">
        <v>2</v>
      </c>
      <c r="I171" s="21">
        <v>2</v>
      </c>
      <c r="J171">
        <v>2</v>
      </c>
      <c r="K171" s="21">
        <v>2</v>
      </c>
      <c r="L171" s="21">
        <v>2</v>
      </c>
      <c r="M171" s="21">
        <v>2</v>
      </c>
      <c r="N171" s="21">
        <v>2</v>
      </c>
      <c r="O171">
        <v>13</v>
      </c>
      <c r="R171">
        <v>17.5</v>
      </c>
      <c r="T171">
        <v>198</v>
      </c>
      <c r="U171">
        <v>142</v>
      </c>
      <c r="V171">
        <v>34</v>
      </c>
      <c r="W171">
        <v>107</v>
      </c>
      <c r="X171">
        <v>21.4</v>
      </c>
      <c r="Y171">
        <v>320</v>
      </c>
      <c r="Z171">
        <v>158</v>
      </c>
      <c r="AA171">
        <v>10</v>
      </c>
      <c r="AB171">
        <v>5</v>
      </c>
      <c r="AC171">
        <v>1</v>
      </c>
      <c r="AD171">
        <v>3</v>
      </c>
      <c r="AE171">
        <v>5</v>
      </c>
      <c r="AF171" s="21">
        <v>1</v>
      </c>
      <c r="AG171">
        <v>1</v>
      </c>
      <c r="AH171">
        <v>1</v>
      </c>
      <c r="AI171">
        <v>2</v>
      </c>
      <c r="AK171">
        <v>4</v>
      </c>
      <c r="AL171">
        <v>2</v>
      </c>
      <c r="AM171">
        <v>2</v>
      </c>
      <c r="AN171">
        <v>100</v>
      </c>
      <c r="AO171">
        <v>1</v>
      </c>
      <c r="AP171">
        <v>2</v>
      </c>
      <c r="AQ171">
        <v>2</v>
      </c>
      <c r="AR171">
        <v>2</v>
      </c>
      <c r="AS171">
        <v>1</v>
      </c>
      <c r="AT171">
        <v>1</v>
      </c>
      <c r="AU171">
        <v>1</v>
      </c>
      <c r="AV171">
        <v>0</v>
      </c>
      <c r="AW171">
        <v>0</v>
      </c>
      <c r="AX171">
        <v>0</v>
      </c>
      <c r="AY171">
        <v>0</v>
      </c>
      <c r="AZ171">
        <v>0</v>
      </c>
      <c r="BA171">
        <v>0</v>
      </c>
      <c r="BB171">
        <v>0</v>
      </c>
      <c r="BC171" s="21">
        <v>10</v>
      </c>
      <c r="BD171">
        <v>1</v>
      </c>
      <c r="BE171">
        <v>1</v>
      </c>
      <c r="BF171">
        <v>0</v>
      </c>
      <c r="BG171" s="21">
        <v>0</v>
      </c>
    </row>
    <row r="172" spans="1:59" ht="15" customHeight="1" x14ac:dyDescent="0.25">
      <c r="A172" t="s">
        <v>182</v>
      </c>
      <c r="B172" s="21">
        <v>74</v>
      </c>
      <c r="C172" s="21">
        <v>2</v>
      </c>
      <c r="D172" s="21">
        <v>20</v>
      </c>
      <c r="E172" s="21">
        <v>1</v>
      </c>
      <c r="F172" s="21">
        <v>1</v>
      </c>
      <c r="G172" s="21">
        <v>2</v>
      </c>
      <c r="H172" s="21">
        <v>2</v>
      </c>
      <c r="I172" s="21">
        <v>2</v>
      </c>
      <c r="J172">
        <v>2</v>
      </c>
      <c r="K172" s="21">
        <v>2</v>
      </c>
      <c r="L172" s="21">
        <v>2</v>
      </c>
      <c r="M172" s="21">
        <v>2</v>
      </c>
      <c r="N172" s="21">
        <v>1</v>
      </c>
      <c r="O172">
        <v>9.8000000000000007</v>
      </c>
      <c r="P172">
        <v>29.7</v>
      </c>
      <c r="Q172">
        <v>85</v>
      </c>
      <c r="R172">
        <v>10.99</v>
      </c>
      <c r="S172">
        <v>6.6</v>
      </c>
      <c r="T172">
        <v>153</v>
      </c>
      <c r="U172">
        <v>93</v>
      </c>
      <c r="V172">
        <v>42</v>
      </c>
      <c r="W172">
        <v>89</v>
      </c>
      <c r="X172">
        <v>17.8</v>
      </c>
      <c r="Y172">
        <v>2000</v>
      </c>
      <c r="AA172">
        <v>9</v>
      </c>
      <c r="AB172">
        <v>5</v>
      </c>
      <c r="AC172">
        <v>1</v>
      </c>
      <c r="AD172">
        <v>3</v>
      </c>
      <c r="AE172">
        <v>5</v>
      </c>
      <c r="AF172" s="21">
        <v>1</v>
      </c>
      <c r="AG172">
        <v>1</v>
      </c>
      <c r="AH172">
        <v>2</v>
      </c>
      <c r="AI172">
        <v>2</v>
      </c>
      <c r="AN172">
        <v>0</v>
      </c>
      <c r="AO172">
        <v>0</v>
      </c>
      <c r="AP172">
        <v>0</v>
      </c>
      <c r="AQ172">
        <v>0</v>
      </c>
      <c r="AR172">
        <v>0</v>
      </c>
      <c r="AS172">
        <v>0</v>
      </c>
      <c r="AT172">
        <v>0</v>
      </c>
      <c r="AU172">
        <v>0</v>
      </c>
      <c r="AV172">
        <v>1</v>
      </c>
      <c r="AW172">
        <v>2</v>
      </c>
      <c r="AX172">
        <v>2</v>
      </c>
      <c r="AY172">
        <v>2</v>
      </c>
      <c r="AZ172">
        <v>0</v>
      </c>
      <c r="BA172">
        <v>1</v>
      </c>
      <c r="BB172">
        <v>1</v>
      </c>
      <c r="BC172" s="21">
        <v>9</v>
      </c>
      <c r="BD172">
        <v>1</v>
      </c>
      <c r="BE172">
        <v>1</v>
      </c>
      <c r="BF172">
        <v>0</v>
      </c>
      <c r="BG172" s="21">
        <v>6</v>
      </c>
    </row>
    <row r="173" spans="1:59" ht="15" customHeight="1" x14ac:dyDescent="0.25">
      <c r="A173" t="s">
        <v>555</v>
      </c>
      <c r="B173" s="21">
        <v>37</v>
      </c>
      <c r="C173" s="21">
        <v>1</v>
      </c>
      <c r="D173" s="21">
        <v>4</v>
      </c>
      <c r="E173" s="21">
        <v>2</v>
      </c>
      <c r="F173" s="21">
        <v>2</v>
      </c>
      <c r="G173" s="21">
        <v>2</v>
      </c>
      <c r="H173" s="21">
        <v>2</v>
      </c>
      <c r="I173" s="21">
        <v>2</v>
      </c>
      <c r="J173">
        <v>2</v>
      </c>
      <c r="K173" s="21">
        <v>1</v>
      </c>
      <c r="L173" s="21">
        <v>2</v>
      </c>
      <c r="M173" s="21">
        <v>2</v>
      </c>
      <c r="N173" s="21">
        <v>2</v>
      </c>
      <c r="O173">
        <v>14.6</v>
      </c>
      <c r="R173">
        <v>76.2</v>
      </c>
      <c r="S173">
        <v>5.6</v>
      </c>
      <c r="T173">
        <v>108</v>
      </c>
      <c r="U173">
        <v>85.2</v>
      </c>
      <c r="V173">
        <v>36</v>
      </c>
      <c r="W173">
        <v>84</v>
      </c>
      <c r="X173">
        <v>16.8</v>
      </c>
      <c r="Y173">
        <v>2000</v>
      </c>
      <c r="AA173">
        <v>9</v>
      </c>
      <c r="AB173">
        <v>5</v>
      </c>
      <c r="AC173">
        <v>1</v>
      </c>
      <c r="AD173">
        <v>3</v>
      </c>
      <c r="AE173">
        <v>5</v>
      </c>
      <c r="AF173" s="21">
        <v>1</v>
      </c>
      <c r="AG173">
        <v>1</v>
      </c>
      <c r="AH173">
        <v>1</v>
      </c>
      <c r="AI173">
        <v>2</v>
      </c>
      <c r="AK173">
        <v>2</v>
      </c>
      <c r="AL173">
        <v>2</v>
      </c>
      <c r="AM173">
        <v>2</v>
      </c>
      <c r="AN173">
        <v>100</v>
      </c>
      <c r="AO173">
        <v>1</v>
      </c>
      <c r="AP173">
        <v>2</v>
      </c>
      <c r="AQ173">
        <v>2</v>
      </c>
      <c r="AR173">
        <v>2</v>
      </c>
      <c r="AS173">
        <v>1</v>
      </c>
      <c r="AT173">
        <v>1</v>
      </c>
      <c r="AU173">
        <v>1</v>
      </c>
      <c r="AV173">
        <v>0</v>
      </c>
      <c r="AW173">
        <v>0</v>
      </c>
      <c r="AX173">
        <v>0</v>
      </c>
      <c r="AY173">
        <v>0</v>
      </c>
      <c r="AZ173">
        <v>0</v>
      </c>
      <c r="BA173">
        <v>0</v>
      </c>
      <c r="BB173">
        <v>0</v>
      </c>
      <c r="BC173" s="21">
        <v>10</v>
      </c>
      <c r="BD173">
        <v>1</v>
      </c>
      <c r="BE173">
        <v>1</v>
      </c>
      <c r="BF173">
        <v>0</v>
      </c>
      <c r="BG173" s="21">
        <v>0</v>
      </c>
    </row>
    <row r="174" spans="1:59" ht="15" customHeight="1" x14ac:dyDescent="0.25">
      <c r="A174" t="s">
        <v>394</v>
      </c>
      <c r="B174" s="21">
        <v>26</v>
      </c>
      <c r="C174" s="21">
        <v>2</v>
      </c>
      <c r="D174" s="21">
        <v>11</v>
      </c>
      <c r="E174" s="21">
        <v>2</v>
      </c>
      <c r="F174" s="21">
        <v>2</v>
      </c>
      <c r="G174" s="21">
        <v>2</v>
      </c>
      <c r="H174" s="21">
        <v>2</v>
      </c>
      <c r="I174" s="21">
        <v>2</v>
      </c>
      <c r="J174">
        <v>2</v>
      </c>
      <c r="K174" s="21">
        <v>2</v>
      </c>
      <c r="L174" s="21">
        <v>2</v>
      </c>
      <c r="M174" s="21">
        <v>2</v>
      </c>
      <c r="N174" s="21">
        <v>2</v>
      </c>
      <c r="O174">
        <v>8.8000000000000007</v>
      </c>
      <c r="P174">
        <v>29.3</v>
      </c>
      <c r="Q174">
        <v>67.8</v>
      </c>
      <c r="R174">
        <v>5.0599999999999996</v>
      </c>
      <c r="S174">
        <v>5.2</v>
      </c>
      <c r="T174">
        <v>174</v>
      </c>
      <c r="U174">
        <v>124.2</v>
      </c>
      <c r="V174">
        <v>28</v>
      </c>
      <c r="W174">
        <v>109</v>
      </c>
      <c r="X174">
        <v>21.8</v>
      </c>
      <c r="Y174">
        <v>731</v>
      </c>
      <c r="AA174">
        <v>10</v>
      </c>
      <c r="AB174">
        <v>5</v>
      </c>
      <c r="AC174">
        <v>1</v>
      </c>
      <c r="AD174">
        <v>3</v>
      </c>
      <c r="AE174">
        <v>5</v>
      </c>
      <c r="AF174" s="21">
        <v>1</v>
      </c>
      <c r="AG174">
        <v>1</v>
      </c>
      <c r="AH174">
        <v>1</v>
      </c>
      <c r="AI174">
        <v>1</v>
      </c>
      <c r="AK174">
        <v>4</v>
      </c>
      <c r="AM174">
        <v>2</v>
      </c>
      <c r="AN174">
        <v>100</v>
      </c>
      <c r="AO174">
        <v>0</v>
      </c>
      <c r="AP174">
        <v>0</v>
      </c>
      <c r="AQ174">
        <v>0</v>
      </c>
      <c r="AR174">
        <v>0</v>
      </c>
      <c r="AS174">
        <v>0</v>
      </c>
      <c r="AT174">
        <v>0</v>
      </c>
      <c r="AU174">
        <v>0</v>
      </c>
      <c r="AV174">
        <v>1</v>
      </c>
      <c r="AW174">
        <v>2</v>
      </c>
      <c r="AX174">
        <v>0</v>
      </c>
      <c r="AY174">
        <v>0</v>
      </c>
      <c r="AZ174">
        <v>0</v>
      </c>
      <c r="BA174">
        <v>0</v>
      </c>
      <c r="BB174">
        <v>1</v>
      </c>
      <c r="BC174" s="21">
        <v>4</v>
      </c>
      <c r="BD174">
        <v>0</v>
      </c>
      <c r="BE174">
        <v>1</v>
      </c>
      <c r="BF174" t="s">
        <v>1079</v>
      </c>
      <c r="BG174" s="21">
        <v>0</v>
      </c>
    </row>
    <row r="175" spans="1:59" ht="15" customHeight="1" x14ac:dyDescent="0.25">
      <c r="A175" t="s">
        <v>384</v>
      </c>
      <c r="B175" s="21">
        <v>59</v>
      </c>
      <c r="C175" s="21">
        <v>1</v>
      </c>
      <c r="D175" s="21">
        <v>1</v>
      </c>
      <c r="E175" s="21">
        <v>1</v>
      </c>
      <c r="F175" s="21">
        <v>1</v>
      </c>
      <c r="G175" s="21">
        <v>1</v>
      </c>
      <c r="H175" s="21">
        <v>2</v>
      </c>
      <c r="I175" s="21">
        <v>1</v>
      </c>
      <c r="J175">
        <v>2</v>
      </c>
      <c r="K175" s="21">
        <v>2</v>
      </c>
      <c r="L175" s="21">
        <v>2</v>
      </c>
      <c r="M175" s="21">
        <v>2</v>
      </c>
      <c r="N175" s="21">
        <v>2</v>
      </c>
      <c r="O175">
        <v>13.8</v>
      </c>
      <c r="P175">
        <v>42.3</v>
      </c>
      <c r="Q175">
        <v>85.6</v>
      </c>
      <c r="R175">
        <v>17.78</v>
      </c>
      <c r="S175">
        <v>12.4</v>
      </c>
      <c r="T175">
        <v>195</v>
      </c>
      <c r="U175">
        <v>55</v>
      </c>
      <c r="V175">
        <v>40</v>
      </c>
      <c r="W175">
        <v>500</v>
      </c>
      <c r="X175">
        <v>100</v>
      </c>
      <c r="Y175">
        <v>239</v>
      </c>
      <c r="AA175">
        <v>10</v>
      </c>
      <c r="AB175">
        <v>5</v>
      </c>
      <c r="AC175">
        <v>1</v>
      </c>
      <c r="AD175">
        <v>3</v>
      </c>
      <c r="AE175">
        <v>5</v>
      </c>
      <c r="AF175" s="21">
        <v>1</v>
      </c>
      <c r="AG175">
        <v>1</v>
      </c>
      <c r="AH175">
        <v>1</v>
      </c>
      <c r="AI175">
        <v>2</v>
      </c>
      <c r="AK175">
        <v>4</v>
      </c>
      <c r="AL175">
        <v>2</v>
      </c>
      <c r="AM175">
        <v>2</v>
      </c>
      <c r="AN175">
        <v>100</v>
      </c>
      <c r="AO175">
        <v>0</v>
      </c>
      <c r="AP175">
        <v>0</v>
      </c>
      <c r="AQ175">
        <v>0</v>
      </c>
      <c r="AR175">
        <v>0</v>
      </c>
      <c r="AS175">
        <v>0</v>
      </c>
      <c r="AT175">
        <v>0</v>
      </c>
      <c r="AU175">
        <v>0</v>
      </c>
      <c r="AV175">
        <v>1</v>
      </c>
      <c r="AW175">
        <v>2</v>
      </c>
      <c r="AX175">
        <v>2</v>
      </c>
      <c r="AY175">
        <v>2</v>
      </c>
      <c r="AZ175">
        <v>1</v>
      </c>
      <c r="BA175">
        <v>1</v>
      </c>
      <c r="BB175">
        <v>1</v>
      </c>
      <c r="BC175" s="21">
        <v>10</v>
      </c>
      <c r="BD175">
        <v>0</v>
      </c>
      <c r="BE175">
        <v>1</v>
      </c>
      <c r="BF175" t="s">
        <v>1040</v>
      </c>
      <c r="BG175" s="21">
        <v>0</v>
      </c>
    </row>
    <row r="176" spans="1:59" ht="15" customHeight="1" x14ac:dyDescent="0.25">
      <c r="A176" t="s">
        <v>275</v>
      </c>
      <c r="B176" s="21">
        <v>70</v>
      </c>
      <c r="C176" s="21">
        <v>1</v>
      </c>
      <c r="D176" s="21">
        <v>4</v>
      </c>
      <c r="E176" s="21">
        <v>1</v>
      </c>
      <c r="F176" s="21">
        <v>1</v>
      </c>
      <c r="G176" s="21">
        <v>2</v>
      </c>
      <c r="H176" s="21">
        <v>2</v>
      </c>
      <c r="I176" s="21">
        <v>2</v>
      </c>
      <c r="J176">
        <v>2</v>
      </c>
      <c r="K176" s="21">
        <v>2</v>
      </c>
      <c r="L176" s="21">
        <v>2</v>
      </c>
      <c r="M176" s="21">
        <v>2</v>
      </c>
      <c r="N176" s="21">
        <v>2</v>
      </c>
      <c r="O176">
        <v>13.5</v>
      </c>
      <c r="P176">
        <v>40.6</v>
      </c>
      <c r="R176">
        <v>18.600000000000001</v>
      </c>
      <c r="S176">
        <v>6.3</v>
      </c>
      <c r="Y176">
        <v>162</v>
      </c>
      <c r="AA176">
        <v>10</v>
      </c>
      <c r="AB176">
        <v>5</v>
      </c>
      <c r="AC176">
        <v>1</v>
      </c>
      <c r="AD176">
        <v>3</v>
      </c>
      <c r="AE176">
        <v>5</v>
      </c>
      <c r="AF176" s="21">
        <v>1</v>
      </c>
      <c r="AG176">
        <v>2</v>
      </c>
      <c r="AH176">
        <v>2</v>
      </c>
      <c r="AI176">
        <v>1</v>
      </c>
      <c r="AJ176">
        <v>1</v>
      </c>
      <c r="AL176">
        <v>2</v>
      </c>
      <c r="AM176">
        <v>2</v>
      </c>
      <c r="AN176">
        <v>0</v>
      </c>
      <c r="AO176">
        <v>0</v>
      </c>
      <c r="AP176">
        <v>0</v>
      </c>
      <c r="AQ176">
        <v>0</v>
      </c>
      <c r="AR176">
        <v>0</v>
      </c>
      <c r="AS176">
        <v>0</v>
      </c>
      <c r="AT176">
        <v>0</v>
      </c>
      <c r="AU176">
        <v>0</v>
      </c>
      <c r="AV176">
        <v>0</v>
      </c>
      <c r="AW176">
        <v>1</v>
      </c>
      <c r="AX176">
        <v>2</v>
      </c>
      <c r="AY176">
        <v>2</v>
      </c>
      <c r="AZ176">
        <v>1</v>
      </c>
      <c r="BA176">
        <v>1</v>
      </c>
      <c r="BB176">
        <v>1</v>
      </c>
      <c r="BC176" s="21">
        <v>8</v>
      </c>
      <c r="BD176">
        <v>0</v>
      </c>
      <c r="BE176">
        <v>0</v>
      </c>
      <c r="BF176" t="s">
        <v>1046</v>
      </c>
      <c r="BG176" s="21">
        <v>6</v>
      </c>
    </row>
    <row r="177" spans="1:59" ht="15" customHeight="1" x14ac:dyDescent="0.25">
      <c r="A177" t="s">
        <v>524</v>
      </c>
      <c r="B177" s="21">
        <v>63</v>
      </c>
      <c r="C177" s="21">
        <v>1</v>
      </c>
      <c r="D177" s="21">
        <v>1</v>
      </c>
      <c r="E177" s="21">
        <v>1</v>
      </c>
      <c r="F177" s="21">
        <v>2</v>
      </c>
      <c r="G177" s="21">
        <v>2</v>
      </c>
      <c r="H177" s="21">
        <v>2</v>
      </c>
      <c r="I177" s="21">
        <v>2</v>
      </c>
      <c r="J177">
        <v>2</v>
      </c>
      <c r="K177" s="21">
        <v>2</v>
      </c>
      <c r="L177" s="21">
        <v>2</v>
      </c>
      <c r="M177" s="21">
        <v>2</v>
      </c>
      <c r="N177" s="21">
        <v>2</v>
      </c>
      <c r="O177">
        <v>13.8</v>
      </c>
      <c r="P177">
        <v>43.2</v>
      </c>
      <c r="Q177">
        <v>83.9</v>
      </c>
      <c r="R177">
        <v>23.18</v>
      </c>
      <c r="T177">
        <v>191</v>
      </c>
      <c r="U177">
        <v>123.4</v>
      </c>
      <c r="V177">
        <v>37</v>
      </c>
      <c r="W177">
        <v>153</v>
      </c>
      <c r="X177">
        <v>30.6</v>
      </c>
      <c r="Y177">
        <v>170</v>
      </c>
      <c r="AA177">
        <v>9</v>
      </c>
      <c r="AB177">
        <v>5</v>
      </c>
      <c r="AC177">
        <v>1</v>
      </c>
      <c r="AD177">
        <v>3</v>
      </c>
      <c r="AE177">
        <v>5</v>
      </c>
      <c r="AF177" s="21">
        <v>1</v>
      </c>
      <c r="AG177">
        <v>1</v>
      </c>
      <c r="AH177">
        <v>1</v>
      </c>
      <c r="AI177">
        <v>2</v>
      </c>
      <c r="AK177">
        <v>4</v>
      </c>
      <c r="AL177">
        <v>2</v>
      </c>
      <c r="AM177">
        <v>2</v>
      </c>
      <c r="AN177">
        <v>100</v>
      </c>
      <c r="AO177">
        <v>0</v>
      </c>
      <c r="AP177">
        <v>0</v>
      </c>
      <c r="AQ177">
        <v>0</v>
      </c>
      <c r="AR177">
        <v>0</v>
      </c>
      <c r="AS177">
        <v>0</v>
      </c>
      <c r="AT177">
        <v>0</v>
      </c>
      <c r="AU177">
        <v>0</v>
      </c>
      <c r="AV177">
        <v>0</v>
      </c>
      <c r="AW177">
        <v>2</v>
      </c>
      <c r="AX177">
        <v>2</v>
      </c>
      <c r="AY177">
        <v>2</v>
      </c>
      <c r="AZ177">
        <v>1</v>
      </c>
      <c r="BA177">
        <v>1</v>
      </c>
      <c r="BB177">
        <v>1</v>
      </c>
      <c r="BC177" s="21">
        <v>9</v>
      </c>
      <c r="BD177">
        <v>1</v>
      </c>
      <c r="BE177">
        <v>1</v>
      </c>
      <c r="BF177">
        <v>0</v>
      </c>
      <c r="BG177" s="21">
        <v>0</v>
      </c>
    </row>
    <row r="178" spans="1:59" ht="15" customHeight="1" x14ac:dyDescent="0.25">
      <c r="A178" t="s">
        <v>360</v>
      </c>
      <c r="B178" s="21">
        <v>65</v>
      </c>
      <c r="C178" s="21">
        <v>1</v>
      </c>
      <c r="D178" s="21">
        <v>9</v>
      </c>
      <c r="E178" s="21">
        <v>1</v>
      </c>
      <c r="F178" s="21">
        <v>1</v>
      </c>
      <c r="G178" s="21">
        <v>2</v>
      </c>
      <c r="H178" s="21">
        <v>2</v>
      </c>
      <c r="I178" s="21">
        <v>2</v>
      </c>
      <c r="J178">
        <v>2</v>
      </c>
      <c r="K178" s="21">
        <v>2</v>
      </c>
      <c r="L178" s="21">
        <v>1</v>
      </c>
      <c r="M178" s="21">
        <v>2</v>
      </c>
      <c r="N178" s="21">
        <v>2</v>
      </c>
      <c r="O178">
        <v>9.6</v>
      </c>
      <c r="P178">
        <v>30.3</v>
      </c>
      <c r="Q178">
        <v>70.7</v>
      </c>
      <c r="R178">
        <v>9.69</v>
      </c>
      <c r="S178">
        <v>8.6</v>
      </c>
      <c r="T178">
        <v>101</v>
      </c>
      <c r="U178">
        <v>44.8</v>
      </c>
      <c r="V178">
        <v>31</v>
      </c>
      <c r="W178">
        <v>126</v>
      </c>
      <c r="X178">
        <v>25.2</v>
      </c>
      <c r="Y178">
        <v>363</v>
      </c>
      <c r="AA178">
        <v>10</v>
      </c>
      <c r="AB178">
        <v>5</v>
      </c>
      <c r="AC178">
        <v>1</v>
      </c>
      <c r="AD178">
        <v>3</v>
      </c>
      <c r="AE178">
        <v>5</v>
      </c>
      <c r="AF178" s="21">
        <v>1</v>
      </c>
      <c r="AG178">
        <v>1</v>
      </c>
      <c r="AH178">
        <v>1</v>
      </c>
      <c r="AL178">
        <v>2</v>
      </c>
      <c r="AM178">
        <v>2</v>
      </c>
      <c r="AN178">
        <v>100</v>
      </c>
      <c r="AO178">
        <v>1</v>
      </c>
      <c r="AP178">
        <v>2</v>
      </c>
      <c r="AQ178">
        <v>2</v>
      </c>
      <c r="AR178">
        <v>1</v>
      </c>
      <c r="AS178">
        <v>1</v>
      </c>
      <c r="AT178">
        <v>1</v>
      </c>
      <c r="AU178">
        <v>1</v>
      </c>
      <c r="AV178">
        <v>0</v>
      </c>
      <c r="AW178">
        <v>0</v>
      </c>
      <c r="AX178">
        <v>0</v>
      </c>
      <c r="AY178">
        <v>0</v>
      </c>
      <c r="AZ178">
        <v>0</v>
      </c>
      <c r="BA178">
        <v>0</v>
      </c>
      <c r="BB178">
        <v>0</v>
      </c>
      <c r="BC178" s="21">
        <v>9</v>
      </c>
      <c r="BD178">
        <v>1</v>
      </c>
      <c r="BE178">
        <v>1</v>
      </c>
      <c r="BF178" t="s">
        <v>974</v>
      </c>
      <c r="BG178" s="21">
        <v>0</v>
      </c>
    </row>
    <row r="179" spans="1:59" ht="15" customHeight="1" x14ac:dyDescent="0.25">
      <c r="A179" t="s">
        <v>332</v>
      </c>
      <c r="B179" s="21">
        <v>63</v>
      </c>
      <c r="C179" s="21">
        <v>1</v>
      </c>
      <c r="E179" s="21">
        <v>1</v>
      </c>
      <c r="F179" s="21">
        <v>1</v>
      </c>
      <c r="G179" s="21">
        <v>2</v>
      </c>
      <c r="H179" s="21">
        <v>2</v>
      </c>
      <c r="I179" s="21">
        <v>2</v>
      </c>
      <c r="J179">
        <v>2</v>
      </c>
      <c r="K179" s="21">
        <v>2</v>
      </c>
      <c r="L179" s="21">
        <v>2</v>
      </c>
      <c r="M179" s="21">
        <v>2</v>
      </c>
      <c r="N179" s="21">
        <v>2</v>
      </c>
      <c r="O179">
        <v>12.8</v>
      </c>
      <c r="P179">
        <v>38.9</v>
      </c>
      <c r="Q179">
        <v>83</v>
      </c>
      <c r="R179">
        <v>17.63</v>
      </c>
      <c r="S179">
        <v>9.1999999999999993</v>
      </c>
      <c r="T179">
        <v>253</v>
      </c>
      <c r="U179">
        <v>159.80000000000001</v>
      </c>
      <c r="V179">
        <v>41</v>
      </c>
      <c r="W179">
        <v>261</v>
      </c>
      <c r="X179">
        <v>52.2</v>
      </c>
      <c r="Y179">
        <v>403</v>
      </c>
      <c r="AA179">
        <v>8</v>
      </c>
      <c r="AB179">
        <v>5</v>
      </c>
      <c r="AC179">
        <v>1</v>
      </c>
      <c r="AD179">
        <v>3</v>
      </c>
      <c r="AE179">
        <v>5</v>
      </c>
      <c r="AF179" s="21">
        <v>1</v>
      </c>
      <c r="AG179">
        <v>1</v>
      </c>
      <c r="AH179">
        <v>2</v>
      </c>
      <c r="AI179">
        <v>2</v>
      </c>
      <c r="AL179">
        <v>2</v>
      </c>
      <c r="AM179">
        <v>2</v>
      </c>
      <c r="AN179">
        <v>90</v>
      </c>
      <c r="AO179">
        <v>0</v>
      </c>
      <c r="AP179">
        <v>2</v>
      </c>
      <c r="AQ179">
        <v>2</v>
      </c>
      <c r="AR179">
        <v>2</v>
      </c>
      <c r="AS179">
        <v>1</v>
      </c>
      <c r="AT179">
        <v>1</v>
      </c>
      <c r="AU179">
        <v>1</v>
      </c>
      <c r="AV179">
        <v>0</v>
      </c>
      <c r="AW179">
        <v>0</v>
      </c>
      <c r="AX179">
        <v>0</v>
      </c>
      <c r="AY179">
        <v>0</v>
      </c>
      <c r="AZ179">
        <v>0</v>
      </c>
      <c r="BA179">
        <v>0</v>
      </c>
      <c r="BB179">
        <v>0</v>
      </c>
      <c r="BC179" s="21">
        <v>9</v>
      </c>
      <c r="BD179">
        <v>1</v>
      </c>
      <c r="BE179">
        <v>0</v>
      </c>
      <c r="BF179">
        <v>0</v>
      </c>
      <c r="BG179" s="21">
        <v>1</v>
      </c>
    </row>
    <row r="180" spans="1:59" ht="15" customHeight="1" x14ac:dyDescent="0.25">
      <c r="A180" t="s">
        <v>31</v>
      </c>
      <c r="B180" s="21">
        <v>83</v>
      </c>
      <c r="C180" s="21">
        <v>1</v>
      </c>
      <c r="D180" s="21">
        <v>17</v>
      </c>
      <c r="E180" s="21">
        <v>2</v>
      </c>
      <c r="F180" s="21">
        <v>2</v>
      </c>
      <c r="G180" s="21">
        <v>2</v>
      </c>
      <c r="H180" s="21">
        <v>2</v>
      </c>
      <c r="I180" s="21">
        <v>2</v>
      </c>
      <c r="J180">
        <v>2</v>
      </c>
      <c r="K180" s="21">
        <v>2</v>
      </c>
      <c r="L180" s="21">
        <v>2</v>
      </c>
      <c r="M180" s="21">
        <v>2</v>
      </c>
      <c r="N180" s="21">
        <v>1</v>
      </c>
      <c r="O180">
        <v>13.7</v>
      </c>
      <c r="P180">
        <v>40.9</v>
      </c>
      <c r="Q180">
        <v>91.5</v>
      </c>
      <c r="R180">
        <v>22.2</v>
      </c>
      <c r="S180">
        <v>5.8</v>
      </c>
      <c r="T180">
        <v>145</v>
      </c>
      <c r="U180">
        <v>101.4</v>
      </c>
      <c r="V180">
        <v>35</v>
      </c>
      <c r="W180">
        <v>43</v>
      </c>
      <c r="X180">
        <v>8.6</v>
      </c>
      <c r="Y180">
        <v>148</v>
      </c>
      <c r="AA180">
        <v>7</v>
      </c>
      <c r="AB180">
        <v>5</v>
      </c>
      <c r="AC180">
        <v>1</v>
      </c>
      <c r="AD180">
        <v>3</v>
      </c>
      <c r="AE180">
        <v>5</v>
      </c>
      <c r="AF180" s="21">
        <v>1</v>
      </c>
      <c r="AG180">
        <v>1</v>
      </c>
      <c r="AH180">
        <v>1</v>
      </c>
      <c r="AI180">
        <v>2</v>
      </c>
      <c r="AN180">
        <v>5</v>
      </c>
      <c r="AO180">
        <v>0</v>
      </c>
      <c r="AP180">
        <v>0</v>
      </c>
      <c r="AQ180">
        <v>0</v>
      </c>
      <c r="AR180">
        <v>0</v>
      </c>
      <c r="AS180">
        <v>0</v>
      </c>
      <c r="AT180">
        <v>0</v>
      </c>
      <c r="AU180">
        <v>0</v>
      </c>
      <c r="AV180">
        <v>0</v>
      </c>
      <c r="AW180">
        <v>2</v>
      </c>
      <c r="AX180">
        <v>2</v>
      </c>
      <c r="AY180">
        <v>2</v>
      </c>
      <c r="AZ180">
        <v>1</v>
      </c>
      <c r="BA180">
        <v>1</v>
      </c>
      <c r="BB180">
        <v>1</v>
      </c>
      <c r="BC180" s="21">
        <v>9</v>
      </c>
      <c r="BD180">
        <v>1</v>
      </c>
      <c r="BE180">
        <v>1</v>
      </c>
      <c r="BF180" t="s">
        <v>976</v>
      </c>
      <c r="BG180" s="21">
        <v>5</v>
      </c>
    </row>
    <row r="181" spans="1:59" ht="15" customHeight="1" x14ac:dyDescent="0.25">
      <c r="A181" t="s">
        <v>53</v>
      </c>
      <c r="B181" s="21">
        <v>40</v>
      </c>
      <c r="C181" s="21">
        <v>1</v>
      </c>
      <c r="D181" s="21">
        <v>5</v>
      </c>
      <c r="E181" s="21">
        <v>2</v>
      </c>
      <c r="F181" s="21">
        <v>2</v>
      </c>
      <c r="G181" s="21">
        <v>2</v>
      </c>
      <c r="H181" s="21">
        <v>2</v>
      </c>
      <c r="I181" s="21">
        <v>2</v>
      </c>
      <c r="J181">
        <v>2</v>
      </c>
      <c r="K181" s="21">
        <v>2</v>
      </c>
      <c r="L181" s="21">
        <v>2</v>
      </c>
      <c r="M181" s="21">
        <v>2</v>
      </c>
      <c r="N181" s="21">
        <v>2</v>
      </c>
      <c r="O181">
        <v>15.7</v>
      </c>
      <c r="P181">
        <v>46</v>
      </c>
      <c r="Q181">
        <v>96</v>
      </c>
      <c r="R181">
        <v>14.32</v>
      </c>
      <c r="S181">
        <v>5.5</v>
      </c>
      <c r="T181">
        <v>175</v>
      </c>
      <c r="U181">
        <v>120</v>
      </c>
      <c r="V181">
        <v>29</v>
      </c>
      <c r="W181">
        <v>126</v>
      </c>
      <c r="X181">
        <v>25</v>
      </c>
      <c r="Y181">
        <v>148</v>
      </c>
      <c r="AA181">
        <v>10</v>
      </c>
      <c r="AB181">
        <v>5</v>
      </c>
      <c r="AC181">
        <v>1</v>
      </c>
      <c r="AD181">
        <v>3</v>
      </c>
      <c r="AE181">
        <v>5</v>
      </c>
      <c r="AF181" s="21">
        <v>1</v>
      </c>
      <c r="AG181">
        <v>1</v>
      </c>
      <c r="AI181">
        <v>1</v>
      </c>
      <c r="AJ181">
        <v>1</v>
      </c>
      <c r="AO181">
        <v>1</v>
      </c>
      <c r="AP181">
        <v>2</v>
      </c>
      <c r="AQ181">
        <v>2</v>
      </c>
      <c r="AR181">
        <v>0</v>
      </c>
      <c r="AS181">
        <v>0</v>
      </c>
      <c r="AT181">
        <v>0</v>
      </c>
      <c r="AU181">
        <v>1</v>
      </c>
      <c r="AV181">
        <v>0</v>
      </c>
      <c r="AW181">
        <v>0</v>
      </c>
      <c r="AX181">
        <v>0</v>
      </c>
      <c r="AY181">
        <v>0</v>
      </c>
      <c r="AZ181">
        <v>0</v>
      </c>
      <c r="BA181">
        <v>0</v>
      </c>
      <c r="BB181">
        <v>0</v>
      </c>
      <c r="BC181" s="21">
        <v>6</v>
      </c>
      <c r="BD181">
        <v>1</v>
      </c>
      <c r="BE181">
        <v>1</v>
      </c>
      <c r="BF181">
        <v>0</v>
      </c>
      <c r="BG181" s="21">
        <v>0</v>
      </c>
    </row>
    <row r="182" spans="1:59" ht="15" customHeight="1" x14ac:dyDescent="0.25">
      <c r="A182" t="s">
        <v>471</v>
      </c>
      <c r="B182" s="21">
        <v>33</v>
      </c>
      <c r="C182" s="21">
        <v>1</v>
      </c>
      <c r="D182" s="21">
        <v>2</v>
      </c>
      <c r="E182" s="21">
        <v>1</v>
      </c>
      <c r="F182" s="21">
        <v>2</v>
      </c>
      <c r="G182" s="21">
        <v>1</v>
      </c>
      <c r="H182" s="21">
        <v>2</v>
      </c>
      <c r="I182" s="21">
        <v>1</v>
      </c>
      <c r="J182">
        <v>2</v>
      </c>
      <c r="K182" s="21">
        <v>2</v>
      </c>
      <c r="L182" s="21">
        <v>2</v>
      </c>
      <c r="M182" s="21">
        <v>2</v>
      </c>
      <c r="N182" s="21">
        <v>2</v>
      </c>
      <c r="O182">
        <v>12.6</v>
      </c>
      <c r="P182">
        <v>37.299999999999997</v>
      </c>
      <c r="Q182">
        <v>10.72</v>
      </c>
      <c r="R182">
        <v>13</v>
      </c>
      <c r="S182">
        <v>4.8</v>
      </c>
      <c r="T182">
        <v>136</v>
      </c>
      <c r="U182">
        <v>95.6</v>
      </c>
      <c r="V182">
        <v>27</v>
      </c>
      <c r="W182">
        <v>67</v>
      </c>
      <c r="X182">
        <v>13.4</v>
      </c>
      <c r="Y182">
        <v>373</v>
      </c>
      <c r="AA182">
        <v>9</v>
      </c>
      <c r="AB182">
        <v>5</v>
      </c>
      <c r="AC182">
        <v>1</v>
      </c>
      <c r="AD182">
        <v>3</v>
      </c>
      <c r="AE182">
        <v>5</v>
      </c>
      <c r="AF182" s="21">
        <v>1</v>
      </c>
      <c r="AG182">
        <v>1</v>
      </c>
      <c r="AI182">
        <v>1</v>
      </c>
      <c r="AJ182">
        <v>1</v>
      </c>
      <c r="AL182">
        <v>2</v>
      </c>
      <c r="AM182">
        <v>2</v>
      </c>
      <c r="AN182">
        <v>100</v>
      </c>
      <c r="AO182">
        <v>0</v>
      </c>
      <c r="AP182">
        <v>0</v>
      </c>
      <c r="AQ182">
        <v>0</v>
      </c>
      <c r="AR182">
        <v>0</v>
      </c>
      <c r="AS182">
        <v>0</v>
      </c>
      <c r="AT182">
        <v>0</v>
      </c>
      <c r="AU182">
        <v>0</v>
      </c>
      <c r="AV182">
        <v>1</v>
      </c>
      <c r="AW182">
        <v>2</v>
      </c>
      <c r="AX182">
        <v>2</v>
      </c>
      <c r="AY182">
        <v>2</v>
      </c>
      <c r="AZ182">
        <v>1</v>
      </c>
      <c r="BA182">
        <v>0</v>
      </c>
      <c r="BB182">
        <v>1</v>
      </c>
      <c r="BC182" s="21">
        <v>9</v>
      </c>
      <c r="BD182">
        <v>0</v>
      </c>
      <c r="BE182">
        <v>1</v>
      </c>
      <c r="BF182">
        <v>0</v>
      </c>
      <c r="BG182" s="21">
        <v>0</v>
      </c>
    </row>
    <row r="183" spans="1:59" ht="15" customHeight="1" x14ac:dyDescent="0.25">
      <c r="A183" t="s">
        <v>263</v>
      </c>
      <c r="B183" s="21">
        <v>50</v>
      </c>
      <c r="C183" s="21">
        <v>1</v>
      </c>
      <c r="D183" s="21">
        <v>11</v>
      </c>
      <c r="E183" s="21">
        <v>1</v>
      </c>
      <c r="F183" s="21">
        <v>2</v>
      </c>
      <c r="G183" s="21">
        <v>2</v>
      </c>
      <c r="H183" s="21">
        <v>1</v>
      </c>
      <c r="I183" s="21">
        <v>2</v>
      </c>
      <c r="J183">
        <v>2</v>
      </c>
      <c r="K183" s="21">
        <v>2</v>
      </c>
      <c r="L183" s="21">
        <v>2</v>
      </c>
      <c r="M183" s="21">
        <v>2</v>
      </c>
      <c r="N183" s="21">
        <v>2</v>
      </c>
      <c r="O183">
        <v>14.7</v>
      </c>
      <c r="R183">
        <v>15.16</v>
      </c>
      <c r="S183">
        <v>5.2</v>
      </c>
      <c r="T183">
        <v>165</v>
      </c>
      <c r="U183">
        <v>99.6</v>
      </c>
      <c r="V183">
        <v>43</v>
      </c>
      <c r="W183">
        <v>111</v>
      </c>
      <c r="X183">
        <v>22.2</v>
      </c>
      <c r="Y183">
        <v>2000</v>
      </c>
      <c r="AA183">
        <v>6</v>
      </c>
      <c r="AB183">
        <v>5</v>
      </c>
      <c r="AC183">
        <v>1</v>
      </c>
      <c r="AD183">
        <v>3</v>
      </c>
      <c r="AE183">
        <v>5</v>
      </c>
      <c r="AF183" s="21">
        <v>1</v>
      </c>
      <c r="AG183">
        <v>1</v>
      </c>
      <c r="AH183">
        <v>2</v>
      </c>
      <c r="AI183">
        <v>1</v>
      </c>
      <c r="AJ183">
        <v>3</v>
      </c>
      <c r="AK183">
        <v>4</v>
      </c>
      <c r="AL183">
        <v>2</v>
      </c>
      <c r="AM183">
        <v>2</v>
      </c>
      <c r="AN183">
        <v>70</v>
      </c>
      <c r="AO183">
        <v>1</v>
      </c>
      <c r="AP183">
        <v>2</v>
      </c>
      <c r="AQ183">
        <v>2</v>
      </c>
      <c r="AR183">
        <v>1</v>
      </c>
      <c r="AS183">
        <v>1</v>
      </c>
      <c r="AT183">
        <v>1</v>
      </c>
      <c r="AU183">
        <v>1</v>
      </c>
      <c r="AV183">
        <v>0</v>
      </c>
      <c r="AW183">
        <v>0</v>
      </c>
      <c r="AX183">
        <v>0</v>
      </c>
      <c r="AY183">
        <v>0</v>
      </c>
      <c r="AZ183">
        <v>0</v>
      </c>
      <c r="BA183">
        <v>0</v>
      </c>
      <c r="BB183">
        <v>0</v>
      </c>
      <c r="BC183" s="21">
        <v>9</v>
      </c>
      <c r="BD183">
        <v>1</v>
      </c>
      <c r="BE183">
        <v>1</v>
      </c>
      <c r="BF183">
        <v>0</v>
      </c>
      <c r="BG183" s="21">
        <v>1</v>
      </c>
    </row>
    <row r="184" spans="1:59" ht="15" customHeight="1" x14ac:dyDescent="0.25">
      <c r="A184" t="s">
        <v>568</v>
      </c>
      <c r="B184" s="21">
        <v>84</v>
      </c>
      <c r="C184" s="21">
        <v>1</v>
      </c>
      <c r="D184" s="21">
        <v>11</v>
      </c>
      <c r="E184" s="21">
        <v>1</v>
      </c>
      <c r="F184" s="21">
        <v>2</v>
      </c>
      <c r="G184" s="21">
        <v>2</v>
      </c>
      <c r="H184" s="21">
        <v>2</v>
      </c>
      <c r="I184" s="21">
        <v>2</v>
      </c>
      <c r="J184">
        <v>2</v>
      </c>
      <c r="K184" s="21">
        <v>1</v>
      </c>
      <c r="L184" s="21">
        <v>2</v>
      </c>
      <c r="M184" s="21">
        <v>2</v>
      </c>
      <c r="N184" s="21">
        <v>2</v>
      </c>
      <c r="O184">
        <v>13.5</v>
      </c>
      <c r="P184">
        <v>40.1</v>
      </c>
      <c r="Q184">
        <v>82.1</v>
      </c>
      <c r="R184">
        <v>13.07</v>
      </c>
      <c r="Y184">
        <v>547</v>
      </c>
      <c r="AA184">
        <v>8</v>
      </c>
      <c r="AB184">
        <v>5</v>
      </c>
      <c r="AC184">
        <v>1</v>
      </c>
      <c r="AD184">
        <v>3</v>
      </c>
      <c r="AE184">
        <v>5</v>
      </c>
      <c r="AF184" s="21">
        <v>1</v>
      </c>
      <c r="AG184">
        <v>1</v>
      </c>
      <c r="AI184">
        <v>1</v>
      </c>
      <c r="AJ184">
        <v>2</v>
      </c>
      <c r="AL184">
        <v>1</v>
      </c>
      <c r="AM184">
        <v>2</v>
      </c>
      <c r="AN184">
        <v>95</v>
      </c>
      <c r="AO184">
        <v>0</v>
      </c>
      <c r="AP184">
        <v>1</v>
      </c>
      <c r="AQ184">
        <v>0</v>
      </c>
      <c r="AR184">
        <v>0</v>
      </c>
      <c r="AS184">
        <v>1</v>
      </c>
      <c r="AT184">
        <v>1</v>
      </c>
      <c r="AU184">
        <v>1</v>
      </c>
      <c r="BC184" s="21">
        <v>4</v>
      </c>
      <c r="BD184">
        <v>0</v>
      </c>
      <c r="BE184">
        <v>0</v>
      </c>
      <c r="BF184" t="s">
        <v>1026</v>
      </c>
      <c r="BG184" s="21">
        <v>0</v>
      </c>
    </row>
    <row r="185" spans="1:59" ht="15" customHeight="1" x14ac:dyDescent="0.25">
      <c r="A185" t="s">
        <v>403</v>
      </c>
      <c r="B185" s="21">
        <v>75</v>
      </c>
      <c r="C185" s="21">
        <v>1</v>
      </c>
      <c r="D185" s="21">
        <v>2</v>
      </c>
      <c r="E185" s="21">
        <v>1</v>
      </c>
      <c r="F185" s="21">
        <v>1</v>
      </c>
      <c r="G185" s="21">
        <v>2</v>
      </c>
      <c r="H185" s="21">
        <v>2</v>
      </c>
      <c r="I185" s="21">
        <v>2</v>
      </c>
      <c r="J185">
        <v>2</v>
      </c>
      <c r="K185" s="21">
        <v>2</v>
      </c>
      <c r="L185" s="21">
        <v>2</v>
      </c>
      <c r="M185" s="21">
        <v>2</v>
      </c>
      <c r="N185" s="21">
        <v>2</v>
      </c>
      <c r="O185">
        <v>11.2</v>
      </c>
      <c r="P185">
        <v>36.9</v>
      </c>
      <c r="Q185">
        <v>67.7</v>
      </c>
      <c r="R185">
        <v>28</v>
      </c>
      <c r="S185">
        <v>10.7</v>
      </c>
      <c r="T185">
        <v>152</v>
      </c>
      <c r="U185">
        <v>98.8</v>
      </c>
      <c r="V185">
        <v>31</v>
      </c>
      <c r="W185">
        <v>111</v>
      </c>
      <c r="X185">
        <v>21.2</v>
      </c>
      <c r="Y185">
        <v>345</v>
      </c>
      <c r="AA185">
        <v>9</v>
      </c>
      <c r="AB185">
        <v>5</v>
      </c>
      <c r="AC185">
        <v>1</v>
      </c>
      <c r="AD185">
        <v>3</v>
      </c>
      <c r="AE185">
        <v>5</v>
      </c>
      <c r="AF185" s="21">
        <v>1</v>
      </c>
      <c r="AG185">
        <v>1</v>
      </c>
      <c r="AI185">
        <v>2</v>
      </c>
      <c r="AK185">
        <v>3</v>
      </c>
      <c r="AL185">
        <v>2</v>
      </c>
      <c r="AM185">
        <v>2</v>
      </c>
      <c r="AN185">
        <v>95</v>
      </c>
      <c r="AO185">
        <v>1</v>
      </c>
      <c r="AP185">
        <v>1</v>
      </c>
      <c r="AQ185">
        <v>2</v>
      </c>
      <c r="AR185">
        <v>2</v>
      </c>
      <c r="AS185">
        <v>1</v>
      </c>
      <c r="AT185">
        <v>1</v>
      </c>
      <c r="AU185">
        <v>1</v>
      </c>
      <c r="AV185">
        <v>0</v>
      </c>
      <c r="AW185">
        <v>0</v>
      </c>
      <c r="AX185">
        <v>0</v>
      </c>
      <c r="AY185">
        <v>0</v>
      </c>
      <c r="AZ185">
        <v>0</v>
      </c>
      <c r="BA185">
        <v>0</v>
      </c>
      <c r="BB185">
        <v>0</v>
      </c>
      <c r="BC185" s="21">
        <v>9</v>
      </c>
      <c r="BD185">
        <v>1</v>
      </c>
      <c r="BE185">
        <v>1</v>
      </c>
      <c r="BF185" t="s">
        <v>1040</v>
      </c>
      <c r="BG185" s="21">
        <v>0</v>
      </c>
    </row>
    <row r="186" spans="1:59" ht="15" customHeight="1" x14ac:dyDescent="0.25">
      <c r="A186" t="s">
        <v>33</v>
      </c>
      <c r="B186" s="21">
        <v>78</v>
      </c>
      <c r="C186" s="21">
        <v>1</v>
      </c>
      <c r="E186" s="21">
        <v>1</v>
      </c>
      <c r="F186" s="21">
        <v>1</v>
      </c>
      <c r="G186" s="21">
        <v>2</v>
      </c>
      <c r="H186" s="21">
        <v>2</v>
      </c>
      <c r="I186" s="21">
        <v>2</v>
      </c>
      <c r="J186">
        <v>2</v>
      </c>
      <c r="K186" s="21">
        <v>2</v>
      </c>
      <c r="L186" s="21">
        <v>2</v>
      </c>
      <c r="M186" s="21">
        <v>2</v>
      </c>
      <c r="N186" s="21">
        <v>1</v>
      </c>
      <c r="O186">
        <v>13.2</v>
      </c>
      <c r="R186">
        <v>28.51</v>
      </c>
      <c r="S186">
        <v>8.1</v>
      </c>
      <c r="T186">
        <v>111</v>
      </c>
      <c r="U186">
        <v>54</v>
      </c>
      <c r="V186">
        <v>33</v>
      </c>
      <c r="W186">
        <v>117</v>
      </c>
      <c r="X186">
        <v>23.4</v>
      </c>
      <c r="Y186">
        <v>328</v>
      </c>
      <c r="AG186">
        <v>1</v>
      </c>
      <c r="AH186">
        <v>1</v>
      </c>
      <c r="AI186">
        <v>2</v>
      </c>
      <c r="AK186">
        <v>4</v>
      </c>
      <c r="AN186">
        <v>100</v>
      </c>
      <c r="AO186">
        <v>0</v>
      </c>
      <c r="AP186">
        <v>0</v>
      </c>
      <c r="AQ186">
        <v>0</v>
      </c>
      <c r="AR186">
        <v>0</v>
      </c>
      <c r="AS186">
        <v>0</v>
      </c>
      <c r="AT186">
        <v>0</v>
      </c>
      <c r="AU186">
        <v>0</v>
      </c>
      <c r="AV186">
        <v>1</v>
      </c>
      <c r="AW186">
        <v>1</v>
      </c>
      <c r="AX186">
        <v>2</v>
      </c>
      <c r="AY186">
        <v>2</v>
      </c>
      <c r="AZ186">
        <v>1</v>
      </c>
      <c r="BA186">
        <v>1</v>
      </c>
      <c r="BB186">
        <v>1</v>
      </c>
      <c r="BC186" s="21">
        <v>9</v>
      </c>
      <c r="BD186">
        <v>0</v>
      </c>
      <c r="BE186">
        <v>0</v>
      </c>
      <c r="BF186">
        <v>0</v>
      </c>
      <c r="BG186" s="21">
        <v>1</v>
      </c>
    </row>
    <row r="187" spans="1:59" ht="15" customHeight="1" x14ac:dyDescent="0.25">
      <c r="A187" t="s">
        <v>222</v>
      </c>
      <c r="B187" s="21">
        <v>67</v>
      </c>
      <c r="C187" s="21">
        <v>1</v>
      </c>
      <c r="D187" s="21">
        <v>4</v>
      </c>
      <c r="E187" s="21">
        <v>1</v>
      </c>
      <c r="F187" s="21">
        <v>1</v>
      </c>
      <c r="G187" s="21">
        <v>2</v>
      </c>
      <c r="H187" s="21">
        <v>2</v>
      </c>
      <c r="I187" s="21">
        <v>2</v>
      </c>
      <c r="J187">
        <v>2</v>
      </c>
      <c r="K187" s="21">
        <v>2</v>
      </c>
      <c r="L187" s="21">
        <v>2</v>
      </c>
      <c r="M187" s="21">
        <v>2</v>
      </c>
      <c r="N187" s="21">
        <v>2</v>
      </c>
      <c r="O187">
        <v>15.5</v>
      </c>
      <c r="P187">
        <v>47.1</v>
      </c>
      <c r="Q187">
        <v>90</v>
      </c>
      <c r="S187">
        <v>7.4</v>
      </c>
      <c r="T187">
        <v>115</v>
      </c>
      <c r="U187">
        <v>52.2</v>
      </c>
      <c r="V187">
        <v>31</v>
      </c>
      <c r="W187">
        <v>159</v>
      </c>
      <c r="X187">
        <v>31.8</v>
      </c>
      <c r="Y187">
        <v>400</v>
      </c>
      <c r="AG187">
        <v>1</v>
      </c>
      <c r="AH187">
        <v>2</v>
      </c>
      <c r="AI187">
        <v>2</v>
      </c>
      <c r="AL187">
        <v>2</v>
      </c>
      <c r="AM187">
        <v>2</v>
      </c>
      <c r="AN187">
        <v>0</v>
      </c>
      <c r="AV187">
        <v>1</v>
      </c>
      <c r="AW187">
        <v>2</v>
      </c>
      <c r="AX187">
        <v>2</v>
      </c>
      <c r="AY187">
        <v>2</v>
      </c>
      <c r="AZ187">
        <v>1</v>
      </c>
      <c r="BA187">
        <v>1</v>
      </c>
      <c r="BB187">
        <v>1</v>
      </c>
      <c r="BC187" s="21">
        <v>10</v>
      </c>
      <c r="BD187">
        <v>1</v>
      </c>
      <c r="BE187">
        <v>1</v>
      </c>
      <c r="BF187" t="s">
        <v>1040</v>
      </c>
      <c r="BG187" s="21">
        <v>0</v>
      </c>
    </row>
    <row r="188" spans="1:59" ht="15" customHeight="1" x14ac:dyDescent="0.25">
      <c r="A188" t="s">
        <v>311</v>
      </c>
      <c r="B188" s="21">
        <v>32</v>
      </c>
      <c r="C188" s="21">
        <v>1</v>
      </c>
      <c r="E188" s="21">
        <v>2</v>
      </c>
      <c r="F188" s="21">
        <v>2</v>
      </c>
      <c r="G188" s="21">
        <v>2</v>
      </c>
      <c r="H188" s="21">
        <v>2</v>
      </c>
      <c r="I188" s="21">
        <v>2</v>
      </c>
      <c r="J188">
        <v>2</v>
      </c>
      <c r="K188" s="21">
        <v>2</v>
      </c>
      <c r="L188" s="21">
        <v>2</v>
      </c>
      <c r="M188" s="21">
        <v>2</v>
      </c>
      <c r="N188" s="21">
        <v>2</v>
      </c>
      <c r="O188">
        <v>15.2</v>
      </c>
      <c r="P188">
        <v>44.5</v>
      </c>
      <c r="Q188">
        <v>87.9</v>
      </c>
      <c r="R188">
        <v>49.3</v>
      </c>
      <c r="S188">
        <v>5.5</v>
      </c>
      <c r="T188">
        <v>174</v>
      </c>
      <c r="U188">
        <v>114</v>
      </c>
      <c r="V188">
        <v>41</v>
      </c>
      <c r="W188">
        <v>92</v>
      </c>
      <c r="X188">
        <v>18.399999999999999</v>
      </c>
      <c r="Y188">
        <v>181</v>
      </c>
      <c r="AG188">
        <v>1</v>
      </c>
      <c r="AH188">
        <v>1</v>
      </c>
      <c r="AI188">
        <v>2</v>
      </c>
      <c r="AL188">
        <v>2</v>
      </c>
      <c r="AM188">
        <v>2</v>
      </c>
      <c r="AN188">
        <v>100</v>
      </c>
      <c r="AO188">
        <v>1</v>
      </c>
      <c r="AP188">
        <v>2</v>
      </c>
      <c r="AQ188">
        <v>2</v>
      </c>
      <c r="AR188">
        <v>1</v>
      </c>
      <c r="AS188">
        <v>1</v>
      </c>
      <c r="AT188">
        <v>1</v>
      </c>
      <c r="AU188">
        <v>1</v>
      </c>
      <c r="AV188">
        <v>0</v>
      </c>
      <c r="AW188">
        <v>0</v>
      </c>
      <c r="AX188">
        <v>0</v>
      </c>
      <c r="AY188">
        <v>0</v>
      </c>
      <c r="AZ188">
        <v>0</v>
      </c>
      <c r="BA188">
        <v>0</v>
      </c>
      <c r="BB188">
        <v>0</v>
      </c>
      <c r="BC188" s="21">
        <v>9</v>
      </c>
      <c r="BD188">
        <v>1</v>
      </c>
      <c r="BE188">
        <v>1</v>
      </c>
      <c r="BF188">
        <v>0</v>
      </c>
      <c r="BG188" s="21">
        <v>0</v>
      </c>
    </row>
    <row r="189" spans="1:59" ht="15" customHeight="1" x14ac:dyDescent="0.25">
      <c r="A189" t="s">
        <v>563</v>
      </c>
      <c r="B189" s="21">
        <v>59</v>
      </c>
      <c r="C189" s="21">
        <v>1</v>
      </c>
      <c r="D189" s="21">
        <v>3</v>
      </c>
      <c r="E189" s="21">
        <v>1</v>
      </c>
      <c r="F189" s="21">
        <v>1</v>
      </c>
      <c r="G189" s="21">
        <v>2</v>
      </c>
      <c r="H189" s="21">
        <v>2</v>
      </c>
      <c r="I189" s="21">
        <v>2</v>
      </c>
      <c r="J189">
        <v>2</v>
      </c>
      <c r="K189" s="21">
        <v>2</v>
      </c>
      <c r="L189" s="21">
        <v>2</v>
      </c>
      <c r="M189" s="21">
        <v>2</v>
      </c>
      <c r="N189" s="21">
        <v>2</v>
      </c>
      <c r="O189">
        <v>15.2</v>
      </c>
      <c r="P189">
        <v>46.4</v>
      </c>
      <c r="Q189">
        <v>76.8</v>
      </c>
      <c r="R189">
        <v>13.91</v>
      </c>
      <c r="T189">
        <v>162</v>
      </c>
      <c r="U189">
        <v>87.6</v>
      </c>
      <c r="V189">
        <v>51</v>
      </c>
      <c r="W189">
        <v>117</v>
      </c>
      <c r="X189">
        <v>23.4</v>
      </c>
      <c r="Y189">
        <v>2000</v>
      </c>
      <c r="AG189">
        <v>1</v>
      </c>
      <c r="AH189">
        <v>1</v>
      </c>
      <c r="AI189">
        <v>2</v>
      </c>
      <c r="AL189">
        <v>2</v>
      </c>
      <c r="AM189">
        <v>2</v>
      </c>
      <c r="AN189">
        <v>100</v>
      </c>
      <c r="AO189">
        <v>0</v>
      </c>
      <c r="AP189">
        <v>0</v>
      </c>
      <c r="AQ189">
        <v>0</v>
      </c>
      <c r="AR189">
        <v>0</v>
      </c>
      <c r="AS189">
        <v>0</v>
      </c>
      <c r="AT189">
        <v>0</v>
      </c>
      <c r="AU189">
        <v>0</v>
      </c>
      <c r="AV189">
        <v>1</v>
      </c>
      <c r="AW189">
        <v>2</v>
      </c>
      <c r="AX189">
        <v>2</v>
      </c>
      <c r="AY189">
        <v>2</v>
      </c>
      <c r="AZ189">
        <v>1</v>
      </c>
      <c r="BA189">
        <v>1</v>
      </c>
      <c r="BB189">
        <v>1</v>
      </c>
      <c r="BC189" s="21">
        <v>10</v>
      </c>
      <c r="BD189">
        <v>1</v>
      </c>
      <c r="BE189">
        <v>1</v>
      </c>
      <c r="BF189">
        <v>1</v>
      </c>
      <c r="BG189" s="21">
        <v>0</v>
      </c>
    </row>
    <row r="190" spans="1:59" ht="15" customHeight="1" x14ac:dyDescent="0.25">
      <c r="A190" t="s">
        <v>143</v>
      </c>
      <c r="B190" s="21">
        <v>75</v>
      </c>
      <c r="C190" s="21">
        <v>1</v>
      </c>
      <c r="E190" s="21">
        <v>2</v>
      </c>
      <c r="F190" s="21">
        <v>2</v>
      </c>
      <c r="G190" s="21">
        <v>2</v>
      </c>
      <c r="H190" s="21">
        <v>2</v>
      </c>
      <c r="I190" s="21">
        <v>2</v>
      </c>
      <c r="J190">
        <v>2</v>
      </c>
      <c r="K190" s="21">
        <v>2</v>
      </c>
      <c r="L190" s="21">
        <v>2</v>
      </c>
      <c r="M190" s="21">
        <v>2</v>
      </c>
      <c r="N190" s="21">
        <v>2</v>
      </c>
      <c r="O190">
        <v>13</v>
      </c>
      <c r="P190">
        <v>39.6</v>
      </c>
      <c r="Q190">
        <v>89.2</v>
      </c>
      <c r="R190">
        <v>16</v>
      </c>
      <c r="S190">
        <v>5.7</v>
      </c>
      <c r="Y190">
        <v>401</v>
      </c>
      <c r="AG190">
        <v>1</v>
      </c>
      <c r="AH190">
        <v>2</v>
      </c>
      <c r="AI190">
        <v>2</v>
      </c>
      <c r="AN190">
        <v>100</v>
      </c>
      <c r="AO190">
        <v>1</v>
      </c>
      <c r="AP190">
        <v>2</v>
      </c>
      <c r="AQ190">
        <v>2</v>
      </c>
      <c r="AR190">
        <v>2</v>
      </c>
      <c r="AS190">
        <v>1</v>
      </c>
      <c r="AT190">
        <v>1</v>
      </c>
      <c r="AU190">
        <v>1</v>
      </c>
      <c r="AV190">
        <v>0</v>
      </c>
      <c r="AW190">
        <v>0</v>
      </c>
      <c r="AX190">
        <v>0</v>
      </c>
      <c r="AY190">
        <v>0</v>
      </c>
      <c r="AZ190">
        <v>0</v>
      </c>
      <c r="BA190">
        <v>0</v>
      </c>
      <c r="BB190">
        <v>0</v>
      </c>
      <c r="BC190" s="21">
        <v>10</v>
      </c>
      <c r="BD190">
        <v>1</v>
      </c>
      <c r="BE190">
        <v>1</v>
      </c>
      <c r="BF190" t="s">
        <v>1004</v>
      </c>
      <c r="BG190" s="21">
        <v>1</v>
      </c>
    </row>
    <row r="191" spans="1:59" ht="15" customHeight="1" x14ac:dyDescent="0.25">
      <c r="A191" t="s">
        <v>174</v>
      </c>
      <c r="B191" s="21">
        <v>71</v>
      </c>
      <c r="C191" s="21">
        <v>2</v>
      </c>
      <c r="D191" s="21">
        <v>9</v>
      </c>
      <c r="E191" s="21">
        <v>2</v>
      </c>
      <c r="F191" s="21">
        <v>2</v>
      </c>
      <c r="G191" s="21">
        <v>2</v>
      </c>
      <c r="H191" s="21">
        <v>1</v>
      </c>
      <c r="I191" s="21">
        <v>2</v>
      </c>
      <c r="J191">
        <v>2</v>
      </c>
      <c r="K191" s="21">
        <v>2</v>
      </c>
      <c r="L191" s="21">
        <v>2</v>
      </c>
      <c r="M191" s="21">
        <v>2</v>
      </c>
      <c r="N191" s="21">
        <v>1</v>
      </c>
      <c r="O191">
        <v>10.5</v>
      </c>
      <c r="P191">
        <v>32.6</v>
      </c>
      <c r="Q191">
        <v>88.2</v>
      </c>
      <c r="R191">
        <v>7.17</v>
      </c>
      <c r="S191">
        <v>5.6</v>
      </c>
      <c r="T191">
        <v>182</v>
      </c>
      <c r="U191">
        <v>113.4</v>
      </c>
      <c r="V191">
        <v>58</v>
      </c>
      <c r="W191">
        <v>53</v>
      </c>
      <c r="X191">
        <v>10.6</v>
      </c>
      <c r="Y191">
        <v>2000</v>
      </c>
      <c r="AG191">
        <v>1</v>
      </c>
      <c r="AH191">
        <v>1</v>
      </c>
      <c r="AI191">
        <v>2</v>
      </c>
      <c r="AK191">
        <v>4</v>
      </c>
      <c r="AN191">
        <v>75</v>
      </c>
      <c r="AO191">
        <v>0</v>
      </c>
      <c r="AP191">
        <v>0</v>
      </c>
      <c r="AQ191">
        <v>0</v>
      </c>
      <c r="AR191">
        <v>0</v>
      </c>
      <c r="AS191">
        <v>0</v>
      </c>
      <c r="AT191">
        <v>0</v>
      </c>
      <c r="AU191">
        <v>0</v>
      </c>
      <c r="AV191">
        <v>1</v>
      </c>
      <c r="AW191">
        <v>1</v>
      </c>
      <c r="AX191">
        <v>2</v>
      </c>
      <c r="AY191">
        <v>2</v>
      </c>
      <c r="AZ191">
        <v>1</v>
      </c>
      <c r="BA191">
        <v>1</v>
      </c>
      <c r="BB191">
        <v>1</v>
      </c>
      <c r="BC191" s="21">
        <v>9</v>
      </c>
      <c r="BD191">
        <v>1</v>
      </c>
      <c r="BE191">
        <v>1</v>
      </c>
      <c r="BF191">
        <v>0</v>
      </c>
      <c r="BG191" s="21">
        <v>3</v>
      </c>
    </row>
    <row r="192" spans="1:59" ht="15" customHeight="1" x14ac:dyDescent="0.25">
      <c r="A192" t="s">
        <v>76</v>
      </c>
      <c r="B192" s="21">
        <v>56</v>
      </c>
      <c r="C192" s="21">
        <v>1</v>
      </c>
      <c r="D192" s="21">
        <v>13</v>
      </c>
      <c r="E192" s="21">
        <v>1</v>
      </c>
      <c r="F192" s="21">
        <v>1</v>
      </c>
      <c r="G192" s="21">
        <v>1</v>
      </c>
      <c r="H192" s="21">
        <v>1</v>
      </c>
      <c r="I192" s="21">
        <v>2</v>
      </c>
      <c r="J192">
        <v>2</v>
      </c>
      <c r="K192" s="21">
        <v>2</v>
      </c>
      <c r="L192" s="21">
        <v>2</v>
      </c>
      <c r="M192" s="21">
        <v>2</v>
      </c>
      <c r="N192" s="21">
        <v>2</v>
      </c>
      <c r="O192">
        <v>16.399999999999999</v>
      </c>
      <c r="P192">
        <v>48.7</v>
      </c>
      <c r="Q192">
        <v>10.19</v>
      </c>
      <c r="R192">
        <v>23.15</v>
      </c>
      <c r="S192">
        <v>7.9</v>
      </c>
      <c r="Y192">
        <v>182</v>
      </c>
      <c r="AG192">
        <v>1</v>
      </c>
      <c r="AH192">
        <v>1</v>
      </c>
      <c r="AI192">
        <v>1</v>
      </c>
      <c r="AJ192">
        <v>1</v>
      </c>
      <c r="AN192">
        <v>85</v>
      </c>
      <c r="AO192">
        <v>1</v>
      </c>
      <c r="AP192">
        <v>2</v>
      </c>
      <c r="AQ192">
        <v>2</v>
      </c>
      <c r="AR192">
        <v>2</v>
      </c>
      <c r="AS192">
        <v>1</v>
      </c>
      <c r="AT192">
        <v>1</v>
      </c>
      <c r="AU192">
        <v>1</v>
      </c>
      <c r="AV192">
        <v>0</v>
      </c>
      <c r="AW192">
        <v>0</v>
      </c>
      <c r="AX192">
        <v>0</v>
      </c>
      <c r="AY192">
        <v>0</v>
      </c>
      <c r="AZ192">
        <v>0</v>
      </c>
      <c r="BA192">
        <v>0</v>
      </c>
      <c r="BB192">
        <v>0</v>
      </c>
      <c r="BC192" s="21">
        <v>10</v>
      </c>
      <c r="BD192">
        <v>1</v>
      </c>
      <c r="BE192">
        <v>1</v>
      </c>
      <c r="BF192">
        <v>1</v>
      </c>
      <c r="BG192" s="21">
        <v>2</v>
      </c>
    </row>
    <row r="193" spans="1:59" ht="15" customHeight="1" x14ac:dyDescent="0.25">
      <c r="A193" t="s">
        <v>289</v>
      </c>
      <c r="B193" s="21">
        <v>47</v>
      </c>
      <c r="C193" s="21">
        <v>1</v>
      </c>
      <c r="E193" s="21">
        <v>2</v>
      </c>
      <c r="F193" s="21">
        <v>2</v>
      </c>
      <c r="G193" s="21">
        <v>1</v>
      </c>
      <c r="H193" s="21">
        <v>2</v>
      </c>
      <c r="I193" s="21">
        <v>1</v>
      </c>
      <c r="J193">
        <v>2</v>
      </c>
      <c r="K193" s="21">
        <v>2</v>
      </c>
      <c r="L193" s="21">
        <v>2</v>
      </c>
      <c r="M193" s="21">
        <v>2</v>
      </c>
      <c r="N193" s="21">
        <v>2</v>
      </c>
      <c r="O193">
        <v>13.7</v>
      </c>
      <c r="P193">
        <v>42.3</v>
      </c>
      <c r="Q193">
        <v>99.7</v>
      </c>
      <c r="R193">
        <v>38.15</v>
      </c>
      <c r="S193">
        <v>5</v>
      </c>
      <c r="T193">
        <v>235</v>
      </c>
      <c r="U193">
        <v>156.6</v>
      </c>
      <c r="V193">
        <v>61</v>
      </c>
      <c r="W193">
        <v>87</v>
      </c>
      <c r="X193">
        <v>17.399999999999999</v>
      </c>
      <c r="Y193">
        <v>153</v>
      </c>
      <c r="AG193">
        <v>1</v>
      </c>
      <c r="AH193">
        <v>1</v>
      </c>
      <c r="AI193">
        <v>2</v>
      </c>
      <c r="AK193">
        <v>4</v>
      </c>
      <c r="AL193">
        <v>2</v>
      </c>
      <c r="AM193">
        <v>2</v>
      </c>
      <c r="AN193">
        <v>95</v>
      </c>
      <c r="AO193">
        <v>0</v>
      </c>
      <c r="AP193">
        <v>0</v>
      </c>
      <c r="AQ193">
        <v>0</v>
      </c>
      <c r="AR193">
        <v>0</v>
      </c>
      <c r="AS193">
        <v>0</v>
      </c>
      <c r="AT193">
        <v>0</v>
      </c>
      <c r="AU193">
        <v>0</v>
      </c>
      <c r="AV193">
        <v>1</v>
      </c>
      <c r="AW193">
        <v>2</v>
      </c>
      <c r="AX193">
        <v>2</v>
      </c>
      <c r="AY193">
        <v>2</v>
      </c>
      <c r="AZ193">
        <v>1</v>
      </c>
      <c r="BA193">
        <v>1</v>
      </c>
      <c r="BB193">
        <v>1</v>
      </c>
      <c r="BC193" s="21">
        <v>10</v>
      </c>
      <c r="BD193">
        <v>1</v>
      </c>
      <c r="BE193">
        <v>1</v>
      </c>
      <c r="BF193">
        <v>0</v>
      </c>
      <c r="BG193" s="21">
        <v>2</v>
      </c>
    </row>
    <row r="194" spans="1:59" ht="15" customHeight="1" x14ac:dyDescent="0.25">
      <c r="A194" t="s">
        <v>915</v>
      </c>
      <c r="B194" s="21">
        <v>49</v>
      </c>
      <c r="C194" s="21">
        <v>1</v>
      </c>
      <c r="D194" s="21">
        <v>11</v>
      </c>
      <c r="E194" s="21">
        <v>1</v>
      </c>
      <c r="F194" s="21">
        <v>2</v>
      </c>
      <c r="G194" s="21">
        <v>1</v>
      </c>
      <c r="H194" s="21">
        <v>1</v>
      </c>
      <c r="I194" s="21">
        <v>1</v>
      </c>
      <c r="J194">
        <v>2</v>
      </c>
      <c r="K194" s="21">
        <v>2</v>
      </c>
      <c r="L194" s="21">
        <v>1</v>
      </c>
      <c r="M194" s="21">
        <v>2</v>
      </c>
      <c r="N194" s="21">
        <v>2</v>
      </c>
      <c r="O194">
        <v>12.6</v>
      </c>
      <c r="R194">
        <v>49.53</v>
      </c>
      <c r="Y194">
        <v>247</v>
      </c>
      <c r="AG194">
        <v>1</v>
      </c>
      <c r="AH194">
        <v>2</v>
      </c>
      <c r="AI194">
        <v>1</v>
      </c>
      <c r="AJ194">
        <v>1</v>
      </c>
      <c r="AK194">
        <v>4</v>
      </c>
      <c r="AL194">
        <v>2</v>
      </c>
      <c r="AM194">
        <v>2</v>
      </c>
      <c r="AN194">
        <v>0</v>
      </c>
      <c r="AO194">
        <v>1</v>
      </c>
      <c r="AP194">
        <v>2</v>
      </c>
      <c r="AQ194">
        <v>2</v>
      </c>
      <c r="AR194">
        <v>2</v>
      </c>
      <c r="AS194">
        <v>1</v>
      </c>
      <c r="AT194">
        <v>1</v>
      </c>
      <c r="AU194">
        <v>1</v>
      </c>
      <c r="AV194">
        <v>0</v>
      </c>
      <c r="AW194">
        <v>0</v>
      </c>
      <c r="AX194">
        <v>0</v>
      </c>
      <c r="AY194">
        <v>0</v>
      </c>
      <c r="AZ194">
        <v>0</v>
      </c>
      <c r="BA194">
        <v>0</v>
      </c>
      <c r="BB194">
        <v>0</v>
      </c>
      <c r="BC194" s="21">
        <v>10</v>
      </c>
      <c r="BD194">
        <v>1</v>
      </c>
      <c r="BE194">
        <v>1</v>
      </c>
      <c r="BF194">
        <v>1</v>
      </c>
      <c r="BG194" s="21">
        <v>6</v>
      </c>
    </row>
    <row r="195" spans="1:59" ht="15" customHeight="1" x14ac:dyDescent="0.25">
      <c r="A195" t="s">
        <v>79</v>
      </c>
      <c r="B195" s="21">
        <v>43</v>
      </c>
      <c r="C195" s="21">
        <v>2</v>
      </c>
      <c r="E195" s="21">
        <v>2</v>
      </c>
      <c r="F195" s="21">
        <v>2</v>
      </c>
      <c r="G195" s="21">
        <v>2</v>
      </c>
      <c r="H195" s="21">
        <v>2</v>
      </c>
      <c r="I195" s="21">
        <v>2</v>
      </c>
      <c r="J195">
        <v>2</v>
      </c>
      <c r="K195" s="21">
        <v>2</v>
      </c>
      <c r="L195" s="21">
        <v>2</v>
      </c>
      <c r="M195" s="21">
        <v>2</v>
      </c>
      <c r="N195" s="21">
        <v>1</v>
      </c>
      <c r="O195">
        <v>7.7</v>
      </c>
      <c r="P195">
        <v>26.2</v>
      </c>
      <c r="Q195">
        <v>62.7</v>
      </c>
      <c r="R195">
        <v>8.82</v>
      </c>
      <c r="S195">
        <v>5.0999999999999996</v>
      </c>
      <c r="Y195">
        <v>183</v>
      </c>
      <c r="AG195">
        <v>1</v>
      </c>
      <c r="AH195">
        <v>1</v>
      </c>
      <c r="AI195">
        <v>2</v>
      </c>
      <c r="AN195">
        <v>100</v>
      </c>
      <c r="AO195">
        <v>1</v>
      </c>
      <c r="AP195">
        <v>2</v>
      </c>
      <c r="AQ195">
        <v>2</v>
      </c>
      <c r="AR195">
        <v>2</v>
      </c>
      <c r="AS195">
        <v>1</v>
      </c>
      <c r="AT195">
        <v>1</v>
      </c>
      <c r="AU195">
        <v>1</v>
      </c>
      <c r="AV195">
        <v>0</v>
      </c>
      <c r="AW195">
        <v>0</v>
      </c>
      <c r="AX195">
        <v>0</v>
      </c>
      <c r="AY195">
        <v>0</v>
      </c>
      <c r="AZ195">
        <v>0</v>
      </c>
      <c r="BA195">
        <v>0</v>
      </c>
      <c r="BB195">
        <v>0</v>
      </c>
      <c r="BC195" s="21">
        <v>10</v>
      </c>
      <c r="BD195">
        <v>1</v>
      </c>
      <c r="BE195">
        <v>1</v>
      </c>
      <c r="BF195">
        <v>0</v>
      </c>
      <c r="BG195" s="21">
        <v>1</v>
      </c>
    </row>
    <row r="196" spans="1:59" ht="15" customHeight="1" x14ac:dyDescent="0.25">
      <c r="A196" t="s">
        <v>156</v>
      </c>
      <c r="B196" s="21">
        <v>74</v>
      </c>
      <c r="C196" s="21">
        <v>2</v>
      </c>
      <c r="D196" s="21">
        <v>2</v>
      </c>
      <c r="E196" s="21">
        <v>1</v>
      </c>
      <c r="F196" s="21">
        <v>1</v>
      </c>
      <c r="G196" s="21">
        <v>2</v>
      </c>
      <c r="H196" s="21">
        <v>1</v>
      </c>
      <c r="I196" s="21">
        <v>2</v>
      </c>
      <c r="J196">
        <v>2</v>
      </c>
      <c r="K196" s="21">
        <v>2</v>
      </c>
      <c r="L196" s="21">
        <v>2</v>
      </c>
      <c r="M196" s="21">
        <v>2</v>
      </c>
      <c r="N196" s="21">
        <v>1</v>
      </c>
      <c r="O196">
        <v>9.9</v>
      </c>
      <c r="P196">
        <v>30.7</v>
      </c>
      <c r="Q196">
        <v>74.400000000000006</v>
      </c>
      <c r="R196">
        <v>18.579999999999998</v>
      </c>
      <c r="S196">
        <v>7.5</v>
      </c>
      <c r="T196">
        <v>178</v>
      </c>
      <c r="U196">
        <v>96</v>
      </c>
      <c r="V196">
        <v>32</v>
      </c>
      <c r="W196">
        <v>250</v>
      </c>
      <c r="X196">
        <v>50</v>
      </c>
      <c r="Y196">
        <v>268</v>
      </c>
      <c r="AG196">
        <v>1</v>
      </c>
      <c r="AH196">
        <v>1</v>
      </c>
      <c r="AI196">
        <v>2</v>
      </c>
      <c r="AK196">
        <v>4</v>
      </c>
      <c r="AN196">
        <v>100</v>
      </c>
      <c r="AO196">
        <v>0</v>
      </c>
      <c r="AP196">
        <v>0</v>
      </c>
      <c r="AQ196">
        <v>0</v>
      </c>
      <c r="AR196">
        <v>0</v>
      </c>
      <c r="AS196">
        <v>0</v>
      </c>
      <c r="AT196">
        <v>0</v>
      </c>
      <c r="AU196">
        <v>0</v>
      </c>
      <c r="AV196">
        <v>0</v>
      </c>
      <c r="AW196">
        <v>2</v>
      </c>
      <c r="AX196">
        <v>2</v>
      </c>
      <c r="AY196">
        <v>2</v>
      </c>
      <c r="AZ196">
        <v>1</v>
      </c>
      <c r="BA196">
        <v>1</v>
      </c>
      <c r="BB196">
        <v>1</v>
      </c>
      <c r="BC196" s="21">
        <v>9</v>
      </c>
      <c r="BD196">
        <v>0</v>
      </c>
      <c r="BE196">
        <v>0</v>
      </c>
      <c r="BF196">
        <v>0</v>
      </c>
      <c r="BG196" s="21">
        <v>1</v>
      </c>
    </row>
    <row r="197" spans="1:59" ht="15" customHeight="1" x14ac:dyDescent="0.25">
      <c r="A197" t="s">
        <v>203</v>
      </c>
      <c r="B197" s="21">
        <v>80</v>
      </c>
      <c r="C197" s="21">
        <v>1</v>
      </c>
      <c r="D197" s="21">
        <v>3</v>
      </c>
      <c r="E197" s="21">
        <v>1</v>
      </c>
      <c r="F197" s="21">
        <v>1</v>
      </c>
      <c r="G197" s="21">
        <v>2</v>
      </c>
      <c r="H197" s="21">
        <v>1</v>
      </c>
      <c r="I197" s="21">
        <v>2</v>
      </c>
      <c r="J197">
        <v>2</v>
      </c>
      <c r="K197" s="21">
        <v>2</v>
      </c>
      <c r="L197" s="21">
        <v>2</v>
      </c>
      <c r="M197" s="21">
        <v>2</v>
      </c>
      <c r="N197" s="21">
        <v>2</v>
      </c>
      <c r="O197">
        <v>13.5</v>
      </c>
      <c r="P197">
        <v>5.5</v>
      </c>
      <c r="R197">
        <v>42.51</v>
      </c>
      <c r="S197">
        <v>5.5</v>
      </c>
      <c r="T197">
        <v>165</v>
      </c>
      <c r="U197">
        <v>103.8</v>
      </c>
      <c r="V197">
        <v>36</v>
      </c>
      <c r="W197">
        <v>126</v>
      </c>
      <c r="X197">
        <v>25.2</v>
      </c>
      <c r="Y197">
        <v>335</v>
      </c>
      <c r="AG197">
        <v>1</v>
      </c>
      <c r="AH197">
        <v>1</v>
      </c>
      <c r="AI197">
        <v>2</v>
      </c>
      <c r="AK197">
        <v>4</v>
      </c>
      <c r="AN197">
        <v>100</v>
      </c>
      <c r="AO197">
        <v>0</v>
      </c>
      <c r="AP197">
        <v>2</v>
      </c>
      <c r="AQ197">
        <v>2</v>
      </c>
      <c r="AR197">
        <v>2</v>
      </c>
      <c r="AS197">
        <v>1</v>
      </c>
      <c r="AT197">
        <v>1</v>
      </c>
      <c r="AU197">
        <v>1</v>
      </c>
      <c r="AV197">
        <v>0</v>
      </c>
      <c r="AW197">
        <v>0</v>
      </c>
      <c r="AX197">
        <v>0</v>
      </c>
      <c r="AY197">
        <v>0</v>
      </c>
      <c r="AZ197">
        <v>0</v>
      </c>
      <c r="BA197">
        <v>0</v>
      </c>
      <c r="BB197">
        <v>0</v>
      </c>
      <c r="BC197" s="21">
        <v>9</v>
      </c>
      <c r="BD197">
        <v>1</v>
      </c>
      <c r="BE197">
        <v>1</v>
      </c>
      <c r="BF197">
        <v>1</v>
      </c>
      <c r="BG197" s="21">
        <v>0</v>
      </c>
    </row>
    <row r="198" spans="1:59" ht="15" customHeight="1" x14ac:dyDescent="0.25">
      <c r="A198" s="8" t="s">
        <v>210</v>
      </c>
      <c r="B198" s="21">
        <v>76</v>
      </c>
      <c r="C198" s="21">
        <v>1</v>
      </c>
      <c r="D198" s="21">
        <v>9</v>
      </c>
      <c r="E198" s="21">
        <v>2</v>
      </c>
      <c r="F198" s="21">
        <v>2</v>
      </c>
      <c r="G198" s="21">
        <v>2</v>
      </c>
      <c r="H198" s="21">
        <v>1</v>
      </c>
      <c r="I198" s="21">
        <v>2</v>
      </c>
      <c r="J198" s="8">
        <v>2</v>
      </c>
      <c r="K198" s="21">
        <v>2</v>
      </c>
      <c r="L198" s="21">
        <v>2</v>
      </c>
      <c r="M198" s="21">
        <v>2</v>
      </c>
      <c r="N198" s="21">
        <v>2</v>
      </c>
      <c r="O198" s="8">
        <v>13.3</v>
      </c>
      <c r="P198" s="8">
        <v>38.200000000000003</v>
      </c>
      <c r="Q198" s="8">
        <v>10.050000000000001</v>
      </c>
      <c r="R198" s="8">
        <v>10</v>
      </c>
      <c r="S198" s="8">
        <v>5.3</v>
      </c>
      <c r="T198" s="8">
        <v>127</v>
      </c>
      <c r="U198" s="8">
        <v>72.400000000000006</v>
      </c>
      <c r="V198" s="8">
        <v>38</v>
      </c>
      <c r="W198" s="8">
        <v>83</v>
      </c>
      <c r="X198" s="8">
        <v>16.600000000000001</v>
      </c>
      <c r="Y198" s="8">
        <v>2000</v>
      </c>
      <c r="Z198" s="8"/>
      <c r="AA198" s="8"/>
      <c r="AB198" s="8"/>
      <c r="AC198" s="8"/>
      <c r="AD198" s="8"/>
      <c r="AE198" s="8"/>
      <c r="AG198" s="8">
        <v>1</v>
      </c>
      <c r="AH198" s="8">
        <v>1</v>
      </c>
      <c r="AI198" s="8">
        <v>2</v>
      </c>
      <c r="AJ198" s="8"/>
      <c r="AK198" s="8"/>
      <c r="AL198" s="8">
        <v>2</v>
      </c>
      <c r="AM198" s="8">
        <v>2</v>
      </c>
      <c r="AN198" s="8">
        <v>40</v>
      </c>
      <c r="AO198" s="8"/>
      <c r="AP198" s="8"/>
      <c r="AQ198" s="8"/>
      <c r="AR198" s="8"/>
      <c r="AS198" s="8"/>
      <c r="AT198" s="8"/>
      <c r="AU198" s="8"/>
      <c r="AV198" s="8">
        <v>1</v>
      </c>
      <c r="AW198" s="8">
        <v>2</v>
      </c>
      <c r="AX198" s="8">
        <v>2</v>
      </c>
      <c r="AY198" s="8">
        <v>2</v>
      </c>
      <c r="AZ198" s="8">
        <v>1</v>
      </c>
      <c r="BA198" s="8">
        <v>1</v>
      </c>
      <c r="BB198" s="8">
        <v>1</v>
      </c>
      <c r="BC198" s="21">
        <v>10</v>
      </c>
      <c r="BD198" s="8">
        <v>1</v>
      </c>
      <c r="BE198" s="8">
        <v>1</v>
      </c>
      <c r="BF198" s="8">
        <v>1</v>
      </c>
      <c r="BG198" s="21">
        <v>4</v>
      </c>
    </row>
    <row r="199" spans="1:59" ht="15" customHeight="1" x14ac:dyDescent="0.25">
      <c r="A199" t="s">
        <v>140</v>
      </c>
      <c r="B199" s="21">
        <v>53</v>
      </c>
      <c r="C199" s="21">
        <v>1</v>
      </c>
      <c r="D199" s="21">
        <v>0</v>
      </c>
      <c r="E199" s="21">
        <v>1</v>
      </c>
      <c r="F199" s="21">
        <v>1</v>
      </c>
      <c r="G199" s="21">
        <v>2</v>
      </c>
      <c r="H199" s="21">
        <v>2</v>
      </c>
      <c r="I199" s="21">
        <v>2</v>
      </c>
      <c r="J199">
        <v>2</v>
      </c>
      <c r="K199" s="21">
        <v>2</v>
      </c>
      <c r="L199" s="21">
        <v>2</v>
      </c>
      <c r="M199" s="21">
        <v>2</v>
      </c>
      <c r="N199" s="21">
        <v>2</v>
      </c>
      <c r="O199">
        <v>14.4</v>
      </c>
      <c r="P199">
        <v>41.9</v>
      </c>
      <c r="Q199">
        <v>87.3</v>
      </c>
      <c r="R199">
        <v>8.66</v>
      </c>
      <c r="T199">
        <v>173</v>
      </c>
      <c r="U199">
        <v>125.8</v>
      </c>
      <c r="V199">
        <v>35</v>
      </c>
      <c r="W199">
        <v>6.1</v>
      </c>
      <c r="Y199">
        <v>716</v>
      </c>
      <c r="Z199">
        <v>239</v>
      </c>
      <c r="AG199">
        <v>1</v>
      </c>
      <c r="AH199">
        <v>1</v>
      </c>
      <c r="AI199">
        <v>2</v>
      </c>
      <c r="AN199">
        <v>100</v>
      </c>
      <c r="AO199">
        <v>0</v>
      </c>
      <c r="AP199">
        <v>0</v>
      </c>
      <c r="AQ199">
        <v>1</v>
      </c>
      <c r="AR199">
        <v>2</v>
      </c>
      <c r="AS199">
        <v>1</v>
      </c>
      <c r="AT199">
        <v>1</v>
      </c>
      <c r="AU199">
        <v>0</v>
      </c>
      <c r="AV199">
        <v>0</v>
      </c>
      <c r="AW199">
        <v>0</v>
      </c>
      <c r="AX199">
        <v>0</v>
      </c>
      <c r="AY199">
        <v>0</v>
      </c>
      <c r="AZ199">
        <v>0</v>
      </c>
      <c r="BA199">
        <v>0</v>
      </c>
      <c r="BB199">
        <v>0</v>
      </c>
      <c r="BC199" s="21">
        <v>5</v>
      </c>
      <c r="BD199">
        <v>1</v>
      </c>
      <c r="BE199">
        <v>0</v>
      </c>
      <c r="BF199">
        <v>0</v>
      </c>
      <c r="BG199" s="21">
        <v>1</v>
      </c>
    </row>
    <row r="200" spans="1:59" ht="15" customHeight="1" x14ac:dyDescent="0.25">
      <c r="A200" t="s">
        <v>191</v>
      </c>
      <c r="B200" s="21">
        <v>75</v>
      </c>
      <c r="C200" s="21">
        <v>2</v>
      </c>
      <c r="D200" s="21">
        <v>10</v>
      </c>
      <c r="E200" s="21">
        <v>1</v>
      </c>
      <c r="F200" s="21">
        <v>2</v>
      </c>
      <c r="G200" s="21">
        <v>2</v>
      </c>
      <c r="H200" s="21">
        <v>1</v>
      </c>
      <c r="I200" s="21">
        <v>2</v>
      </c>
      <c r="J200">
        <v>2</v>
      </c>
      <c r="K200" s="21">
        <v>2</v>
      </c>
      <c r="L200" s="21">
        <v>2</v>
      </c>
      <c r="M200" s="21">
        <v>2</v>
      </c>
      <c r="N200" s="21">
        <v>1</v>
      </c>
      <c r="O200">
        <v>10.6</v>
      </c>
      <c r="P200">
        <v>6.22</v>
      </c>
      <c r="R200">
        <v>6.22</v>
      </c>
      <c r="S200">
        <v>6</v>
      </c>
      <c r="T200">
        <v>184</v>
      </c>
      <c r="U200">
        <v>107.8</v>
      </c>
      <c r="V200">
        <v>39</v>
      </c>
      <c r="W200">
        <v>186</v>
      </c>
      <c r="X200">
        <v>37.799999999999997</v>
      </c>
      <c r="Y200">
        <v>690</v>
      </c>
      <c r="AG200">
        <v>1</v>
      </c>
      <c r="AH200">
        <v>1</v>
      </c>
      <c r="AI200">
        <v>1</v>
      </c>
      <c r="AJ200">
        <v>2</v>
      </c>
      <c r="AN200">
        <v>40</v>
      </c>
      <c r="AO200">
        <v>0</v>
      </c>
      <c r="AP200">
        <v>0</v>
      </c>
      <c r="AQ200">
        <v>0</v>
      </c>
      <c r="AR200">
        <v>0</v>
      </c>
      <c r="AS200">
        <v>0</v>
      </c>
      <c r="AT200">
        <v>0</v>
      </c>
      <c r="AU200">
        <v>0</v>
      </c>
      <c r="AV200">
        <v>1</v>
      </c>
      <c r="AW200">
        <v>2</v>
      </c>
      <c r="AX200">
        <v>2</v>
      </c>
      <c r="AY200">
        <v>2</v>
      </c>
      <c r="AZ200">
        <v>1</v>
      </c>
      <c r="BA200">
        <v>1</v>
      </c>
      <c r="BB200">
        <v>1</v>
      </c>
      <c r="BC200" s="21">
        <v>10</v>
      </c>
      <c r="BD200">
        <v>1</v>
      </c>
      <c r="BE200">
        <v>1</v>
      </c>
      <c r="BF200">
        <v>0</v>
      </c>
      <c r="BG200" s="21">
        <v>4</v>
      </c>
    </row>
    <row r="201" spans="1:59" ht="15" customHeight="1" x14ac:dyDescent="0.25">
      <c r="A201" s="8" t="s">
        <v>130</v>
      </c>
      <c r="B201" s="21">
        <v>45</v>
      </c>
      <c r="C201" s="21">
        <v>1</v>
      </c>
      <c r="D201" s="21">
        <v>4</v>
      </c>
      <c r="E201" s="21">
        <v>2</v>
      </c>
      <c r="F201" s="21">
        <v>2</v>
      </c>
      <c r="G201" s="21">
        <v>2</v>
      </c>
      <c r="H201" s="21">
        <v>2</v>
      </c>
      <c r="I201" s="21">
        <v>2</v>
      </c>
      <c r="J201" s="8">
        <v>2</v>
      </c>
      <c r="K201" s="21">
        <v>2</v>
      </c>
      <c r="L201" s="21">
        <v>2</v>
      </c>
      <c r="M201" s="21">
        <v>2</v>
      </c>
      <c r="N201" s="21">
        <v>2</v>
      </c>
      <c r="O201" s="8">
        <v>14.2</v>
      </c>
      <c r="P201" s="8">
        <v>42.6</v>
      </c>
      <c r="Q201" s="8">
        <v>88.2</v>
      </c>
      <c r="R201" s="8">
        <v>14.52</v>
      </c>
      <c r="S201" s="8">
        <v>6.5</v>
      </c>
      <c r="T201" s="8">
        <v>216</v>
      </c>
      <c r="U201" s="8">
        <v>123.2</v>
      </c>
      <c r="V201" s="8">
        <v>40</v>
      </c>
      <c r="W201" s="8">
        <v>264</v>
      </c>
      <c r="X201" s="8">
        <v>52.8</v>
      </c>
      <c r="Y201" s="8"/>
      <c r="Z201" s="8"/>
      <c r="AA201" s="8"/>
      <c r="AB201" s="8"/>
      <c r="AC201" s="8"/>
      <c r="AD201" s="8"/>
      <c r="AE201" s="8"/>
      <c r="AG201" s="8">
        <v>1</v>
      </c>
      <c r="AH201" s="8">
        <v>1</v>
      </c>
      <c r="AI201" s="8">
        <v>2</v>
      </c>
      <c r="AJ201" s="8"/>
      <c r="AK201" s="8"/>
      <c r="AL201" s="8"/>
      <c r="AM201" s="8"/>
      <c r="AN201" s="8">
        <v>100</v>
      </c>
      <c r="AO201" s="8"/>
      <c r="AP201" s="8"/>
      <c r="AQ201" s="8"/>
      <c r="AR201" s="8"/>
      <c r="AS201" s="8"/>
      <c r="AT201" s="8"/>
      <c r="AU201" s="8"/>
      <c r="AV201" s="8">
        <v>1</v>
      </c>
      <c r="AW201" s="8">
        <v>1</v>
      </c>
      <c r="AX201" s="8">
        <v>2</v>
      </c>
      <c r="AY201" s="8">
        <v>2</v>
      </c>
      <c r="AZ201" s="8">
        <v>1</v>
      </c>
      <c r="BA201" s="8">
        <v>1</v>
      </c>
      <c r="BB201" s="8">
        <v>1</v>
      </c>
      <c r="BC201" s="21">
        <v>9</v>
      </c>
      <c r="BD201" s="8">
        <v>1</v>
      </c>
      <c r="BE201" s="8">
        <v>1</v>
      </c>
      <c r="BF201" s="8">
        <v>1</v>
      </c>
      <c r="BG201" s="21">
        <v>1</v>
      </c>
    </row>
    <row r="202" spans="1:59" ht="15" customHeight="1" x14ac:dyDescent="0.25">
      <c r="A202" s="8" t="s">
        <v>137</v>
      </c>
      <c r="B202" s="21">
        <v>77</v>
      </c>
      <c r="C202" s="21">
        <v>2</v>
      </c>
      <c r="D202" s="21">
        <v>2</v>
      </c>
      <c r="E202" s="21">
        <v>1</v>
      </c>
      <c r="F202" s="21">
        <v>1</v>
      </c>
      <c r="G202" s="21">
        <v>2</v>
      </c>
      <c r="H202" s="21">
        <v>2</v>
      </c>
      <c r="I202" s="21">
        <v>2</v>
      </c>
      <c r="J202" s="8">
        <v>2</v>
      </c>
      <c r="K202" s="21">
        <v>2</v>
      </c>
      <c r="L202" s="21">
        <v>2</v>
      </c>
      <c r="M202" s="21">
        <v>2</v>
      </c>
      <c r="N202" s="21">
        <v>1</v>
      </c>
      <c r="O202" s="8">
        <v>12.7</v>
      </c>
      <c r="P202" s="8">
        <v>39.5</v>
      </c>
      <c r="Q202" s="8">
        <v>81.900000000000006</v>
      </c>
      <c r="R202" s="8">
        <v>5.82</v>
      </c>
      <c r="S202" s="8"/>
      <c r="T202" s="8">
        <v>9.6999999999999993</v>
      </c>
      <c r="U202" s="8">
        <v>76</v>
      </c>
      <c r="V202" s="8">
        <v>27</v>
      </c>
      <c r="W202" s="8">
        <v>165</v>
      </c>
      <c r="X202" s="8">
        <v>33</v>
      </c>
      <c r="Y202" s="8">
        <v>2000</v>
      </c>
      <c r="Z202" s="8"/>
      <c r="AA202" s="8"/>
      <c r="AB202" s="8"/>
      <c r="AC202" s="8"/>
      <c r="AD202" s="8"/>
      <c r="AE202" s="8"/>
      <c r="AG202" s="8">
        <v>1</v>
      </c>
      <c r="AH202" s="8">
        <v>2</v>
      </c>
      <c r="AI202" s="8">
        <v>2</v>
      </c>
      <c r="AJ202" s="8"/>
      <c r="AK202" s="8"/>
      <c r="AL202" s="8"/>
      <c r="AM202" s="8"/>
      <c r="AN202" s="8">
        <v>100</v>
      </c>
      <c r="AO202" s="8">
        <v>1</v>
      </c>
      <c r="AP202" s="8">
        <v>2</v>
      </c>
      <c r="AQ202" s="8">
        <v>2</v>
      </c>
      <c r="AR202" s="8">
        <v>2</v>
      </c>
      <c r="AS202" s="8">
        <v>1</v>
      </c>
      <c r="AT202" s="8">
        <v>1</v>
      </c>
      <c r="AU202" s="8">
        <v>1</v>
      </c>
      <c r="AV202" s="8"/>
      <c r="AW202" s="8"/>
      <c r="AX202" s="8"/>
      <c r="AY202" s="8"/>
      <c r="AZ202" s="8"/>
      <c r="BA202" s="8"/>
      <c r="BB202" s="8"/>
      <c r="BC202" s="21">
        <v>10</v>
      </c>
      <c r="BD202" s="8">
        <v>1</v>
      </c>
      <c r="BE202" s="8">
        <v>1</v>
      </c>
      <c r="BF202" s="8">
        <v>1</v>
      </c>
      <c r="BG202" s="21">
        <v>0</v>
      </c>
    </row>
    <row r="203" spans="1:59" ht="15" customHeight="1" x14ac:dyDescent="0.25">
      <c r="A203" t="s">
        <v>166</v>
      </c>
      <c r="B203" s="21">
        <v>27</v>
      </c>
      <c r="C203" s="21">
        <v>2</v>
      </c>
      <c r="D203" s="21">
        <v>6</v>
      </c>
      <c r="E203" s="21">
        <v>2</v>
      </c>
      <c r="F203" s="21">
        <v>2</v>
      </c>
      <c r="G203" s="21">
        <v>2</v>
      </c>
      <c r="H203" s="21">
        <v>2</v>
      </c>
      <c r="I203" s="21">
        <v>2</v>
      </c>
      <c r="J203">
        <v>2</v>
      </c>
      <c r="K203" s="21">
        <v>2</v>
      </c>
      <c r="L203" s="21">
        <v>2</v>
      </c>
      <c r="M203" s="21">
        <v>2</v>
      </c>
      <c r="N203" s="21">
        <v>2</v>
      </c>
      <c r="O203">
        <v>9.6</v>
      </c>
      <c r="P203">
        <v>31.4</v>
      </c>
      <c r="R203">
        <v>11.35</v>
      </c>
      <c r="S203">
        <v>5.3</v>
      </c>
      <c r="T203">
        <v>125</v>
      </c>
      <c r="U203">
        <v>66</v>
      </c>
      <c r="V203">
        <v>34</v>
      </c>
      <c r="W203">
        <v>121</v>
      </c>
      <c r="X203">
        <v>24.2</v>
      </c>
      <c r="Y203">
        <v>201</v>
      </c>
      <c r="AG203">
        <v>1</v>
      </c>
      <c r="AH203">
        <v>2</v>
      </c>
      <c r="AI203">
        <v>1</v>
      </c>
      <c r="AJ203">
        <v>1</v>
      </c>
      <c r="AN203">
        <v>100</v>
      </c>
      <c r="AO203">
        <v>1</v>
      </c>
      <c r="AP203">
        <v>2</v>
      </c>
      <c r="AQ203">
        <v>2</v>
      </c>
      <c r="AR203">
        <v>2</v>
      </c>
      <c r="AS203">
        <v>1</v>
      </c>
      <c r="AT203">
        <v>1</v>
      </c>
      <c r="AU203">
        <v>1</v>
      </c>
      <c r="AV203">
        <v>0</v>
      </c>
      <c r="AW203">
        <v>0</v>
      </c>
      <c r="AX203">
        <v>0</v>
      </c>
      <c r="AY203">
        <v>0</v>
      </c>
      <c r="AZ203">
        <v>0</v>
      </c>
      <c r="BA203">
        <v>0</v>
      </c>
      <c r="BB203">
        <v>0</v>
      </c>
      <c r="BC203" s="21">
        <v>10</v>
      </c>
      <c r="BD203">
        <v>1</v>
      </c>
      <c r="BE203">
        <v>1</v>
      </c>
      <c r="BF203">
        <v>0</v>
      </c>
      <c r="BG203" s="21">
        <v>0</v>
      </c>
    </row>
    <row r="204" spans="1:59" ht="15" customHeight="1" x14ac:dyDescent="0.25">
      <c r="A204" t="s">
        <v>170</v>
      </c>
      <c r="B204" s="21">
        <v>66</v>
      </c>
      <c r="C204" s="21">
        <v>1</v>
      </c>
      <c r="D204" s="21">
        <v>1</v>
      </c>
      <c r="E204" s="21">
        <v>1</v>
      </c>
      <c r="F204" s="21">
        <v>1</v>
      </c>
      <c r="G204" s="21">
        <v>2</v>
      </c>
      <c r="H204" s="21">
        <v>2</v>
      </c>
      <c r="I204" s="21">
        <v>2</v>
      </c>
      <c r="J204">
        <v>2</v>
      </c>
      <c r="K204" s="21">
        <v>2</v>
      </c>
      <c r="L204" s="21">
        <v>2</v>
      </c>
      <c r="M204" s="21">
        <v>2</v>
      </c>
      <c r="N204" s="21">
        <v>2</v>
      </c>
      <c r="O204">
        <v>11</v>
      </c>
      <c r="Q204">
        <v>33.799999999999997</v>
      </c>
      <c r="R204">
        <v>82</v>
      </c>
      <c r="S204">
        <v>9.8000000000000007</v>
      </c>
      <c r="T204">
        <v>169</v>
      </c>
      <c r="U204">
        <v>124.4</v>
      </c>
      <c r="V204">
        <v>21</v>
      </c>
      <c r="W204">
        <v>118</v>
      </c>
      <c r="X204">
        <v>23.6</v>
      </c>
      <c r="Y204">
        <v>148</v>
      </c>
      <c r="AG204">
        <v>1</v>
      </c>
      <c r="AH204">
        <v>1</v>
      </c>
      <c r="AI204">
        <v>2</v>
      </c>
      <c r="AN204">
        <v>100</v>
      </c>
      <c r="AO204">
        <v>0</v>
      </c>
      <c r="AP204">
        <v>0</v>
      </c>
      <c r="AQ204">
        <v>0</v>
      </c>
      <c r="AR204">
        <v>0</v>
      </c>
      <c r="AS204">
        <v>0</v>
      </c>
      <c r="AT204">
        <v>0</v>
      </c>
      <c r="AU204">
        <v>0</v>
      </c>
      <c r="AV204">
        <v>1</v>
      </c>
      <c r="AW204">
        <v>2</v>
      </c>
      <c r="AX204">
        <v>2</v>
      </c>
      <c r="AY204">
        <v>2</v>
      </c>
      <c r="AZ204">
        <v>1</v>
      </c>
      <c r="BA204">
        <v>1</v>
      </c>
      <c r="BB204">
        <v>1</v>
      </c>
      <c r="BC204" s="21">
        <v>10</v>
      </c>
      <c r="BD204">
        <v>1</v>
      </c>
      <c r="BE204">
        <v>1</v>
      </c>
      <c r="BF204">
        <v>0</v>
      </c>
      <c r="BG204" s="21">
        <v>0</v>
      </c>
    </row>
    <row r="205" spans="1:59" ht="15" customHeight="1" x14ac:dyDescent="0.25">
      <c r="A205" t="s">
        <v>132</v>
      </c>
      <c r="B205" s="21">
        <v>63</v>
      </c>
      <c r="C205" s="21">
        <v>1</v>
      </c>
      <c r="E205" s="21">
        <v>2</v>
      </c>
      <c r="F205" s="21">
        <v>2</v>
      </c>
      <c r="G205" s="21">
        <v>2</v>
      </c>
      <c r="H205" s="21">
        <v>2</v>
      </c>
      <c r="I205" s="21">
        <v>2</v>
      </c>
      <c r="J205">
        <v>2</v>
      </c>
      <c r="K205" s="21">
        <v>2</v>
      </c>
      <c r="L205" s="21">
        <v>2</v>
      </c>
      <c r="M205" s="21">
        <v>2</v>
      </c>
      <c r="N205" s="21">
        <v>2</v>
      </c>
      <c r="O205">
        <v>9.8000000000000007</v>
      </c>
      <c r="P205">
        <v>47</v>
      </c>
      <c r="Q205">
        <v>85.9</v>
      </c>
      <c r="R205">
        <v>7.63</v>
      </c>
      <c r="S205">
        <v>7</v>
      </c>
      <c r="Y205">
        <v>1777</v>
      </c>
      <c r="AG205">
        <v>1</v>
      </c>
      <c r="AH205">
        <v>1</v>
      </c>
      <c r="AI205">
        <v>2</v>
      </c>
      <c r="AO205">
        <v>1</v>
      </c>
      <c r="AP205">
        <v>2</v>
      </c>
      <c r="AQ205">
        <v>2</v>
      </c>
      <c r="AR205">
        <v>2</v>
      </c>
      <c r="AS205">
        <v>1</v>
      </c>
      <c r="AT205">
        <v>1</v>
      </c>
      <c r="AU205">
        <v>1</v>
      </c>
      <c r="AV205">
        <v>0</v>
      </c>
      <c r="AW205">
        <v>0</v>
      </c>
      <c r="AX205">
        <v>0</v>
      </c>
      <c r="AY205">
        <v>0</v>
      </c>
      <c r="AZ205">
        <v>0</v>
      </c>
      <c r="BA205">
        <v>0</v>
      </c>
      <c r="BB205">
        <v>0</v>
      </c>
      <c r="BC205" s="21">
        <v>10</v>
      </c>
      <c r="BD205">
        <v>1</v>
      </c>
      <c r="BE205">
        <v>1</v>
      </c>
      <c r="BF205">
        <v>0</v>
      </c>
      <c r="BG205" s="21">
        <v>6</v>
      </c>
    </row>
    <row r="206" spans="1:59" ht="15" customHeight="1" x14ac:dyDescent="0.25">
      <c r="A206" t="s">
        <v>186</v>
      </c>
      <c r="B206" s="21">
        <v>72</v>
      </c>
      <c r="C206" s="21">
        <v>1</v>
      </c>
      <c r="D206" s="21">
        <v>2</v>
      </c>
      <c r="E206" s="21">
        <v>1</v>
      </c>
      <c r="F206" s="21">
        <v>2</v>
      </c>
      <c r="G206" s="21">
        <v>1</v>
      </c>
      <c r="H206" s="21">
        <v>2</v>
      </c>
      <c r="I206" s="21">
        <v>2</v>
      </c>
      <c r="J206">
        <v>2</v>
      </c>
      <c r="K206" s="21">
        <v>2</v>
      </c>
      <c r="L206" s="21">
        <v>2</v>
      </c>
      <c r="M206" s="21">
        <v>2</v>
      </c>
      <c r="N206" s="21">
        <v>1</v>
      </c>
      <c r="O206">
        <v>12.1</v>
      </c>
      <c r="R206">
        <v>15.44</v>
      </c>
      <c r="T206">
        <v>203</v>
      </c>
      <c r="U206">
        <v>145.4</v>
      </c>
      <c r="V206">
        <v>28</v>
      </c>
      <c r="W206">
        <v>148</v>
      </c>
      <c r="Y206">
        <v>476</v>
      </c>
      <c r="AG206">
        <v>1</v>
      </c>
      <c r="AH206">
        <v>1</v>
      </c>
      <c r="AI206">
        <v>2</v>
      </c>
      <c r="AN206">
        <v>95</v>
      </c>
      <c r="AO206">
        <v>0</v>
      </c>
      <c r="AP206">
        <v>0</v>
      </c>
      <c r="AQ206">
        <v>0</v>
      </c>
      <c r="AR206">
        <v>0</v>
      </c>
      <c r="AS206">
        <v>0</v>
      </c>
      <c r="AT206">
        <v>0</v>
      </c>
      <c r="AU206">
        <v>0</v>
      </c>
      <c r="AV206">
        <v>1</v>
      </c>
      <c r="AW206">
        <v>1</v>
      </c>
      <c r="AX206">
        <v>2</v>
      </c>
      <c r="AY206">
        <v>2</v>
      </c>
      <c r="AZ206">
        <v>1</v>
      </c>
      <c r="BA206">
        <v>1</v>
      </c>
      <c r="BB206">
        <v>1</v>
      </c>
      <c r="BC206" s="21">
        <v>9</v>
      </c>
      <c r="BD206">
        <v>1</v>
      </c>
      <c r="BE206">
        <v>1</v>
      </c>
      <c r="BF206" t="s">
        <v>1015</v>
      </c>
      <c r="BG206" s="21">
        <v>1</v>
      </c>
    </row>
    <row r="207" spans="1:59" ht="15" customHeight="1" x14ac:dyDescent="0.25">
      <c r="A207" t="s">
        <v>97</v>
      </c>
      <c r="B207" s="21">
        <v>64</v>
      </c>
      <c r="C207" s="21">
        <v>2</v>
      </c>
      <c r="E207" s="21">
        <v>1</v>
      </c>
      <c r="F207" s="21">
        <v>1</v>
      </c>
      <c r="G207" s="21">
        <v>2</v>
      </c>
      <c r="H207" s="21">
        <v>2</v>
      </c>
      <c r="I207" s="21">
        <v>2</v>
      </c>
      <c r="J207">
        <v>2</v>
      </c>
      <c r="K207" s="21">
        <v>2</v>
      </c>
      <c r="L207" s="21">
        <v>1</v>
      </c>
      <c r="M207" s="21">
        <v>2</v>
      </c>
      <c r="N207" s="21">
        <v>2</v>
      </c>
      <c r="O207">
        <v>9.6999999999999993</v>
      </c>
      <c r="P207">
        <v>31.7</v>
      </c>
      <c r="Q207">
        <v>84.7</v>
      </c>
      <c r="R207">
        <v>29.9</v>
      </c>
      <c r="S207">
        <v>11.2</v>
      </c>
      <c r="Y207">
        <v>260</v>
      </c>
      <c r="AG207">
        <v>1</v>
      </c>
      <c r="AH207">
        <v>1</v>
      </c>
      <c r="AI207">
        <v>2</v>
      </c>
      <c r="AK207">
        <v>4</v>
      </c>
      <c r="AN207">
        <v>50</v>
      </c>
      <c r="AO207">
        <v>0</v>
      </c>
      <c r="AP207">
        <v>0</v>
      </c>
      <c r="AQ207">
        <v>0</v>
      </c>
      <c r="AR207">
        <v>0</v>
      </c>
      <c r="AS207">
        <v>0</v>
      </c>
      <c r="AT207">
        <v>0</v>
      </c>
      <c r="AU207">
        <v>0</v>
      </c>
      <c r="AV207">
        <v>0</v>
      </c>
      <c r="AW207">
        <v>1</v>
      </c>
      <c r="AX207">
        <v>2</v>
      </c>
      <c r="AY207">
        <v>2</v>
      </c>
      <c r="AZ207">
        <v>1</v>
      </c>
      <c r="BA207">
        <v>1</v>
      </c>
      <c r="BB207">
        <v>1</v>
      </c>
      <c r="BC207" s="21">
        <v>8</v>
      </c>
      <c r="BD207">
        <v>1</v>
      </c>
      <c r="BE207">
        <v>1</v>
      </c>
      <c r="BF207">
        <v>0</v>
      </c>
      <c r="BG207" s="21">
        <v>4</v>
      </c>
    </row>
    <row r="208" spans="1:59" ht="15" customHeight="1" x14ac:dyDescent="0.25">
      <c r="A208" t="s">
        <v>294</v>
      </c>
      <c r="B208" s="21">
        <v>66</v>
      </c>
      <c r="C208" s="21">
        <v>1</v>
      </c>
      <c r="E208" s="21">
        <v>1</v>
      </c>
      <c r="F208" s="21">
        <v>2</v>
      </c>
      <c r="G208" s="21">
        <v>2</v>
      </c>
      <c r="H208" s="21">
        <v>2</v>
      </c>
      <c r="I208" s="21">
        <v>2</v>
      </c>
      <c r="J208">
        <v>2</v>
      </c>
      <c r="K208" s="21">
        <v>2</v>
      </c>
      <c r="L208" s="21">
        <v>2</v>
      </c>
      <c r="M208" s="21">
        <v>2</v>
      </c>
      <c r="N208" s="21">
        <v>2</v>
      </c>
      <c r="O208">
        <v>15.2</v>
      </c>
      <c r="P208">
        <v>43.6</v>
      </c>
      <c r="Q208">
        <v>90</v>
      </c>
      <c r="R208">
        <v>14</v>
      </c>
      <c r="S208">
        <v>5.5</v>
      </c>
      <c r="T208">
        <v>164</v>
      </c>
      <c r="U208">
        <v>106</v>
      </c>
      <c r="V208">
        <v>40</v>
      </c>
      <c r="W208">
        <v>87</v>
      </c>
      <c r="X208">
        <v>17</v>
      </c>
      <c r="Y208">
        <v>222</v>
      </c>
      <c r="AG208">
        <v>1</v>
      </c>
      <c r="AH208">
        <v>1</v>
      </c>
      <c r="AI208">
        <v>2</v>
      </c>
      <c r="AL208">
        <v>2</v>
      </c>
      <c r="AM208">
        <v>2</v>
      </c>
      <c r="AN208">
        <v>100</v>
      </c>
      <c r="AO208">
        <v>1</v>
      </c>
      <c r="AP208">
        <v>1</v>
      </c>
      <c r="AQ208">
        <v>2</v>
      </c>
      <c r="AR208">
        <v>2</v>
      </c>
      <c r="AS208">
        <v>1</v>
      </c>
      <c r="AT208">
        <v>1</v>
      </c>
      <c r="AU208">
        <v>1</v>
      </c>
      <c r="AV208">
        <v>0</v>
      </c>
      <c r="AW208">
        <v>0</v>
      </c>
      <c r="AX208">
        <v>0</v>
      </c>
      <c r="AY208">
        <v>0</v>
      </c>
      <c r="AZ208">
        <v>0</v>
      </c>
      <c r="BA208">
        <v>0</v>
      </c>
      <c r="BB208">
        <v>0</v>
      </c>
      <c r="BC208" s="21">
        <v>9</v>
      </c>
      <c r="BD208">
        <v>1</v>
      </c>
      <c r="BE208">
        <v>1</v>
      </c>
      <c r="BF208" t="s">
        <v>1051</v>
      </c>
      <c r="BG208" s="21">
        <v>1</v>
      </c>
    </row>
    <row r="209" spans="1:59" ht="15" customHeight="1" x14ac:dyDescent="0.25">
      <c r="A209" t="s">
        <v>71</v>
      </c>
      <c r="B209" s="21">
        <v>73</v>
      </c>
      <c r="C209" s="21">
        <v>1</v>
      </c>
      <c r="D209" s="21">
        <v>0</v>
      </c>
      <c r="E209" s="21">
        <v>1</v>
      </c>
      <c r="F209" s="21">
        <v>2</v>
      </c>
      <c r="G209" s="21">
        <v>2</v>
      </c>
      <c r="H209" s="21">
        <v>2</v>
      </c>
      <c r="I209" s="21">
        <v>2</v>
      </c>
      <c r="J209">
        <v>2</v>
      </c>
      <c r="K209" s="21">
        <v>2</v>
      </c>
      <c r="L209" s="21">
        <v>2</v>
      </c>
      <c r="M209" s="21">
        <v>2</v>
      </c>
      <c r="N209" s="21">
        <v>2</v>
      </c>
      <c r="O209">
        <v>14.3</v>
      </c>
      <c r="R209">
        <v>10.85</v>
      </c>
      <c r="S209">
        <v>5.4</v>
      </c>
      <c r="T209">
        <v>139</v>
      </c>
      <c r="U209">
        <v>88</v>
      </c>
      <c r="V209">
        <v>41</v>
      </c>
      <c r="W209">
        <v>50</v>
      </c>
      <c r="Y209">
        <v>601</v>
      </c>
      <c r="AG209">
        <v>1</v>
      </c>
      <c r="AH209">
        <v>1</v>
      </c>
      <c r="AI209">
        <v>2</v>
      </c>
      <c r="AK209">
        <v>4</v>
      </c>
      <c r="AN209">
        <v>100</v>
      </c>
      <c r="AO209">
        <v>1</v>
      </c>
      <c r="AP209">
        <v>2</v>
      </c>
      <c r="AQ209">
        <v>2</v>
      </c>
      <c r="AR209">
        <v>2</v>
      </c>
      <c r="AS209">
        <v>1</v>
      </c>
      <c r="AT209">
        <v>1</v>
      </c>
      <c r="AU209">
        <v>1</v>
      </c>
      <c r="AV209">
        <v>0</v>
      </c>
      <c r="AW209">
        <v>0</v>
      </c>
      <c r="AX209">
        <v>0</v>
      </c>
      <c r="AY209">
        <v>0</v>
      </c>
      <c r="AZ209">
        <v>0</v>
      </c>
      <c r="BA209">
        <v>0</v>
      </c>
      <c r="BB209">
        <v>0</v>
      </c>
      <c r="BC209" s="21">
        <v>10</v>
      </c>
      <c r="BD209">
        <v>1</v>
      </c>
      <c r="BE209">
        <v>1</v>
      </c>
      <c r="BF209">
        <v>0</v>
      </c>
      <c r="BG209" s="21">
        <v>0</v>
      </c>
    </row>
    <row r="210" spans="1:59" ht="15" customHeight="1" x14ac:dyDescent="0.25">
      <c r="A210" t="s">
        <v>100</v>
      </c>
      <c r="B210" s="21">
        <v>65</v>
      </c>
      <c r="C210" s="21">
        <v>1</v>
      </c>
      <c r="E210" s="21">
        <v>1</v>
      </c>
      <c r="N210" s="21">
        <v>1</v>
      </c>
      <c r="O210">
        <v>13.3</v>
      </c>
      <c r="P210">
        <v>42</v>
      </c>
      <c r="Q210">
        <v>91.2</v>
      </c>
      <c r="R210">
        <v>7.35</v>
      </c>
      <c r="T210">
        <v>167</v>
      </c>
      <c r="U210">
        <v>114</v>
      </c>
      <c r="V210">
        <v>33</v>
      </c>
      <c r="W210">
        <v>98</v>
      </c>
      <c r="Y210">
        <v>2000</v>
      </c>
      <c r="AG210">
        <v>1</v>
      </c>
      <c r="AH210">
        <v>2</v>
      </c>
      <c r="AI210">
        <v>2</v>
      </c>
      <c r="AK210">
        <v>2</v>
      </c>
      <c r="AN210">
        <v>100</v>
      </c>
      <c r="AO210">
        <v>1</v>
      </c>
      <c r="AP210">
        <v>2</v>
      </c>
      <c r="AQ210">
        <v>2</v>
      </c>
      <c r="AR210">
        <v>2</v>
      </c>
      <c r="AS210">
        <v>1</v>
      </c>
      <c r="AT210">
        <v>1</v>
      </c>
      <c r="AU210">
        <v>1</v>
      </c>
      <c r="AV210">
        <v>0</v>
      </c>
      <c r="AW210">
        <v>0</v>
      </c>
      <c r="AX210">
        <v>0</v>
      </c>
      <c r="AY210">
        <v>0</v>
      </c>
      <c r="AZ210">
        <v>0</v>
      </c>
      <c r="BA210">
        <v>0</v>
      </c>
      <c r="BB210">
        <v>0</v>
      </c>
      <c r="BC210" s="21">
        <v>10</v>
      </c>
      <c r="BD210">
        <v>1</v>
      </c>
      <c r="BE210">
        <v>0</v>
      </c>
      <c r="BF210">
        <v>0</v>
      </c>
      <c r="BG210" s="21">
        <v>1</v>
      </c>
    </row>
    <row r="211" spans="1:59" ht="15" customHeight="1" x14ac:dyDescent="0.25">
      <c r="A211" t="s">
        <v>150</v>
      </c>
      <c r="B211" s="21">
        <v>50</v>
      </c>
      <c r="C211" s="21">
        <v>1</v>
      </c>
      <c r="D211" s="21">
        <v>6</v>
      </c>
      <c r="E211" s="21">
        <v>1</v>
      </c>
      <c r="F211" s="21">
        <v>2</v>
      </c>
      <c r="G211" s="21">
        <v>2</v>
      </c>
      <c r="H211" s="21">
        <v>2</v>
      </c>
      <c r="I211" s="21">
        <v>2</v>
      </c>
      <c r="J211">
        <v>2</v>
      </c>
      <c r="K211" s="21">
        <v>2</v>
      </c>
      <c r="L211" s="21">
        <v>2</v>
      </c>
      <c r="M211" s="21">
        <v>2</v>
      </c>
      <c r="N211" s="21">
        <v>2</v>
      </c>
      <c r="O211">
        <v>14.5</v>
      </c>
      <c r="P211">
        <v>43.3</v>
      </c>
      <c r="Q211">
        <v>97.9</v>
      </c>
      <c r="R211">
        <v>10.9</v>
      </c>
      <c r="S211">
        <v>5.6</v>
      </c>
      <c r="T211">
        <v>183</v>
      </c>
      <c r="U211">
        <v>93</v>
      </c>
      <c r="V211">
        <v>35</v>
      </c>
      <c r="W211">
        <v>274</v>
      </c>
      <c r="X211">
        <v>54</v>
      </c>
      <c r="Y211">
        <v>148</v>
      </c>
      <c r="AG211">
        <v>1</v>
      </c>
      <c r="AH211">
        <v>2</v>
      </c>
      <c r="AI211">
        <v>1</v>
      </c>
      <c r="AJ211">
        <v>1</v>
      </c>
      <c r="AN211">
        <v>100</v>
      </c>
      <c r="AO211">
        <v>0</v>
      </c>
      <c r="AP211">
        <v>0</v>
      </c>
      <c r="AQ211">
        <v>0</v>
      </c>
      <c r="AR211">
        <v>0</v>
      </c>
      <c r="AS211">
        <v>0</v>
      </c>
      <c r="AT211">
        <v>0</v>
      </c>
      <c r="AU211">
        <v>0</v>
      </c>
      <c r="AV211">
        <v>1</v>
      </c>
      <c r="AW211">
        <v>2</v>
      </c>
      <c r="AX211">
        <v>2</v>
      </c>
      <c r="AY211">
        <v>2</v>
      </c>
      <c r="AZ211">
        <v>1</v>
      </c>
      <c r="BA211">
        <v>1</v>
      </c>
      <c r="BB211">
        <v>1</v>
      </c>
      <c r="BC211" s="21">
        <v>10</v>
      </c>
      <c r="BD211">
        <v>1</v>
      </c>
      <c r="BE211">
        <v>1</v>
      </c>
      <c r="BF211">
        <v>0</v>
      </c>
      <c r="BG211" s="21">
        <v>0</v>
      </c>
    </row>
    <row r="212" spans="1:59" ht="15" customHeight="1" x14ac:dyDescent="0.25">
      <c r="A212" t="s">
        <v>62</v>
      </c>
      <c r="B212" s="21">
        <v>88</v>
      </c>
      <c r="C212" s="21">
        <v>1</v>
      </c>
      <c r="D212" s="21">
        <v>5</v>
      </c>
      <c r="E212" s="21">
        <v>1</v>
      </c>
      <c r="F212" s="21">
        <v>1</v>
      </c>
      <c r="G212" s="21">
        <v>2</v>
      </c>
      <c r="H212" s="21">
        <v>2</v>
      </c>
      <c r="I212" s="21">
        <v>2</v>
      </c>
      <c r="J212">
        <v>2</v>
      </c>
      <c r="K212" s="21">
        <v>2</v>
      </c>
      <c r="L212" s="21">
        <v>2</v>
      </c>
      <c r="M212" s="21">
        <v>2</v>
      </c>
      <c r="O212">
        <v>14.2</v>
      </c>
      <c r="P212">
        <v>44.3</v>
      </c>
      <c r="Q212">
        <v>78.599999999999994</v>
      </c>
      <c r="R212">
        <v>17</v>
      </c>
      <c r="S212">
        <v>9.5</v>
      </c>
      <c r="T212">
        <v>146</v>
      </c>
      <c r="U212">
        <v>84</v>
      </c>
      <c r="V212">
        <v>37</v>
      </c>
      <c r="W212">
        <v>123</v>
      </c>
      <c r="X212">
        <v>24</v>
      </c>
      <c r="Y212">
        <v>220</v>
      </c>
      <c r="AG212">
        <v>1</v>
      </c>
      <c r="AH212">
        <v>1</v>
      </c>
      <c r="AI212">
        <v>2</v>
      </c>
      <c r="AN212">
        <v>100</v>
      </c>
      <c r="AO212">
        <v>0</v>
      </c>
      <c r="AP212">
        <v>2</v>
      </c>
      <c r="AQ212">
        <v>2</v>
      </c>
      <c r="AR212">
        <v>2</v>
      </c>
      <c r="AS212">
        <v>1</v>
      </c>
      <c r="AT212">
        <v>1</v>
      </c>
      <c r="AU212">
        <v>1</v>
      </c>
      <c r="AV212">
        <v>0</v>
      </c>
      <c r="AW212">
        <v>0</v>
      </c>
      <c r="AX212">
        <v>0</v>
      </c>
      <c r="AY212">
        <v>0</v>
      </c>
      <c r="AZ212">
        <v>0</v>
      </c>
      <c r="BA212">
        <v>0</v>
      </c>
      <c r="BB212">
        <v>0</v>
      </c>
      <c r="BC212" s="21">
        <v>9</v>
      </c>
      <c r="BD212">
        <v>1</v>
      </c>
      <c r="BE212">
        <v>1</v>
      </c>
      <c r="BF212">
        <v>0</v>
      </c>
      <c r="BG212" s="21">
        <v>0</v>
      </c>
    </row>
    <row r="213" spans="1:59" ht="15" customHeight="1" x14ac:dyDescent="0.25">
      <c r="A213" t="s">
        <v>58</v>
      </c>
      <c r="B213" s="21">
        <v>55</v>
      </c>
      <c r="C213" s="21">
        <v>1</v>
      </c>
      <c r="D213" s="21">
        <v>8</v>
      </c>
      <c r="E213" s="21">
        <v>1</v>
      </c>
      <c r="F213" s="21">
        <v>2</v>
      </c>
      <c r="G213" s="21">
        <v>1</v>
      </c>
      <c r="H213" s="21">
        <v>2</v>
      </c>
      <c r="I213" s="21">
        <v>2</v>
      </c>
      <c r="J213">
        <v>2</v>
      </c>
      <c r="K213" s="21">
        <v>2</v>
      </c>
      <c r="L213" s="21">
        <v>1</v>
      </c>
      <c r="M213" s="21">
        <v>2</v>
      </c>
      <c r="N213" s="21">
        <v>1</v>
      </c>
      <c r="O213">
        <v>15.2</v>
      </c>
      <c r="P213">
        <v>46.1</v>
      </c>
      <c r="Q213">
        <v>72.3</v>
      </c>
      <c r="R213">
        <v>24.49</v>
      </c>
      <c r="T213">
        <v>125</v>
      </c>
      <c r="U213">
        <v>89</v>
      </c>
      <c r="V213">
        <v>45</v>
      </c>
      <c r="W213">
        <v>54</v>
      </c>
      <c r="X213">
        <v>10.8</v>
      </c>
      <c r="Y213">
        <v>2000</v>
      </c>
      <c r="AG213">
        <v>1</v>
      </c>
      <c r="AI213">
        <v>2</v>
      </c>
      <c r="AK213">
        <v>4</v>
      </c>
      <c r="AN213">
        <v>100</v>
      </c>
      <c r="AO213">
        <v>0</v>
      </c>
      <c r="AP213">
        <v>0</v>
      </c>
      <c r="AQ213">
        <v>0</v>
      </c>
      <c r="AR213">
        <v>0</v>
      </c>
      <c r="AS213">
        <v>0</v>
      </c>
      <c r="AT213">
        <v>0</v>
      </c>
      <c r="AU213">
        <v>0</v>
      </c>
      <c r="AV213">
        <v>1</v>
      </c>
      <c r="AW213">
        <v>2</v>
      </c>
      <c r="AX213">
        <v>2</v>
      </c>
      <c r="AY213">
        <v>1</v>
      </c>
      <c r="AZ213">
        <v>1</v>
      </c>
      <c r="BA213">
        <v>1</v>
      </c>
      <c r="BB213">
        <v>1</v>
      </c>
      <c r="BC213" s="21">
        <v>9</v>
      </c>
      <c r="BD213">
        <v>1</v>
      </c>
      <c r="BE213">
        <v>1</v>
      </c>
      <c r="BF213">
        <v>0</v>
      </c>
      <c r="BG213" s="21">
        <v>0</v>
      </c>
    </row>
    <row r="214" spans="1:59" ht="15" customHeight="1" x14ac:dyDescent="0.25">
      <c r="A214" t="s">
        <v>904</v>
      </c>
      <c r="B214" s="21">
        <v>60</v>
      </c>
      <c r="C214" s="21">
        <v>2</v>
      </c>
      <c r="D214" s="21">
        <v>10</v>
      </c>
      <c r="E214" s="21">
        <v>1</v>
      </c>
      <c r="F214" s="21">
        <v>1</v>
      </c>
      <c r="G214" s="21">
        <v>2</v>
      </c>
      <c r="H214" s="21">
        <v>2</v>
      </c>
      <c r="I214" s="21">
        <v>2</v>
      </c>
      <c r="J214">
        <v>2</v>
      </c>
      <c r="K214" s="21">
        <v>2</v>
      </c>
      <c r="L214" s="21">
        <v>2</v>
      </c>
      <c r="M214" s="21">
        <v>2</v>
      </c>
      <c r="N214" s="21">
        <v>2</v>
      </c>
      <c r="O214">
        <v>13.2</v>
      </c>
      <c r="R214">
        <v>22.7</v>
      </c>
      <c r="S214">
        <v>6.7</v>
      </c>
      <c r="T214">
        <v>185</v>
      </c>
      <c r="U214">
        <v>122</v>
      </c>
      <c r="V214">
        <v>50</v>
      </c>
      <c r="W214">
        <v>63</v>
      </c>
      <c r="X214">
        <v>12.6</v>
      </c>
      <c r="Y214">
        <v>229</v>
      </c>
      <c r="AG214">
        <v>1</v>
      </c>
      <c r="AH214">
        <v>1</v>
      </c>
      <c r="AI214">
        <v>2</v>
      </c>
      <c r="AK214">
        <v>4</v>
      </c>
      <c r="AL214">
        <v>2</v>
      </c>
      <c r="AM214">
        <v>2</v>
      </c>
      <c r="AN214">
        <v>100</v>
      </c>
      <c r="AO214">
        <v>0</v>
      </c>
      <c r="AP214">
        <v>2</v>
      </c>
      <c r="AQ214">
        <v>2</v>
      </c>
      <c r="AR214">
        <v>2</v>
      </c>
      <c r="AS214">
        <v>1</v>
      </c>
      <c r="AT214">
        <v>1</v>
      </c>
      <c r="AU214">
        <v>1</v>
      </c>
      <c r="AV214">
        <v>0</v>
      </c>
      <c r="AW214">
        <v>0</v>
      </c>
      <c r="AX214">
        <v>0</v>
      </c>
      <c r="AY214">
        <v>0</v>
      </c>
      <c r="AZ214">
        <v>0</v>
      </c>
      <c r="BA214">
        <v>0</v>
      </c>
      <c r="BB214">
        <v>0</v>
      </c>
      <c r="BC214" s="21">
        <v>9</v>
      </c>
      <c r="BD214">
        <v>1</v>
      </c>
      <c r="BE214">
        <v>1</v>
      </c>
      <c r="BF214">
        <v>1</v>
      </c>
      <c r="BG214" s="21">
        <v>1</v>
      </c>
    </row>
    <row r="215" spans="1:59" ht="15" customHeight="1" x14ac:dyDescent="0.25">
      <c r="A215" t="s">
        <v>281</v>
      </c>
      <c r="B215" s="21">
        <v>81</v>
      </c>
      <c r="C215" s="21">
        <v>1</v>
      </c>
      <c r="D215" s="21">
        <v>2</v>
      </c>
      <c r="E215" s="21">
        <v>2</v>
      </c>
      <c r="F215" s="21">
        <v>2</v>
      </c>
      <c r="G215" s="21">
        <v>2</v>
      </c>
      <c r="H215" s="21">
        <v>2</v>
      </c>
      <c r="I215" s="21">
        <v>2</v>
      </c>
      <c r="J215">
        <v>2</v>
      </c>
      <c r="K215" s="21">
        <v>2</v>
      </c>
      <c r="L215" s="21">
        <v>2</v>
      </c>
      <c r="M215" s="21">
        <v>2</v>
      </c>
      <c r="N215" s="21">
        <v>2</v>
      </c>
      <c r="O215">
        <v>11.6</v>
      </c>
      <c r="P215">
        <v>35.1</v>
      </c>
      <c r="Q215">
        <v>87.6</v>
      </c>
      <c r="R215">
        <v>42.7</v>
      </c>
      <c r="T215">
        <v>173</v>
      </c>
      <c r="U215">
        <v>112</v>
      </c>
      <c r="V215">
        <v>49</v>
      </c>
      <c r="W215">
        <v>60</v>
      </c>
      <c r="X215">
        <v>12</v>
      </c>
      <c r="Y215">
        <v>148</v>
      </c>
      <c r="AG215">
        <v>1</v>
      </c>
      <c r="AH215">
        <v>1</v>
      </c>
      <c r="AI215">
        <v>2</v>
      </c>
      <c r="AK215">
        <v>4</v>
      </c>
      <c r="AL215">
        <v>2</v>
      </c>
      <c r="AM215">
        <v>2</v>
      </c>
      <c r="AN215">
        <v>65</v>
      </c>
      <c r="AO215">
        <v>0</v>
      </c>
      <c r="AP215">
        <v>0</v>
      </c>
      <c r="AQ215">
        <v>0</v>
      </c>
      <c r="AR215">
        <v>0</v>
      </c>
      <c r="AS215">
        <v>0</v>
      </c>
      <c r="AT215">
        <v>0</v>
      </c>
      <c r="AU215">
        <v>0</v>
      </c>
      <c r="AV215">
        <v>1</v>
      </c>
      <c r="AW215">
        <v>2</v>
      </c>
      <c r="AX215">
        <v>2</v>
      </c>
      <c r="AY215">
        <v>2</v>
      </c>
      <c r="AZ215">
        <v>1</v>
      </c>
      <c r="BA215">
        <v>1</v>
      </c>
      <c r="BB215">
        <v>1</v>
      </c>
      <c r="BC215" s="21">
        <v>10</v>
      </c>
      <c r="BD215">
        <v>0</v>
      </c>
      <c r="BE215">
        <v>0</v>
      </c>
      <c r="BF215">
        <v>0</v>
      </c>
      <c r="BG215" s="21">
        <v>1</v>
      </c>
    </row>
    <row r="216" spans="1:59" ht="15" customHeight="1" x14ac:dyDescent="0.25">
      <c r="A216" s="8" t="s">
        <v>18</v>
      </c>
      <c r="B216" s="21">
        <v>59</v>
      </c>
      <c r="C216" s="21">
        <v>1</v>
      </c>
      <c r="D216" s="21">
        <v>27</v>
      </c>
      <c r="E216" s="21">
        <v>1</v>
      </c>
      <c r="F216" s="21">
        <v>1</v>
      </c>
      <c r="G216" s="21">
        <v>1</v>
      </c>
      <c r="H216" s="21">
        <v>1</v>
      </c>
      <c r="I216" s="21">
        <v>2</v>
      </c>
      <c r="J216" s="8">
        <v>2</v>
      </c>
      <c r="K216" s="21">
        <v>2</v>
      </c>
      <c r="L216" s="21">
        <v>2</v>
      </c>
      <c r="M216" s="21">
        <v>2</v>
      </c>
      <c r="N216" s="21">
        <v>1</v>
      </c>
      <c r="O216" s="8">
        <v>11.3</v>
      </c>
      <c r="P216" s="8">
        <v>37</v>
      </c>
      <c r="Q216" s="8">
        <v>81.8</v>
      </c>
      <c r="R216" s="8">
        <v>6.67</v>
      </c>
      <c r="S216" s="8">
        <v>8.5</v>
      </c>
      <c r="T216" s="8">
        <v>85</v>
      </c>
      <c r="U216" s="8">
        <v>30.8</v>
      </c>
      <c r="V216" s="8">
        <v>38</v>
      </c>
      <c r="W216" s="8">
        <v>81</v>
      </c>
      <c r="X216" s="8"/>
      <c r="Y216" s="8">
        <v>883</v>
      </c>
      <c r="Z216" s="8"/>
      <c r="AA216" s="8"/>
      <c r="AB216" s="8"/>
      <c r="AC216" s="8"/>
      <c r="AD216" s="8"/>
      <c r="AE216" s="8"/>
      <c r="AG216" s="8">
        <v>1</v>
      </c>
      <c r="AH216" s="8">
        <v>2</v>
      </c>
      <c r="AI216" s="8">
        <v>2</v>
      </c>
      <c r="AJ216" s="8"/>
      <c r="AK216" s="8">
        <v>4</v>
      </c>
      <c r="AL216" s="8"/>
      <c r="AM216" s="8"/>
      <c r="AN216" s="8">
        <v>0</v>
      </c>
      <c r="AO216" s="8"/>
      <c r="AP216" s="8"/>
      <c r="AQ216" s="8"/>
      <c r="AR216" s="8"/>
      <c r="AS216" s="8"/>
      <c r="AT216" s="8"/>
      <c r="AU216" s="8"/>
      <c r="AV216" s="8">
        <v>0</v>
      </c>
      <c r="AW216" s="8">
        <v>0</v>
      </c>
      <c r="AX216" s="8">
        <v>2</v>
      </c>
      <c r="AY216" s="8">
        <v>2</v>
      </c>
      <c r="AZ216" s="8">
        <v>2</v>
      </c>
      <c r="BA216" s="8">
        <v>1</v>
      </c>
      <c r="BB216" s="8">
        <v>1</v>
      </c>
      <c r="BC216" s="21">
        <v>8</v>
      </c>
      <c r="BD216" s="8">
        <v>0</v>
      </c>
      <c r="BE216" s="8">
        <v>0</v>
      </c>
      <c r="BF216" s="8" t="s">
        <v>1051</v>
      </c>
      <c r="BG216" s="21">
        <v>6</v>
      </c>
    </row>
    <row r="217" spans="1:59" ht="15" customHeight="1" x14ac:dyDescent="0.25">
      <c r="A217" t="s">
        <v>126</v>
      </c>
      <c r="B217" s="21">
        <v>53</v>
      </c>
      <c r="C217" s="21">
        <v>1</v>
      </c>
      <c r="E217" s="21">
        <v>2</v>
      </c>
      <c r="F217" s="21">
        <v>2</v>
      </c>
      <c r="G217" s="21">
        <v>2</v>
      </c>
      <c r="H217" s="21">
        <v>2</v>
      </c>
      <c r="I217" s="21">
        <v>2</v>
      </c>
      <c r="J217">
        <v>2</v>
      </c>
      <c r="K217" s="21">
        <v>2</v>
      </c>
      <c r="L217" s="21">
        <v>2</v>
      </c>
      <c r="M217" s="21">
        <v>2</v>
      </c>
      <c r="N217" s="21">
        <v>2</v>
      </c>
      <c r="O217">
        <v>13</v>
      </c>
      <c r="P217">
        <v>39.6</v>
      </c>
      <c r="Q217">
        <v>79</v>
      </c>
      <c r="R217">
        <v>10.9</v>
      </c>
      <c r="S217">
        <v>6.5</v>
      </c>
      <c r="T217">
        <v>191</v>
      </c>
      <c r="U217">
        <v>131.80000000000001</v>
      </c>
      <c r="V217">
        <v>45</v>
      </c>
      <c r="W217">
        <v>71</v>
      </c>
      <c r="X217">
        <v>14.2</v>
      </c>
      <c r="Y217">
        <v>2000</v>
      </c>
      <c r="AG217">
        <v>1</v>
      </c>
      <c r="AH217">
        <v>1</v>
      </c>
      <c r="AI217">
        <v>2</v>
      </c>
      <c r="AK217">
        <v>4</v>
      </c>
      <c r="AN217">
        <v>100</v>
      </c>
      <c r="AO217">
        <v>0</v>
      </c>
      <c r="AP217">
        <v>0</v>
      </c>
      <c r="AQ217">
        <v>0</v>
      </c>
      <c r="AR217">
        <v>0</v>
      </c>
      <c r="AS217">
        <v>0</v>
      </c>
      <c r="AT217">
        <v>0</v>
      </c>
      <c r="AU217">
        <v>0</v>
      </c>
      <c r="AV217">
        <v>0</v>
      </c>
      <c r="AW217">
        <v>1</v>
      </c>
      <c r="AX217">
        <v>0</v>
      </c>
      <c r="AY217">
        <v>2</v>
      </c>
      <c r="AZ217">
        <v>1</v>
      </c>
      <c r="BA217">
        <v>1</v>
      </c>
      <c r="BB217">
        <v>1</v>
      </c>
      <c r="BC217" s="21">
        <v>6</v>
      </c>
      <c r="BD217">
        <v>1</v>
      </c>
      <c r="BE217">
        <v>1</v>
      </c>
      <c r="BF217">
        <v>0</v>
      </c>
      <c r="BG217" s="21">
        <v>0</v>
      </c>
    </row>
    <row r="218" spans="1:59" s="8" customFormat="1" ht="15" customHeight="1" x14ac:dyDescent="0.25">
      <c r="A218" t="s">
        <v>285</v>
      </c>
      <c r="B218" s="21">
        <v>67</v>
      </c>
      <c r="C218" s="21">
        <v>1</v>
      </c>
      <c r="D218" s="21"/>
      <c r="E218" s="21">
        <v>1</v>
      </c>
      <c r="F218" s="21">
        <v>1</v>
      </c>
      <c r="G218" s="21">
        <v>2</v>
      </c>
      <c r="H218" s="21">
        <v>1</v>
      </c>
      <c r="I218" s="21">
        <v>2</v>
      </c>
      <c r="J218">
        <v>2</v>
      </c>
      <c r="K218" s="21">
        <v>2</v>
      </c>
      <c r="L218" s="21">
        <v>2</v>
      </c>
      <c r="M218" s="21">
        <v>2</v>
      </c>
      <c r="N218" s="21">
        <v>2</v>
      </c>
      <c r="O218">
        <v>12.9</v>
      </c>
      <c r="P218">
        <v>40.1</v>
      </c>
      <c r="Q218">
        <v>78.3</v>
      </c>
      <c r="R218">
        <v>4.7699999999999996</v>
      </c>
      <c r="S218"/>
      <c r="T218">
        <v>10.4</v>
      </c>
      <c r="U218">
        <v>111</v>
      </c>
      <c r="V218">
        <v>32</v>
      </c>
      <c r="W218">
        <v>294</v>
      </c>
      <c r="X218">
        <v>58.8</v>
      </c>
      <c r="Y218">
        <v>770</v>
      </c>
      <c r="Z218"/>
      <c r="AA218"/>
      <c r="AB218"/>
      <c r="AC218"/>
      <c r="AD218"/>
      <c r="AE218"/>
      <c r="AF218" s="21"/>
      <c r="AG218"/>
      <c r="AH218"/>
      <c r="AI218"/>
      <c r="AJ218"/>
      <c r="AK218"/>
      <c r="AL218"/>
      <c r="AM218"/>
      <c r="AN218">
        <v>100</v>
      </c>
      <c r="AO218">
        <v>1</v>
      </c>
      <c r="AP218">
        <v>1</v>
      </c>
      <c r="AQ218">
        <v>2</v>
      </c>
      <c r="AR218">
        <v>2</v>
      </c>
      <c r="AS218">
        <v>1</v>
      </c>
      <c r="AT218">
        <v>1</v>
      </c>
      <c r="AU218">
        <v>1</v>
      </c>
      <c r="AV218">
        <v>0</v>
      </c>
      <c r="AW218">
        <v>0</v>
      </c>
      <c r="AX218">
        <v>0</v>
      </c>
      <c r="AY218">
        <v>0</v>
      </c>
      <c r="AZ218">
        <v>0</v>
      </c>
      <c r="BA218">
        <v>0</v>
      </c>
      <c r="BB218">
        <v>0</v>
      </c>
      <c r="BC218" s="21">
        <v>9</v>
      </c>
      <c r="BD218">
        <v>1</v>
      </c>
      <c r="BE218">
        <v>1</v>
      </c>
      <c r="BF218">
        <v>0</v>
      </c>
      <c r="BG218" s="21">
        <v>1</v>
      </c>
    </row>
    <row r="219" spans="1:59" ht="15" customHeight="1" x14ac:dyDescent="0.25">
      <c r="A219" t="s">
        <v>326</v>
      </c>
      <c r="B219" s="21">
        <v>58</v>
      </c>
      <c r="C219" s="21">
        <v>1</v>
      </c>
      <c r="D219" s="21">
        <v>7</v>
      </c>
      <c r="E219" s="21">
        <v>2</v>
      </c>
      <c r="F219" s="21">
        <v>2</v>
      </c>
      <c r="G219" s="21">
        <v>1</v>
      </c>
      <c r="H219" s="21">
        <v>2</v>
      </c>
      <c r="I219" s="21">
        <v>2</v>
      </c>
      <c r="J219">
        <v>2</v>
      </c>
      <c r="K219" s="21">
        <v>2</v>
      </c>
      <c r="L219" s="21">
        <v>2</v>
      </c>
      <c r="M219" s="21">
        <v>2</v>
      </c>
      <c r="N219" s="21">
        <v>2</v>
      </c>
      <c r="O219">
        <v>15.4</v>
      </c>
      <c r="P219">
        <v>45.8</v>
      </c>
      <c r="Q219">
        <v>99.8</v>
      </c>
      <c r="R219">
        <v>15.67</v>
      </c>
      <c r="S219">
        <v>5.6</v>
      </c>
      <c r="Y219">
        <v>2000</v>
      </c>
      <c r="AG219">
        <v>1</v>
      </c>
      <c r="AH219">
        <v>1</v>
      </c>
      <c r="AI219">
        <v>2</v>
      </c>
      <c r="AL219">
        <v>2</v>
      </c>
      <c r="AM219">
        <v>2</v>
      </c>
      <c r="AN219">
        <v>65</v>
      </c>
      <c r="AO219">
        <v>0</v>
      </c>
      <c r="AP219">
        <v>2</v>
      </c>
      <c r="AQ219">
        <v>1</v>
      </c>
      <c r="AR219">
        <v>2</v>
      </c>
      <c r="AS219">
        <v>1</v>
      </c>
      <c r="AT219">
        <v>1</v>
      </c>
      <c r="AU219">
        <v>1</v>
      </c>
      <c r="AV219">
        <v>0</v>
      </c>
      <c r="AW219">
        <v>0</v>
      </c>
      <c r="AX219">
        <v>0</v>
      </c>
      <c r="AY219">
        <v>0</v>
      </c>
      <c r="AZ219">
        <v>0</v>
      </c>
      <c r="BA219">
        <v>0</v>
      </c>
      <c r="BB219">
        <v>0</v>
      </c>
      <c r="BC219" s="21">
        <v>8</v>
      </c>
      <c r="BD219">
        <v>1</v>
      </c>
      <c r="BE219">
        <v>1</v>
      </c>
      <c r="BF219">
        <v>0</v>
      </c>
      <c r="BG219" s="21">
        <v>4</v>
      </c>
    </row>
    <row r="220" spans="1:59" s="8" customFormat="1" ht="15" customHeight="1" x14ac:dyDescent="0.25">
      <c r="A220" t="s">
        <v>319</v>
      </c>
      <c r="B220" s="21">
        <v>32</v>
      </c>
      <c r="C220" s="21">
        <v>1</v>
      </c>
      <c r="D220" s="21">
        <v>10</v>
      </c>
      <c r="E220" s="21">
        <v>2</v>
      </c>
      <c r="F220" s="21">
        <v>2</v>
      </c>
      <c r="G220" s="21">
        <v>2</v>
      </c>
      <c r="H220" s="21">
        <v>2</v>
      </c>
      <c r="I220" s="21">
        <v>2</v>
      </c>
      <c r="J220">
        <v>2</v>
      </c>
      <c r="K220" s="21">
        <v>2</v>
      </c>
      <c r="L220" s="21">
        <v>2</v>
      </c>
      <c r="M220" s="21">
        <v>1</v>
      </c>
      <c r="N220" s="21">
        <v>2</v>
      </c>
      <c r="O220">
        <v>14.5</v>
      </c>
      <c r="P220">
        <v>44.6</v>
      </c>
      <c r="Q220">
        <v>80.2</v>
      </c>
      <c r="R220">
        <v>11.6</v>
      </c>
      <c r="S220"/>
      <c r="T220">
        <v>138</v>
      </c>
      <c r="U220">
        <v>81</v>
      </c>
      <c r="V220">
        <v>34</v>
      </c>
      <c r="W220">
        <v>115</v>
      </c>
      <c r="X220">
        <v>23</v>
      </c>
      <c r="Y220">
        <v>313</v>
      </c>
      <c r="Z220"/>
      <c r="AA220"/>
      <c r="AB220"/>
      <c r="AC220"/>
      <c r="AD220"/>
      <c r="AE220"/>
      <c r="AF220" s="21"/>
      <c r="AG220">
        <v>2</v>
      </c>
      <c r="AH220">
        <v>2</v>
      </c>
      <c r="AI220">
        <v>2</v>
      </c>
      <c r="AJ220"/>
      <c r="AK220">
        <v>2</v>
      </c>
      <c r="AL220">
        <v>1</v>
      </c>
      <c r="AM220">
        <v>2</v>
      </c>
      <c r="AN220">
        <v>100</v>
      </c>
      <c r="AO220">
        <v>0</v>
      </c>
      <c r="AP220">
        <v>0</v>
      </c>
      <c r="AQ220">
        <v>0</v>
      </c>
      <c r="AR220">
        <v>0</v>
      </c>
      <c r="AS220">
        <v>0</v>
      </c>
      <c r="AT220">
        <v>0</v>
      </c>
      <c r="AU220">
        <v>0</v>
      </c>
      <c r="AV220">
        <v>1</v>
      </c>
      <c r="AW220">
        <v>2</v>
      </c>
      <c r="AX220">
        <v>0</v>
      </c>
      <c r="AY220">
        <v>0</v>
      </c>
      <c r="AZ220">
        <v>1</v>
      </c>
      <c r="BA220">
        <v>1</v>
      </c>
      <c r="BB220">
        <v>1</v>
      </c>
      <c r="BC220" s="21">
        <v>6</v>
      </c>
      <c r="BD220">
        <v>1</v>
      </c>
      <c r="BE220">
        <v>1</v>
      </c>
      <c r="BF220">
        <v>0</v>
      </c>
      <c r="BG220" s="21">
        <v>1</v>
      </c>
    </row>
    <row r="221" spans="1:59" ht="15" customHeight="1" x14ac:dyDescent="0.25">
      <c r="A221" t="s">
        <v>278</v>
      </c>
      <c r="B221" s="21">
        <v>71</v>
      </c>
      <c r="C221" s="21">
        <v>2</v>
      </c>
      <c r="D221" s="21">
        <v>10</v>
      </c>
      <c r="E221" s="21">
        <v>2</v>
      </c>
      <c r="F221" s="21">
        <v>2</v>
      </c>
      <c r="G221" s="21">
        <v>2</v>
      </c>
      <c r="H221" s="21">
        <v>2</v>
      </c>
      <c r="I221" s="21">
        <v>2</v>
      </c>
      <c r="J221">
        <v>2</v>
      </c>
      <c r="K221" s="21">
        <v>1</v>
      </c>
      <c r="L221" s="21">
        <v>2</v>
      </c>
      <c r="M221" s="21">
        <v>2</v>
      </c>
      <c r="N221" s="21">
        <v>2</v>
      </c>
      <c r="O221">
        <v>11.4</v>
      </c>
      <c r="P221">
        <v>35</v>
      </c>
      <c r="R221">
        <v>25.59</v>
      </c>
      <c r="S221">
        <v>5.5</v>
      </c>
      <c r="T221">
        <v>160</v>
      </c>
      <c r="U221">
        <v>83.2</v>
      </c>
      <c r="V221">
        <v>37</v>
      </c>
      <c r="W221">
        <v>199</v>
      </c>
      <c r="X221">
        <v>39.799999999999997</v>
      </c>
      <c r="AG221">
        <v>1</v>
      </c>
      <c r="AH221">
        <v>1</v>
      </c>
      <c r="AI221">
        <v>2</v>
      </c>
      <c r="AK221">
        <v>4</v>
      </c>
      <c r="AL221">
        <v>1</v>
      </c>
      <c r="AM221">
        <v>2</v>
      </c>
      <c r="AN221">
        <v>0</v>
      </c>
      <c r="AO221">
        <v>1</v>
      </c>
      <c r="AP221">
        <v>2</v>
      </c>
      <c r="AQ221">
        <v>1</v>
      </c>
      <c r="AR221">
        <v>2</v>
      </c>
      <c r="AS221">
        <v>1</v>
      </c>
      <c r="AT221">
        <v>1</v>
      </c>
      <c r="AU221">
        <v>1</v>
      </c>
      <c r="AV221">
        <v>0</v>
      </c>
      <c r="AW221">
        <v>0</v>
      </c>
      <c r="AX221">
        <v>0</v>
      </c>
      <c r="AY221">
        <v>0</v>
      </c>
      <c r="AZ221">
        <v>0</v>
      </c>
      <c r="BA221">
        <v>0</v>
      </c>
      <c r="BB221">
        <v>0</v>
      </c>
      <c r="BC221" s="21">
        <v>9</v>
      </c>
      <c r="BD221">
        <v>1</v>
      </c>
      <c r="BE221">
        <v>0</v>
      </c>
      <c r="BF221">
        <v>0</v>
      </c>
      <c r="BG221" s="21">
        <v>6</v>
      </c>
    </row>
    <row r="222" spans="1:59" s="8" customFormat="1" ht="15" customHeight="1" x14ac:dyDescent="0.25">
      <c r="A222" t="s">
        <v>161</v>
      </c>
      <c r="B222" s="21">
        <v>45</v>
      </c>
      <c r="C222" s="21">
        <v>2</v>
      </c>
      <c r="D222" s="21">
        <v>11</v>
      </c>
      <c r="E222" s="21">
        <v>1</v>
      </c>
      <c r="F222" s="21">
        <v>2</v>
      </c>
      <c r="G222" s="21">
        <v>2</v>
      </c>
      <c r="H222" s="21">
        <v>2</v>
      </c>
      <c r="I222" s="21">
        <v>2</v>
      </c>
      <c r="J222">
        <v>2</v>
      </c>
      <c r="K222" s="21">
        <v>2</v>
      </c>
      <c r="L222" s="21">
        <v>2</v>
      </c>
      <c r="M222" s="21">
        <v>2</v>
      </c>
      <c r="N222" s="21">
        <v>2</v>
      </c>
      <c r="O222">
        <v>13.1</v>
      </c>
      <c r="P222">
        <v>43.3</v>
      </c>
      <c r="Q222">
        <v>70.3</v>
      </c>
      <c r="R222">
        <v>22.79</v>
      </c>
      <c r="S222"/>
      <c r="T222">
        <v>186</v>
      </c>
      <c r="U222">
        <v>129.19999999999999</v>
      </c>
      <c r="V222">
        <v>40</v>
      </c>
      <c r="W222">
        <v>84</v>
      </c>
      <c r="X222">
        <v>16.8</v>
      </c>
      <c r="Y222">
        <v>174</v>
      </c>
      <c r="Z222"/>
      <c r="AA222"/>
      <c r="AB222"/>
      <c r="AC222"/>
      <c r="AD222"/>
      <c r="AE222"/>
      <c r="AF222" s="21"/>
      <c r="AG222">
        <v>1</v>
      </c>
      <c r="AH222">
        <v>1</v>
      </c>
      <c r="AI222">
        <v>2</v>
      </c>
      <c r="AJ222"/>
      <c r="AK222"/>
      <c r="AL222"/>
      <c r="AM222"/>
      <c r="AN222">
        <v>40</v>
      </c>
      <c r="AO222">
        <v>1</v>
      </c>
      <c r="AP222">
        <v>2</v>
      </c>
      <c r="AQ222">
        <v>2</v>
      </c>
      <c r="AR222">
        <v>2</v>
      </c>
      <c r="AS222">
        <v>1</v>
      </c>
      <c r="AT222">
        <v>1</v>
      </c>
      <c r="AU222">
        <v>0</v>
      </c>
      <c r="AV222">
        <v>0</v>
      </c>
      <c r="AW222">
        <v>0</v>
      </c>
      <c r="AX222">
        <v>0</v>
      </c>
      <c r="AY222">
        <v>0</v>
      </c>
      <c r="AZ222">
        <v>0</v>
      </c>
      <c r="BA222">
        <v>0</v>
      </c>
      <c r="BB222">
        <v>0</v>
      </c>
      <c r="BC222" s="21">
        <v>9</v>
      </c>
      <c r="BD222">
        <v>1</v>
      </c>
      <c r="BE222">
        <v>1</v>
      </c>
      <c r="BF222">
        <v>0</v>
      </c>
      <c r="BG222" s="21">
        <v>4</v>
      </c>
    </row>
    <row r="223" spans="1:59" ht="15" customHeight="1" x14ac:dyDescent="0.25">
      <c r="A223" t="s">
        <v>917</v>
      </c>
      <c r="B223" s="21">
        <v>91</v>
      </c>
      <c r="C223" s="21">
        <v>1</v>
      </c>
      <c r="D223" s="21">
        <v>15</v>
      </c>
      <c r="E223" s="21">
        <v>1</v>
      </c>
      <c r="F223" s="21">
        <v>2</v>
      </c>
      <c r="G223" s="21">
        <v>2</v>
      </c>
      <c r="H223" s="21">
        <v>2</v>
      </c>
      <c r="I223" s="21">
        <v>2</v>
      </c>
      <c r="J223">
        <v>2</v>
      </c>
      <c r="K223" s="21">
        <v>1</v>
      </c>
      <c r="L223" s="21">
        <v>1</v>
      </c>
      <c r="M223" s="21">
        <v>2</v>
      </c>
      <c r="N223" s="21">
        <v>2</v>
      </c>
      <c r="O223">
        <v>13.5</v>
      </c>
      <c r="P223">
        <v>38.799999999999997</v>
      </c>
      <c r="Q223">
        <v>83</v>
      </c>
      <c r="AG223">
        <v>1</v>
      </c>
      <c r="AH223">
        <v>2</v>
      </c>
      <c r="AI223">
        <v>1</v>
      </c>
      <c r="AK223">
        <v>4</v>
      </c>
      <c r="AL223">
        <v>2</v>
      </c>
      <c r="AM223">
        <v>2</v>
      </c>
      <c r="AN223">
        <v>0</v>
      </c>
      <c r="AO223">
        <v>0</v>
      </c>
      <c r="AP223">
        <v>0</v>
      </c>
      <c r="AQ223">
        <v>0</v>
      </c>
      <c r="AR223">
        <v>0</v>
      </c>
      <c r="AS223">
        <v>0</v>
      </c>
      <c r="AT223">
        <v>0</v>
      </c>
      <c r="AU223">
        <v>0</v>
      </c>
      <c r="AV223">
        <v>0</v>
      </c>
      <c r="AW223">
        <v>2</v>
      </c>
      <c r="AX223">
        <v>2</v>
      </c>
      <c r="AY223">
        <v>2</v>
      </c>
      <c r="AZ223">
        <v>1</v>
      </c>
      <c r="BA223">
        <v>1</v>
      </c>
      <c r="BB223">
        <v>1</v>
      </c>
      <c r="BC223" s="21">
        <v>9</v>
      </c>
      <c r="BD223">
        <v>1</v>
      </c>
      <c r="BE223">
        <v>1</v>
      </c>
      <c r="BF223">
        <v>1</v>
      </c>
      <c r="BG223" s="21">
        <v>6</v>
      </c>
    </row>
    <row r="224" spans="1:59" ht="15" customHeight="1" x14ac:dyDescent="0.25">
      <c r="A224" t="s">
        <v>179</v>
      </c>
      <c r="B224" s="21">
        <v>75</v>
      </c>
      <c r="C224" s="21">
        <v>2</v>
      </c>
      <c r="D224" s="21">
        <v>9</v>
      </c>
      <c r="E224" s="21">
        <v>1</v>
      </c>
      <c r="F224" s="21">
        <v>1</v>
      </c>
      <c r="G224" s="21">
        <v>2</v>
      </c>
      <c r="H224" s="21">
        <v>1</v>
      </c>
      <c r="I224" s="21">
        <v>2</v>
      </c>
      <c r="J224">
        <v>2</v>
      </c>
      <c r="K224" s="21">
        <v>2</v>
      </c>
      <c r="L224" s="21">
        <v>2</v>
      </c>
      <c r="M224" s="21">
        <v>2</v>
      </c>
      <c r="N224" s="21">
        <v>1</v>
      </c>
      <c r="O224">
        <v>9</v>
      </c>
      <c r="R224">
        <v>9.5299999999999994</v>
      </c>
      <c r="S224">
        <v>10.1</v>
      </c>
      <c r="T224">
        <v>171</v>
      </c>
      <c r="U224">
        <v>102</v>
      </c>
      <c r="V224">
        <v>39</v>
      </c>
      <c r="W224">
        <v>113</v>
      </c>
      <c r="X224">
        <v>22.6</v>
      </c>
      <c r="Y224">
        <v>2000</v>
      </c>
      <c r="AG224">
        <v>1</v>
      </c>
      <c r="AH224">
        <v>2</v>
      </c>
      <c r="AJ224">
        <v>1</v>
      </c>
      <c r="AK224">
        <v>4</v>
      </c>
      <c r="AL224">
        <v>2</v>
      </c>
      <c r="AM224">
        <v>2</v>
      </c>
      <c r="AN224">
        <v>0</v>
      </c>
      <c r="AO224">
        <v>1</v>
      </c>
      <c r="AP224">
        <v>2</v>
      </c>
      <c r="AQ224">
        <v>2</v>
      </c>
      <c r="AR224">
        <v>1</v>
      </c>
      <c r="AS224">
        <v>1</v>
      </c>
      <c r="AT224">
        <v>1</v>
      </c>
      <c r="AU224">
        <v>1</v>
      </c>
      <c r="AV224">
        <v>0</v>
      </c>
      <c r="AW224">
        <v>0</v>
      </c>
      <c r="AX224">
        <v>0</v>
      </c>
      <c r="AY224">
        <v>0</v>
      </c>
      <c r="AZ224">
        <v>0</v>
      </c>
      <c r="BA224">
        <v>0</v>
      </c>
      <c r="BB224">
        <v>0</v>
      </c>
      <c r="BC224" s="21">
        <v>9</v>
      </c>
      <c r="BD224">
        <v>1</v>
      </c>
      <c r="BE224">
        <v>1</v>
      </c>
      <c r="BF224" t="s">
        <v>1011</v>
      </c>
      <c r="BG224" s="21">
        <v>6</v>
      </c>
    </row>
    <row r="225" spans="1:59" ht="15" customHeight="1" x14ac:dyDescent="0.25">
      <c r="A225" t="s">
        <v>83</v>
      </c>
      <c r="B225" s="21">
        <v>64</v>
      </c>
      <c r="C225" s="21">
        <v>1</v>
      </c>
      <c r="E225" s="21">
        <v>1</v>
      </c>
      <c r="F225" s="21">
        <v>2</v>
      </c>
      <c r="G225" s="21">
        <v>2</v>
      </c>
      <c r="H225" s="21">
        <v>2</v>
      </c>
      <c r="I225" s="21">
        <v>2</v>
      </c>
      <c r="J225">
        <v>2</v>
      </c>
      <c r="K225" s="21">
        <v>2</v>
      </c>
      <c r="L225" s="21">
        <v>1</v>
      </c>
      <c r="M225" s="21">
        <v>2</v>
      </c>
      <c r="N225" s="21">
        <v>1</v>
      </c>
      <c r="O225">
        <v>13.9</v>
      </c>
      <c r="P225">
        <v>43.1</v>
      </c>
      <c r="Q225">
        <v>95.4</v>
      </c>
      <c r="R225">
        <v>26</v>
      </c>
      <c r="S225">
        <v>6.3</v>
      </c>
      <c r="Y225">
        <v>236</v>
      </c>
      <c r="AG225">
        <v>1</v>
      </c>
      <c r="AH225">
        <v>1</v>
      </c>
      <c r="AI225">
        <v>2</v>
      </c>
      <c r="AK225">
        <v>4</v>
      </c>
      <c r="AN225">
        <v>60</v>
      </c>
      <c r="AO225">
        <v>0</v>
      </c>
      <c r="AP225">
        <v>0</v>
      </c>
      <c r="AQ225">
        <v>0</v>
      </c>
      <c r="AR225">
        <v>0</v>
      </c>
      <c r="AS225">
        <v>0</v>
      </c>
      <c r="AT225">
        <v>0</v>
      </c>
      <c r="AU225">
        <v>0</v>
      </c>
      <c r="AV225">
        <v>0</v>
      </c>
      <c r="AW225">
        <v>2</v>
      </c>
      <c r="AX225">
        <v>2</v>
      </c>
      <c r="AY225">
        <v>2</v>
      </c>
      <c r="AZ225">
        <v>1</v>
      </c>
      <c r="BA225">
        <v>1</v>
      </c>
      <c r="BB225">
        <v>1</v>
      </c>
      <c r="BC225" s="21">
        <v>9</v>
      </c>
      <c r="BD225">
        <v>0</v>
      </c>
      <c r="BE225">
        <v>1</v>
      </c>
      <c r="BF225">
        <v>0</v>
      </c>
      <c r="BG225" s="21">
        <v>3</v>
      </c>
    </row>
    <row r="226" spans="1:59" ht="15" customHeight="1" x14ac:dyDescent="0.25">
      <c r="A226" t="s">
        <v>65</v>
      </c>
      <c r="B226" s="21">
        <v>90</v>
      </c>
      <c r="C226" s="21">
        <v>1</v>
      </c>
      <c r="D226" s="21">
        <v>24</v>
      </c>
      <c r="E226" s="21">
        <v>1</v>
      </c>
      <c r="F226" s="21">
        <v>1</v>
      </c>
      <c r="G226" s="21">
        <v>2</v>
      </c>
      <c r="H226" s="21">
        <v>2</v>
      </c>
      <c r="I226" s="21">
        <v>2</v>
      </c>
      <c r="J226">
        <v>2</v>
      </c>
      <c r="K226" s="21">
        <v>2</v>
      </c>
      <c r="L226" s="21">
        <v>2</v>
      </c>
      <c r="M226" s="21">
        <v>2</v>
      </c>
      <c r="N226" s="21">
        <v>2</v>
      </c>
      <c r="O226">
        <v>8.6999999999999993</v>
      </c>
      <c r="P226">
        <v>27.7</v>
      </c>
      <c r="Q226">
        <v>64.2</v>
      </c>
      <c r="R226">
        <v>5.0599999999999996</v>
      </c>
      <c r="S226">
        <v>5.8</v>
      </c>
      <c r="T226">
        <v>98</v>
      </c>
      <c r="U226">
        <v>49.6</v>
      </c>
      <c r="V226">
        <v>25</v>
      </c>
      <c r="W226">
        <v>117</v>
      </c>
      <c r="X226">
        <v>23.4</v>
      </c>
      <c r="Y226">
        <v>2000</v>
      </c>
      <c r="AG226">
        <v>1</v>
      </c>
      <c r="AH226">
        <v>1</v>
      </c>
      <c r="AI226">
        <v>2</v>
      </c>
      <c r="AN226">
        <v>15</v>
      </c>
      <c r="AO226">
        <v>0</v>
      </c>
      <c r="AP226">
        <v>0</v>
      </c>
      <c r="AQ226">
        <v>0</v>
      </c>
      <c r="AR226">
        <v>0</v>
      </c>
      <c r="AS226">
        <v>0</v>
      </c>
      <c r="AT226">
        <v>0</v>
      </c>
      <c r="AU226">
        <v>0</v>
      </c>
      <c r="AV226">
        <v>0</v>
      </c>
      <c r="AW226">
        <v>1</v>
      </c>
      <c r="AX226">
        <v>2</v>
      </c>
      <c r="AY226">
        <v>2</v>
      </c>
      <c r="AZ226">
        <v>1</v>
      </c>
      <c r="BA226">
        <v>1</v>
      </c>
      <c r="BB226">
        <v>1</v>
      </c>
      <c r="BC226" s="21">
        <v>8</v>
      </c>
      <c r="BD226">
        <v>0</v>
      </c>
      <c r="BE226">
        <v>1</v>
      </c>
      <c r="BF226">
        <v>0</v>
      </c>
      <c r="BG226" s="21">
        <v>5</v>
      </c>
    </row>
    <row r="227" spans="1:59" s="8" customFormat="1" ht="15" customHeight="1" x14ac:dyDescent="0.25">
      <c r="A227" t="s">
        <v>322</v>
      </c>
      <c r="B227" s="21">
        <v>57</v>
      </c>
      <c r="C227" s="21">
        <v>2</v>
      </c>
      <c r="D227" s="21">
        <v>14</v>
      </c>
      <c r="E227" s="21">
        <v>2</v>
      </c>
      <c r="F227" s="21">
        <v>2</v>
      </c>
      <c r="G227" s="21">
        <v>2</v>
      </c>
      <c r="H227" s="21">
        <v>2</v>
      </c>
      <c r="I227" s="21">
        <v>2</v>
      </c>
      <c r="J227">
        <v>2</v>
      </c>
      <c r="K227" s="21">
        <v>2</v>
      </c>
      <c r="L227" s="21">
        <v>2</v>
      </c>
      <c r="M227" s="21">
        <v>2</v>
      </c>
      <c r="N227" s="21">
        <v>2</v>
      </c>
      <c r="O227">
        <v>11.7</v>
      </c>
      <c r="P227">
        <v>33.6</v>
      </c>
      <c r="Q227">
        <v>10.56</v>
      </c>
      <c r="R227">
        <v>81.62</v>
      </c>
      <c r="S227"/>
      <c r="T227"/>
      <c r="U227"/>
      <c r="V227"/>
      <c r="W227"/>
      <c r="X227"/>
      <c r="Y227">
        <v>219</v>
      </c>
      <c r="Z227"/>
      <c r="AA227"/>
      <c r="AB227"/>
      <c r="AC227"/>
      <c r="AD227"/>
      <c r="AE227"/>
      <c r="AF227" s="21"/>
      <c r="AG227">
        <v>1</v>
      </c>
      <c r="AH227">
        <v>2</v>
      </c>
      <c r="AI227">
        <v>1</v>
      </c>
      <c r="AJ227">
        <v>1</v>
      </c>
      <c r="AK227"/>
      <c r="AL227">
        <v>2</v>
      </c>
      <c r="AM227">
        <v>2</v>
      </c>
      <c r="AN227">
        <v>95</v>
      </c>
      <c r="AO227">
        <v>1</v>
      </c>
      <c r="AP227">
        <v>2</v>
      </c>
      <c r="AQ227">
        <v>2</v>
      </c>
      <c r="AR227">
        <v>1</v>
      </c>
      <c r="AS227">
        <v>1</v>
      </c>
      <c r="AT227">
        <v>1</v>
      </c>
      <c r="AU227">
        <v>1</v>
      </c>
      <c r="AV227">
        <v>0</v>
      </c>
      <c r="AW227">
        <v>0</v>
      </c>
      <c r="AX227">
        <v>0</v>
      </c>
      <c r="AY227">
        <v>0</v>
      </c>
      <c r="AZ227">
        <v>0</v>
      </c>
      <c r="BA227">
        <v>0</v>
      </c>
      <c r="BB227">
        <v>0</v>
      </c>
      <c r="BC227" s="21">
        <v>9</v>
      </c>
      <c r="BD227">
        <v>1</v>
      </c>
      <c r="BE227">
        <v>0</v>
      </c>
      <c r="BF227">
        <v>0</v>
      </c>
      <c r="BG227" s="21">
        <v>2</v>
      </c>
    </row>
    <row r="228" spans="1:59" ht="15" customHeight="1" x14ac:dyDescent="0.25">
      <c r="A228" t="s">
        <v>146</v>
      </c>
      <c r="B228" s="21">
        <v>58</v>
      </c>
      <c r="C228" s="21">
        <v>1</v>
      </c>
      <c r="D228" s="21">
        <v>6</v>
      </c>
      <c r="E228" s="21">
        <v>1</v>
      </c>
      <c r="F228" s="21">
        <v>1</v>
      </c>
      <c r="G228" s="21">
        <v>2</v>
      </c>
      <c r="H228" s="21">
        <v>2</v>
      </c>
      <c r="I228" s="21">
        <v>2</v>
      </c>
      <c r="J228">
        <v>2</v>
      </c>
      <c r="K228" s="21">
        <v>2</v>
      </c>
      <c r="L228" s="21">
        <v>2</v>
      </c>
      <c r="M228" s="21">
        <v>2</v>
      </c>
      <c r="N228" s="21">
        <v>2</v>
      </c>
      <c r="O228">
        <v>14.9</v>
      </c>
      <c r="R228">
        <v>26.58</v>
      </c>
      <c r="S228">
        <v>11.2</v>
      </c>
      <c r="T228">
        <v>177</v>
      </c>
      <c r="U228">
        <v>118.8</v>
      </c>
      <c r="V228">
        <v>50</v>
      </c>
      <c r="W228">
        <v>41</v>
      </c>
      <c r="X228">
        <v>8.1999999999999993</v>
      </c>
      <c r="Y228">
        <v>267</v>
      </c>
      <c r="AG228">
        <v>1</v>
      </c>
      <c r="AH228">
        <v>2</v>
      </c>
      <c r="AI228">
        <v>2</v>
      </c>
      <c r="AN228">
        <v>85</v>
      </c>
      <c r="AO228">
        <v>0</v>
      </c>
      <c r="AP228">
        <v>0</v>
      </c>
      <c r="AQ228">
        <v>0</v>
      </c>
      <c r="AR228">
        <v>0</v>
      </c>
      <c r="AS228">
        <v>0</v>
      </c>
      <c r="AT228">
        <v>0</v>
      </c>
      <c r="AU228">
        <v>0</v>
      </c>
      <c r="AV228">
        <v>0</v>
      </c>
      <c r="AW228">
        <v>0</v>
      </c>
      <c r="AX228">
        <v>0</v>
      </c>
      <c r="AY228">
        <v>0</v>
      </c>
      <c r="AZ228">
        <v>0</v>
      </c>
      <c r="BA228">
        <v>0</v>
      </c>
      <c r="BB228">
        <v>1</v>
      </c>
      <c r="BC228" s="21">
        <v>1</v>
      </c>
      <c r="BD228">
        <v>0</v>
      </c>
      <c r="BE228">
        <v>1</v>
      </c>
      <c r="BF228">
        <v>0</v>
      </c>
      <c r="BG228" s="21">
        <v>2</v>
      </c>
    </row>
    <row r="229" spans="1:59" ht="15" customHeight="1" x14ac:dyDescent="0.25">
      <c r="A229" t="s">
        <v>134</v>
      </c>
      <c r="B229" s="21">
        <v>55</v>
      </c>
      <c r="C229" s="21">
        <v>2</v>
      </c>
      <c r="E229" s="21">
        <v>2</v>
      </c>
      <c r="F229" s="21">
        <v>2</v>
      </c>
      <c r="G229" s="21">
        <v>2</v>
      </c>
      <c r="H229" s="21">
        <v>2</v>
      </c>
      <c r="I229" s="21">
        <v>2</v>
      </c>
      <c r="J229">
        <v>2</v>
      </c>
      <c r="K229" s="21">
        <v>2</v>
      </c>
      <c r="L229" s="21">
        <v>1</v>
      </c>
      <c r="M229" s="21">
        <v>2</v>
      </c>
      <c r="N229" s="21">
        <v>2</v>
      </c>
      <c r="O229">
        <v>12.9</v>
      </c>
      <c r="P229">
        <v>39.1</v>
      </c>
      <c r="Q229">
        <v>88.4</v>
      </c>
      <c r="R229">
        <v>11.33</v>
      </c>
      <c r="T229">
        <v>201</v>
      </c>
      <c r="U229">
        <v>116</v>
      </c>
      <c r="V229">
        <v>61</v>
      </c>
      <c r="W229">
        <v>120</v>
      </c>
      <c r="X229">
        <v>24</v>
      </c>
      <c r="Y229">
        <v>1392</v>
      </c>
      <c r="AG229">
        <v>1</v>
      </c>
      <c r="AH229">
        <v>1</v>
      </c>
      <c r="AI229">
        <v>2</v>
      </c>
      <c r="AO229">
        <v>0</v>
      </c>
      <c r="AP229">
        <v>2</v>
      </c>
      <c r="AQ229">
        <v>2</v>
      </c>
      <c r="AR229">
        <v>2</v>
      </c>
      <c r="AS229">
        <v>1</v>
      </c>
      <c r="AT229">
        <v>1</v>
      </c>
      <c r="AU229">
        <v>1</v>
      </c>
      <c r="AV229">
        <v>0</v>
      </c>
      <c r="AW229">
        <v>0</v>
      </c>
      <c r="AX229">
        <v>0</v>
      </c>
      <c r="AY229">
        <v>0</v>
      </c>
      <c r="AZ229">
        <v>0</v>
      </c>
      <c r="BA229">
        <v>0</v>
      </c>
      <c r="BB229">
        <v>0</v>
      </c>
      <c r="BC229" s="21">
        <v>9</v>
      </c>
      <c r="BD229">
        <v>1</v>
      </c>
      <c r="BE229">
        <v>1</v>
      </c>
      <c r="BF229">
        <v>0</v>
      </c>
      <c r="BG229" s="21">
        <v>6</v>
      </c>
    </row>
    <row r="230" spans="1:59" ht="15" customHeight="1" x14ac:dyDescent="0.25">
      <c r="A230" t="s">
        <v>194</v>
      </c>
      <c r="B230" s="21">
        <v>33</v>
      </c>
      <c r="C230" s="21">
        <v>2</v>
      </c>
      <c r="D230" s="21">
        <v>9</v>
      </c>
      <c r="E230" s="21">
        <v>2</v>
      </c>
      <c r="F230" s="21">
        <v>2</v>
      </c>
      <c r="G230" s="21">
        <v>2</v>
      </c>
      <c r="H230" s="21">
        <v>2</v>
      </c>
      <c r="I230" s="21">
        <v>2</v>
      </c>
      <c r="J230">
        <v>2</v>
      </c>
      <c r="K230" s="21">
        <v>2</v>
      </c>
      <c r="L230" s="21">
        <v>2</v>
      </c>
      <c r="M230" s="21">
        <v>2</v>
      </c>
      <c r="N230" s="21">
        <v>2</v>
      </c>
      <c r="O230">
        <v>10.9</v>
      </c>
      <c r="P230">
        <v>33.4</v>
      </c>
      <c r="R230">
        <v>8.6199999999999992</v>
      </c>
      <c r="S230">
        <v>5</v>
      </c>
      <c r="Y230">
        <v>1099</v>
      </c>
      <c r="AG230">
        <v>1</v>
      </c>
      <c r="AI230">
        <v>2</v>
      </c>
      <c r="AL230">
        <v>1</v>
      </c>
      <c r="AM230">
        <v>2</v>
      </c>
      <c r="AN230">
        <v>0</v>
      </c>
      <c r="AO230">
        <v>1</v>
      </c>
      <c r="AP230">
        <v>2</v>
      </c>
      <c r="AQ230">
        <v>2</v>
      </c>
      <c r="AR230">
        <v>0</v>
      </c>
      <c r="AS230">
        <v>0</v>
      </c>
      <c r="AT230">
        <v>1</v>
      </c>
      <c r="AU230">
        <v>1</v>
      </c>
      <c r="AV230">
        <v>0</v>
      </c>
      <c r="AW230">
        <v>0</v>
      </c>
      <c r="AX230">
        <v>0</v>
      </c>
      <c r="AY230">
        <v>0</v>
      </c>
      <c r="AZ230">
        <v>0</v>
      </c>
      <c r="BA230">
        <v>0</v>
      </c>
      <c r="BB230">
        <v>0</v>
      </c>
      <c r="BC230" s="21">
        <v>7</v>
      </c>
      <c r="BD230">
        <v>1</v>
      </c>
      <c r="BE230">
        <v>1</v>
      </c>
      <c r="BF230">
        <v>0</v>
      </c>
      <c r="BG230" s="21">
        <v>6</v>
      </c>
    </row>
    <row r="231" spans="1:59" ht="15" customHeight="1" x14ac:dyDescent="0.25">
      <c r="A231" t="s">
        <v>199</v>
      </c>
      <c r="B231" s="21">
        <v>75</v>
      </c>
      <c r="C231" s="21">
        <v>2</v>
      </c>
      <c r="D231" s="21">
        <v>11</v>
      </c>
      <c r="E231" s="21">
        <v>2</v>
      </c>
      <c r="F231" s="21">
        <v>2</v>
      </c>
      <c r="G231" s="21">
        <v>2</v>
      </c>
      <c r="H231" s="21">
        <v>1</v>
      </c>
      <c r="I231" s="21">
        <v>2</v>
      </c>
      <c r="J231">
        <v>2</v>
      </c>
      <c r="K231" s="21">
        <v>2</v>
      </c>
      <c r="L231" s="21">
        <v>2</v>
      </c>
      <c r="M231" s="21">
        <v>2</v>
      </c>
      <c r="N231" s="21">
        <v>2</v>
      </c>
      <c r="O231">
        <v>12.3</v>
      </c>
      <c r="R231">
        <v>20.72</v>
      </c>
      <c r="S231">
        <v>6.1</v>
      </c>
      <c r="T231">
        <v>236</v>
      </c>
      <c r="U231">
        <v>153.4</v>
      </c>
      <c r="V231">
        <v>37</v>
      </c>
      <c r="W231">
        <v>228</v>
      </c>
      <c r="X231">
        <v>45</v>
      </c>
      <c r="Y231">
        <v>2000</v>
      </c>
      <c r="AG231">
        <v>1</v>
      </c>
      <c r="AH231">
        <v>2</v>
      </c>
      <c r="AI231">
        <v>1</v>
      </c>
      <c r="AJ231">
        <v>1</v>
      </c>
      <c r="AO231">
        <v>0</v>
      </c>
      <c r="AP231">
        <v>2</v>
      </c>
      <c r="AQ231">
        <v>2</v>
      </c>
      <c r="AR231">
        <v>0</v>
      </c>
      <c r="AS231">
        <v>0</v>
      </c>
      <c r="AT231">
        <v>0</v>
      </c>
      <c r="AU231">
        <v>1</v>
      </c>
      <c r="AV231">
        <v>0</v>
      </c>
      <c r="AW231">
        <v>0</v>
      </c>
      <c r="AX231">
        <v>0</v>
      </c>
      <c r="AY231">
        <v>0</v>
      </c>
      <c r="AZ231">
        <v>0</v>
      </c>
      <c r="BA231">
        <v>0</v>
      </c>
      <c r="BB231">
        <v>0</v>
      </c>
      <c r="BC231" s="21">
        <v>5</v>
      </c>
      <c r="BD231">
        <v>1</v>
      </c>
      <c r="BE231">
        <v>0</v>
      </c>
      <c r="BF231">
        <v>0</v>
      </c>
      <c r="BG231" s="21">
        <v>6</v>
      </c>
    </row>
    <row r="232" spans="1:59" ht="15" customHeight="1" x14ac:dyDescent="0.25">
      <c r="A232" s="8" t="s">
        <v>272</v>
      </c>
      <c r="B232" s="21">
        <v>69</v>
      </c>
      <c r="C232" s="21">
        <v>2</v>
      </c>
      <c r="E232" s="21">
        <v>1</v>
      </c>
      <c r="F232" s="21">
        <v>2</v>
      </c>
      <c r="G232" s="21">
        <v>2</v>
      </c>
      <c r="H232" s="21">
        <v>2</v>
      </c>
      <c r="I232" s="21">
        <v>2</v>
      </c>
      <c r="J232" s="8">
        <v>2</v>
      </c>
      <c r="K232" s="21">
        <v>2</v>
      </c>
      <c r="L232" s="21">
        <v>2</v>
      </c>
      <c r="M232" s="21">
        <v>2</v>
      </c>
      <c r="N232" s="21">
        <v>2</v>
      </c>
      <c r="O232" s="8">
        <v>13</v>
      </c>
      <c r="P232" s="8">
        <v>39.5</v>
      </c>
      <c r="Q232" s="8">
        <v>83.3</v>
      </c>
      <c r="R232" s="8">
        <v>18.13</v>
      </c>
      <c r="S232" s="8">
        <v>10.6</v>
      </c>
      <c r="T232" s="8">
        <v>158</v>
      </c>
      <c r="U232" s="8">
        <v>108.2</v>
      </c>
      <c r="V232" s="8">
        <v>40</v>
      </c>
      <c r="W232" s="8">
        <v>49</v>
      </c>
      <c r="X232" s="8">
        <v>9.8000000000000007</v>
      </c>
      <c r="Y232" s="8">
        <v>2000</v>
      </c>
      <c r="Z232" s="8"/>
      <c r="AA232" s="8"/>
      <c r="AB232" s="8"/>
      <c r="AC232" s="8"/>
      <c r="AD232" s="8"/>
      <c r="AE232" s="8"/>
      <c r="AG232" s="8">
        <v>1</v>
      </c>
      <c r="AH232" s="8">
        <v>1</v>
      </c>
      <c r="AI232" s="8">
        <v>2</v>
      </c>
      <c r="AJ232" s="8"/>
      <c r="AK232" s="8">
        <v>1</v>
      </c>
      <c r="AL232" s="8">
        <v>2</v>
      </c>
      <c r="AM232" s="8">
        <v>2</v>
      </c>
      <c r="AN232" s="8">
        <v>0</v>
      </c>
      <c r="AO232" s="8"/>
      <c r="AP232" s="8"/>
      <c r="AQ232" s="8"/>
      <c r="AR232" s="8"/>
      <c r="AS232" s="8"/>
      <c r="AT232" s="8"/>
      <c r="AU232" s="8"/>
      <c r="AV232" s="8">
        <v>0</v>
      </c>
      <c r="AW232" s="8">
        <v>2</v>
      </c>
      <c r="AX232" s="8">
        <v>0</v>
      </c>
      <c r="AY232" s="8">
        <v>1</v>
      </c>
      <c r="AZ232" s="8">
        <v>1</v>
      </c>
      <c r="BA232" s="8">
        <v>1</v>
      </c>
      <c r="BB232" s="8">
        <v>1</v>
      </c>
      <c r="BC232" s="21">
        <v>6</v>
      </c>
      <c r="BD232" s="8">
        <v>0</v>
      </c>
      <c r="BE232" s="8">
        <v>1</v>
      </c>
      <c r="BF232" s="8" t="s">
        <v>1040</v>
      </c>
      <c r="BG232" s="21">
        <v>6</v>
      </c>
    </row>
    <row r="233" spans="1:59" ht="15" customHeight="1" x14ac:dyDescent="0.25">
      <c r="A233" t="s">
        <v>910</v>
      </c>
      <c r="B233" s="21">
        <v>88</v>
      </c>
      <c r="C233" s="21">
        <v>2</v>
      </c>
      <c r="D233" s="21">
        <v>24</v>
      </c>
      <c r="E233" s="21">
        <v>1</v>
      </c>
      <c r="F233" s="21">
        <v>2</v>
      </c>
      <c r="G233" s="21">
        <v>2</v>
      </c>
      <c r="H233" s="21">
        <v>2</v>
      </c>
      <c r="I233" s="21">
        <v>2</v>
      </c>
      <c r="J233">
        <v>2</v>
      </c>
      <c r="K233" s="21">
        <v>1</v>
      </c>
      <c r="L233" s="21">
        <v>2</v>
      </c>
      <c r="M233" s="21">
        <v>2</v>
      </c>
      <c r="N233" s="21">
        <v>2</v>
      </c>
      <c r="O233">
        <v>11.6</v>
      </c>
      <c r="P233">
        <v>35.4</v>
      </c>
      <c r="Q233">
        <v>86.4</v>
      </c>
      <c r="R233">
        <v>7.9</v>
      </c>
      <c r="Y233">
        <v>189</v>
      </c>
      <c r="AG233">
        <v>1</v>
      </c>
      <c r="AH233">
        <v>2</v>
      </c>
      <c r="AI233">
        <v>2</v>
      </c>
      <c r="AK233">
        <v>4</v>
      </c>
      <c r="AL233">
        <v>2</v>
      </c>
      <c r="AM233">
        <v>2</v>
      </c>
      <c r="AN233">
        <v>0</v>
      </c>
      <c r="AO233">
        <v>0</v>
      </c>
      <c r="AP233">
        <v>1</v>
      </c>
      <c r="AQ233">
        <v>0</v>
      </c>
      <c r="AR233">
        <v>0</v>
      </c>
      <c r="AS233">
        <v>0</v>
      </c>
      <c r="AT233">
        <v>0</v>
      </c>
      <c r="AU233">
        <v>1</v>
      </c>
      <c r="AV233">
        <v>0</v>
      </c>
      <c r="AW233">
        <v>0</v>
      </c>
      <c r="AX233">
        <v>0</v>
      </c>
      <c r="AY233">
        <v>0</v>
      </c>
      <c r="AZ233">
        <v>0</v>
      </c>
      <c r="BA233">
        <v>0</v>
      </c>
      <c r="BB233">
        <v>0</v>
      </c>
      <c r="BC233" s="21">
        <v>2</v>
      </c>
      <c r="BD233">
        <v>1</v>
      </c>
      <c r="BE233">
        <v>0</v>
      </c>
      <c r="BF233">
        <v>0</v>
      </c>
      <c r="BG233" s="21">
        <v>6</v>
      </c>
    </row>
    <row r="234" spans="1:59" ht="15" customHeight="1" x14ac:dyDescent="0.25">
      <c r="A234" t="s">
        <v>909</v>
      </c>
      <c r="B234" s="21">
        <v>62</v>
      </c>
      <c r="C234" s="21">
        <v>1</v>
      </c>
      <c r="D234" s="21">
        <v>0</v>
      </c>
      <c r="E234" s="21">
        <v>1</v>
      </c>
      <c r="F234" s="21">
        <v>1</v>
      </c>
      <c r="G234" s="21">
        <v>1</v>
      </c>
      <c r="H234" s="21">
        <v>1</v>
      </c>
      <c r="I234" s="21">
        <v>2</v>
      </c>
      <c r="J234">
        <v>2</v>
      </c>
      <c r="K234" s="21">
        <v>2</v>
      </c>
      <c r="L234" s="21">
        <v>2</v>
      </c>
      <c r="M234" s="21">
        <v>2</v>
      </c>
      <c r="N234" s="21">
        <v>2</v>
      </c>
      <c r="O234">
        <v>14.1</v>
      </c>
      <c r="P234">
        <v>42.9</v>
      </c>
      <c r="Q234">
        <v>94.9</v>
      </c>
      <c r="R234">
        <v>25.45</v>
      </c>
      <c r="S234">
        <v>6.8</v>
      </c>
      <c r="T234">
        <v>189</v>
      </c>
      <c r="U234">
        <v>124.4</v>
      </c>
      <c r="V234">
        <v>36</v>
      </c>
      <c r="W234">
        <v>143</v>
      </c>
      <c r="X234">
        <v>28.6</v>
      </c>
      <c r="Y234">
        <v>148</v>
      </c>
      <c r="AG234">
        <v>1</v>
      </c>
      <c r="AH234">
        <v>1</v>
      </c>
      <c r="AI234">
        <v>2</v>
      </c>
      <c r="AK234">
        <v>4</v>
      </c>
      <c r="AL234">
        <v>2</v>
      </c>
      <c r="AM234">
        <v>2</v>
      </c>
      <c r="AN234">
        <v>100</v>
      </c>
      <c r="AO234">
        <v>0</v>
      </c>
      <c r="AP234">
        <v>0</v>
      </c>
      <c r="AQ234">
        <v>0</v>
      </c>
      <c r="AR234">
        <v>0</v>
      </c>
      <c r="AS234">
        <v>0</v>
      </c>
      <c r="AT234">
        <v>0</v>
      </c>
      <c r="AU234">
        <v>0</v>
      </c>
      <c r="AV234">
        <v>0</v>
      </c>
      <c r="AW234">
        <v>2</v>
      </c>
      <c r="AX234">
        <v>0</v>
      </c>
      <c r="AY234">
        <v>1</v>
      </c>
      <c r="AZ234">
        <v>1</v>
      </c>
      <c r="BA234">
        <v>1</v>
      </c>
      <c r="BB234">
        <v>1</v>
      </c>
      <c r="BC234" s="21">
        <v>6</v>
      </c>
      <c r="BD234">
        <v>1</v>
      </c>
      <c r="BE234">
        <v>1</v>
      </c>
      <c r="BF234">
        <v>1</v>
      </c>
      <c r="BG234" s="21">
        <v>0</v>
      </c>
    </row>
    <row r="235" spans="1:59" ht="15" customHeight="1" x14ac:dyDescent="0.25">
      <c r="A235" s="8" t="s">
        <v>914</v>
      </c>
      <c r="B235" s="21">
        <v>38</v>
      </c>
      <c r="C235" s="21">
        <v>1</v>
      </c>
      <c r="D235" s="21">
        <v>0</v>
      </c>
      <c r="E235" s="21">
        <v>2</v>
      </c>
      <c r="F235" s="21">
        <v>1</v>
      </c>
      <c r="G235" s="21">
        <v>2</v>
      </c>
      <c r="H235" s="21">
        <v>2</v>
      </c>
      <c r="I235" s="21">
        <v>2</v>
      </c>
      <c r="J235" s="8">
        <v>2</v>
      </c>
      <c r="K235" s="21">
        <v>2</v>
      </c>
      <c r="L235" s="21">
        <v>2</v>
      </c>
      <c r="M235" s="21">
        <v>2</v>
      </c>
      <c r="N235" s="21">
        <v>2</v>
      </c>
      <c r="O235" s="8">
        <v>13.9</v>
      </c>
      <c r="P235" s="8">
        <v>41.6</v>
      </c>
      <c r="Q235" s="8">
        <v>83.7</v>
      </c>
      <c r="R235" s="8"/>
      <c r="S235" s="8">
        <v>7.1</v>
      </c>
      <c r="T235" s="8"/>
      <c r="U235" s="8"/>
      <c r="V235" s="8"/>
      <c r="W235" s="8"/>
      <c r="X235" s="8"/>
      <c r="Y235" s="8">
        <v>154</v>
      </c>
      <c r="Z235" s="8"/>
      <c r="AA235" s="8"/>
      <c r="AB235" s="8"/>
      <c r="AC235" s="8"/>
      <c r="AD235" s="8"/>
      <c r="AE235" s="8"/>
      <c r="AG235" s="8">
        <v>1</v>
      </c>
      <c r="AH235" s="8">
        <v>1</v>
      </c>
      <c r="AI235" s="8">
        <v>2</v>
      </c>
      <c r="AJ235" s="8"/>
      <c r="AK235" s="8">
        <v>4</v>
      </c>
      <c r="AL235" s="8">
        <v>2</v>
      </c>
      <c r="AM235" s="8">
        <v>2</v>
      </c>
      <c r="AN235" s="8">
        <v>100</v>
      </c>
      <c r="AO235" s="8">
        <v>1</v>
      </c>
      <c r="AP235" s="8">
        <v>1</v>
      </c>
      <c r="AQ235" s="8">
        <v>2</v>
      </c>
      <c r="AR235" s="8">
        <v>2</v>
      </c>
      <c r="AS235" s="8">
        <v>1</v>
      </c>
      <c r="AT235" s="8">
        <v>1</v>
      </c>
      <c r="AU235" s="8">
        <v>1</v>
      </c>
      <c r="AV235" s="8"/>
      <c r="AW235" s="8"/>
      <c r="AX235" s="8"/>
      <c r="AY235" s="8"/>
      <c r="AZ235" s="8"/>
      <c r="BA235" s="8"/>
      <c r="BB235" s="8"/>
      <c r="BC235" s="21">
        <v>9</v>
      </c>
      <c r="BD235" s="8">
        <v>1</v>
      </c>
      <c r="BE235" s="8">
        <v>1</v>
      </c>
      <c r="BF235" s="8">
        <v>1</v>
      </c>
      <c r="BG235" s="21">
        <v>0</v>
      </c>
    </row>
    <row r="236" spans="1:59" ht="15" customHeight="1" x14ac:dyDescent="0.25">
      <c r="A236" t="s">
        <v>284</v>
      </c>
      <c r="B236" s="21">
        <v>69</v>
      </c>
      <c r="C236" s="21">
        <v>1</v>
      </c>
      <c r="E236" s="21">
        <v>1</v>
      </c>
      <c r="F236" s="21">
        <v>1</v>
      </c>
      <c r="G236" s="21">
        <v>2</v>
      </c>
      <c r="H236" s="21">
        <v>2</v>
      </c>
      <c r="I236" s="21">
        <v>2</v>
      </c>
      <c r="J236">
        <v>2</v>
      </c>
      <c r="K236" s="21">
        <v>2</v>
      </c>
      <c r="L236" s="21">
        <v>2</v>
      </c>
      <c r="M236" s="21">
        <v>2</v>
      </c>
      <c r="N236" s="21">
        <v>2</v>
      </c>
      <c r="O236">
        <v>12.6</v>
      </c>
      <c r="P236">
        <v>38</v>
      </c>
      <c r="Q236">
        <v>82.4</v>
      </c>
      <c r="R236">
        <v>16.25</v>
      </c>
      <c r="S236">
        <v>6</v>
      </c>
      <c r="T236">
        <v>197</v>
      </c>
      <c r="U236">
        <v>137.4</v>
      </c>
      <c r="V236">
        <v>37</v>
      </c>
      <c r="W236">
        <v>113</v>
      </c>
      <c r="X236">
        <v>22.6</v>
      </c>
      <c r="Y236">
        <v>252</v>
      </c>
      <c r="AG236">
        <v>1</v>
      </c>
      <c r="AH236">
        <v>1</v>
      </c>
      <c r="AI236">
        <v>2</v>
      </c>
      <c r="AL236">
        <v>2</v>
      </c>
      <c r="AM236">
        <v>2</v>
      </c>
      <c r="AN236">
        <v>100</v>
      </c>
      <c r="AO236">
        <v>0</v>
      </c>
      <c r="AP236">
        <v>2</v>
      </c>
      <c r="AQ236">
        <v>2</v>
      </c>
      <c r="AR236">
        <v>2</v>
      </c>
      <c r="AS236">
        <v>1</v>
      </c>
      <c r="AT236">
        <v>1</v>
      </c>
      <c r="AU236">
        <v>1</v>
      </c>
      <c r="BC236" s="21">
        <v>9</v>
      </c>
      <c r="BD236">
        <v>0</v>
      </c>
      <c r="BE236">
        <v>0</v>
      </c>
      <c r="BF236">
        <v>0</v>
      </c>
      <c r="BG236" s="21">
        <v>0</v>
      </c>
    </row>
    <row r="237" spans="1:59" ht="15" customHeight="1" x14ac:dyDescent="0.25">
      <c r="A237" t="s">
        <v>288</v>
      </c>
      <c r="B237" s="21">
        <v>68</v>
      </c>
      <c r="C237" s="21">
        <v>1</v>
      </c>
      <c r="D237" s="21">
        <v>2</v>
      </c>
      <c r="E237" s="21">
        <v>1</v>
      </c>
      <c r="F237" s="21">
        <v>2</v>
      </c>
      <c r="G237" s="21">
        <v>2</v>
      </c>
      <c r="H237" s="21">
        <v>2</v>
      </c>
      <c r="I237" s="21">
        <v>2</v>
      </c>
      <c r="J237">
        <v>2</v>
      </c>
      <c r="K237" s="21">
        <v>2</v>
      </c>
      <c r="L237" s="21">
        <v>2</v>
      </c>
      <c r="M237" s="21">
        <v>2</v>
      </c>
      <c r="N237" s="21">
        <v>2</v>
      </c>
      <c r="O237">
        <v>14.2</v>
      </c>
      <c r="P237">
        <v>41.6</v>
      </c>
      <c r="Q237">
        <v>78.400000000000006</v>
      </c>
      <c r="R237">
        <v>48.94</v>
      </c>
      <c r="S237">
        <v>4.8</v>
      </c>
      <c r="T237">
        <v>165</v>
      </c>
      <c r="U237">
        <v>119.6</v>
      </c>
      <c r="V237">
        <v>34</v>
      </c>
      <c r="W237">
        <v>57</v>
      </c>
      <c r="X237">
        <v>11.4</v>
      </c>
      <c r="Y237">
        <v>148</v>
      </c>
      <c r="AG237">
        <v>1</v>
      </c>
      <c r="AH237">
        <v>1</v>
      </c>
      <c r="AI237">
        <v>2</v>
      </c>
      <c r="AL237">
        <v>2</v>
      </c>
      <c r="AM237">
        <v>2</v>
      </c>
      <c r="AN237">
        <v>100</v>
      </c>
      <c r="AO237">
        <v>1</v>
      </c>
      <c r="AP237">
        <v>2</v>
      </c>
      <c r="AQ237">
        <v>2</v>
      </c>
      <c r="AR237">
        <v>2</v>
      </c>
      <c r="AS237">
        <v>1</v>
      </c>
      <c r="AT237">
        <v>1</v>
      </c>
      <c r="AU237">
        <v>1</v>
      </c>
      <c r="BC237" s="21">
        <v>10</v>
      </c>
      <c r="BD237">
        <v>1</v>
      </c>
      <c r="BE237">
        <v>1</v>
      </c>
      <c r="BF237">
        <v>0</v>
      </c>
      <c r="BG237" s="21">
        <v>0</v>
      </c>
    </row>
    <row r="238" spans="1:59" ht="15" customHeight="1" x14ac:dyDescent="0.25">
      <c r="A238" t="s">
        <v>173</v>
      </c>
      <c r="B238" s="21">
        <v>52</v>
      </c>
      <c r="C238" s="21">
        <v>1</v>
      </c>
      <c r="D238" s="21">
        <v>16</v>
      </c>
      <c r="E238" s="21">
        <v>1</v>
      </c>
      <c r="F238" s="21">
        <v>2</v>
      </c>
      <c r="G238" s="21">
        <v>2</v>
      </c>
      <c r="H238" s="21">
        <v>2</v>
      </c>
      <c r="I238" s="21">
        <v>1</v>
      </c>
      <c r="J238">
        <v>2</v>
      </c>
      <c r="K238" s="21">
        <v>2</v>
      </c>
      <c r="L238" s="21">
        <v>2</v>
      </c>
      <c r="M238" s="21">
        <v>2</v>
      </c>
      <c r="N238" s="21">
        <v>2</v>
      </c>
      <c r="R238">
        <v>21.37</v>
      </c>
      <c r="S238">
        <v>5.6</v>
      </c>
      <c r="T238">
        <v>171</v>
      </c>
      <c r="U238">
        <v>96.2</v>
      </c>
      <c r="V238">
        <v>31</v>
      </c>
      <c r="W238">
        <v>219</v>
      </c>
      <c r="X238">
        <v>43.8</v>
      </c>
      <c r="Y238">
        <v>2000</v>
      </c>
      <c r="Z238">
        <v>155</v>
      </c>
      <c r="AG238">
        <v>1</v>
      </c>
      <c r="AH238">
        <v>1</v>
      </c>
      <c r="AI238">
        <v>2</v>
      </c>
      <c r="AK238">
        <v>4</v>
      </c>
      <c r="AL238">
        <v>2</v>
      </c>
      <c r="AM238">
        <v>2</v>
      </c>
      <c r="AN238">
        <v>95</v>
      </c>
      <c r="AV238">
        <v>1</v>
      </c>
      <c r="AW238">
        <v>2</v>
      </c>
      <c r="AX238">
        <v>2</v>
      </c>
      <c r="AY238">
        <v>2</v>
      </c>
      <c r="AZ238">
        <v>1</v>
      </c>
      <c r="BA238">
        <v>1</v>
      </c>
      <c r="BB238">
        <v>0</v>
      </c>
      <c r="BC238" s="21">
        <v>9</v>
      </c>
      <c r="BD238">
        <v>1</v>
      </c>
      <c r="BE238">
        <v>1</v>
      </c>
      <c r="BF238">
        <v>1</v>
      </c>
      <c r="BG238" s="21">
        <v>1</v>
      </c>
    </row>
    <row r="239" spans="1:59" ht="15" customHeight="1" x14ac:dyDescent="0.25">
      <c r="A239" t="s">
        <v>69</v>
      </c>
      <c r="B239" s="21">
        <v>73</v>
      </c>
      <c r="C239" s="21">
        <v>1</v>
      </c>
      <c r="D239" s="21">
        <v>6</v>
      </c>
      <c r="E239" s="21">
        <v>1</v>
      </c>
      <c r="F239" s="21">
        <v>2</v>
      </c>
      <c r="G239" s="21">
        <v>2</v>
      </c>
      <c r="H239" s="21">
        <v>2</v>
      </c>
      <c r="I239" s="21">
        <v>2</v>
      </c>
      <c r="J239">
        <v>2</v>
      </c>
      <c r="K239" s="21">
        <v>2</v>
      </c>
      <c r="L239" s="21">
        <v>1</v>
      </c>
      <c r="M239" s="21">
        <v>2</v>
      </c>
      <c r="N239" s="21">
        <v>2</v>
      </c>
      <c r="O239">
        <v>11.5</v>
      </c>
      <c r="P239">
        <v>34.700000000000003</v>
      </c>
      <c r="Q239">
        <v>73.3</v>
      </c>
      <c r="R239">
        <v>27.71</v>
      </c>
      <c r="Y239">
        <v>154</v>
      </c>
      <c r="AG239">
        <v>1</v>
      </c>
      <c r="AH239">
        <v>1</v>
      </c>
      <c r="AI239">
        <v>1</v>
      </c>
      <c r="AJ239">
        <v>1</v>
      </c>
      <c r="AK239">
        <v>2</v>
      </c>
      <c r="AL239">
        <v>2</v>
      </c>
      <c r="AM239">
        <v>2</v>
      </c>
      <c r="AN239">
        <v>90</v>
      </c>
      <c r="AO239">
        <v>0</v>
      </c>
      <c r="AP239">
        <v>1</v>
      </c>
      <c r="AQ239">
        <v>2</v>
      </c>
      <c r="AR239">
        <v>2</v>
      </c>
      <c r="AS239">
        <v>1</v>
      </c>
      <c r="AT239">
        <v>1</v>
      </c>
      <c r="AU239">
        <v>1</v>
      </c>
      <c r="AV239">
        <v>0</v>
      </c>
      <c r="AW239">
        <v>0</v>
      </c>
      <c r="AX239">
        <v>0</v>
      </c>
      <c r="AY239">
        <v>0</v>
      </c>
      <c r="AZ239">
        <v>0</v>
      </c>
      <c r="BA239">
        <v>0</v>
      </c>
      <c r="BB239">
        <v>0</v>
      </c>
      <c r="BC239" s="21">
        <v>8</v>
      </c>
      <c r="BD239">
        <v>0</v>
      </c>
      <c r="BE239">
        <v>0</v>
      </c>
      <c r="BF239">
        <v>0</v>
      </c>
      <c r="BG239" s="21">
        <v>2</v>
      </c>
    </row>
    <row r="240" spans="1:59" ht="15" customHeight="1" x14ac:dyDescent="0.25">
      <c r="A240" t="s">
        <v>61</v>
      </c>
      <c r="B240" s="21">
        <v>71</v>
      </c>
      <c r="C240" s="21">
        <v>2</v>
      </c>
      <c r="E240" s="21">
        <v>1</v>
      </c>
      <c r="F240" s="21">
        <v>2</v>
      </c>
      <c r="G240" s="21">
        <v>2</v>
      </c>
      <c r="H240" s="21">
        <v>2</v>
      </c>
      <c r="I240" s="21">
        <v>2</v>
      </c>
      <c r="J240">
        <v>2</v>
      </c>
      <c r="K240" s="21">
        <v>2</v>
      </c>
      <c r="L240" s="21">
        <v>2</v>
      </c>
      <c r="M240" s="21">
        <v>2</v>
      </c>
      <c r="N240" s="21">
        <v>2</v>
      </c>
      <c r="O240">
        <v>11.3</v>
      </c>
      <c r="P240">
        <v>34.4</v>
      </c>
      <c r="Q240">
        <v>76.3</v>
      </c>
      <c r="R240">
        <v>14.31</v>
      </c>
      <c r="Y240">
        <v>1686</v>
      </c>
      <c r="AG240">
        <v>1</v>
      </c>
      <c r="AH240">
        <v>1</v>
      </c>
      <c r="AI240">
        <v>1</v>
      </c>
      <c r="AJ240">
        <v>1</v>
      </c>
      <c r="AN240">
        <v>70</v>
      </c>
      <c r="AO240">
        <v>0</v>
      </c>
      <c r="AP240">
        <v>0</v>
      </c>
      <c r="AQ240">
        <v>0</v>
      </c>
      <c r="AR240">
        <v>0</v>
      </c>
      <c r="AS240">
        <v>0</v>
      </c>
      <c r="AT240">
        <v>0</v>
      </c>
      <c r="AU240">
        <v>0</v>
      </c>
      <c r="AV240">
        <v>0</v>
      </c>
      <c r="AW240">
        <v>2</v>
      </c>
      <c r="AX240">
        <v>2</v>
      </c>
      <c r="AY240">
        <v>2</v>
      </c>
      <c r="AZ240">
        <v>1</v>
      </c>
      <c r="BA240">
        <v>1</v>
      </c>
      <c r="BB240">
        <v>1</v>
      </c>
      <c r="BC240" s="21">
        <v>9</v>
      </c>
      <c r="BD240">
        <v>0</v>
      </c>
      <c r="BE240">
        <v>0</v>
      </c>
      <c r="BF240">
        <v>0</v>
      </c>
      <c r="BG240" s="21">
        <v>2</v>
      </c>
    </row>
    <row r="241" spans="1:59" ht="15" customHeight="1" x14ac:dyDescent="0.25">
      <c r="A241" t="s">
        <v>274</v>
      </c>
      <c r="B241" s="21">
        <v>76</v>
      </c>
      <c r="C241" s="21">
        <v>2</v>
      </c>
      <c r="E241" s="21">
        <v>1</v>
      </c>
      <c r="F241" s="21">
        <v>1</v>
      </c>
      <c r="G241" s="21">
        <v>2</v>
      </c>
      <c r="H241" s="21">
        <v>1</v>
      </c>
      <c r="I241" s="21">
        <v>2</v>
      </c>
      <c r="J241">
        <v>2</v>
      </c>
      <c r="K241" s="21">
        <v>2</v>
      </c>
      <c r="L241" s="21">
        <v>2</v>
      </c>
      <c r="M241" s="21">
        <v>2</v>
      </c>
      <c r="N241" s="21">
        <v>1</v>
      </c>
      <c r="O241">
        <v>9.6</v>
      </c>
      <c r="P241">
        <v>29.9</v>
      </c>
      <c r="R241">
        <v>5.43</v>
      </c>
      <c r="S241">
        <v>4.8</v>
      </c>
      <c r="T241">
        <v>158</v>
      </c>
      <c r="U241">
        <v>108.2</v>
      </c>
      <c r="V241">
        <v>40</v>
      </c>
      <c r="W241">
        <v>49</v>
      </c>
      <c r="X241">
        <v>9.8000000000000007</v>
      </c>
      <c r="Y241">
        <v>1565</v>
      </c>
      <c r="AG241">
        <v>1</v>
      </c>
      <c r="AH241">
        <v>1</v>
      </c>
      <c r="AI241">
        <v>2</v>
      </c>
      <c r="AN241">
        <v>0</v>
      </c>
      <c r="AO241">
        <v>1</v>
      </c>
      <c r="AP241">
        <v>1</v>
      </c>
      <c r="AQ241">
        <v>2</v>
      </c>
      <c r="AR241">
        <v>2</v>
      </c>
      <c r="AS241">
        <v>1</v>
      </c>
      <c r="AT241">
        <v>1</v>
      </c>
      <c r="AU241">
        <v>1</v>
      </c>
      <c r="BC241" s="21">
        <v>9</v>
      </c>
      <c r="BD241">
        <v>1</v>
      </c>
      <c r="BE241">
        <v>1</v>
      </c>
      <c r="BF241">
        <v>1</v>
      </c>
      <c r="BG241" s="21">
        <v>6</v>
      </c>
    </row>
    <row r="242" spans="1:59" ht="15" customHeight="1" x14ac:dyDescent="0.25">
      <c r="BB242" t="s">
        <v>1170</v>
      </c>
      <c r="BC242" s="21">
        <f>AVERAGE(BC2:BC241)</f>
        <v>8.5083333333333329</v>
      </c>
    </row>
    <row r="243" spans="1:59" ht="15" customHeight="1" x14ac:dyDescent="0.25">
      <c r="E243" s="25"/>
      <c r="F243" s="25"/>
      <c r="G243" s="25"/>
      <c r="H243" s="25"/>
      <c r="I243" s="25"/>
      <c r="J243" s="16"/>
      <c r="K243" s="25"/>
      <c r="L243" s="25"/>
      <c r="M243" s="25"/>
      <c r="N243" s="25"/>
      <c r="BB243" t="s">
        <v>1171</v>
      </c>
      <c r="BC243" s="21">
        <f>_xlfn.STDEV.S(BC2:BC241)</f>
        <v>1.9957940433119314</v>
      </c>
    </row>
    <row r="244" spans="1:59" ht="15" customHeight="1" x14ac:dyDescent="0.25">
      <c r="BB244" t="s">
        <v>1172</v>
      </c>
      <c r="BC244" s="21">
        <f>MEDIAN(BC2:BC241)</f>
        <v>9</v>
      </c>
    </row>
  </sheetData>
  <autoFilter ref="C2:C241" xr:uid="{93374A84-10EF-4813-9D6B-555611E94ED3}"/>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FF27-AA15-4E2E-84B8-C59A304D2B07}">
  <dimension ref="A1:I237"/>
  <sheetViews>
    <sheetView topLeftCell="A166" workbookViewId="0">
      <selection activeCell="E4" sqref="E4:E187"/>
    </sheetView>
  </sheetViews>
  <sheetFormatPr defaultRowHeight="15" x14ac:dyDescent="0.25"/>
  <sheetData>
    <row r="1" spans="1:9" x14ac:dyDescent="0.25">
      <c r="A1" t="s">
        <v>844</v>
      </c>
      <c r="B1" t="s">
        <v>761</v>
      </c>
      <c r="C1" t="s">
        <v>845</v>
      </c>
      <c r="D1" t="s">
        <v>846</v>
      </c>
    </row>
    <row r="2" spans="1:9" x14ac:dyDescent="0.25">
      <c r="A2" s="4" t="s">
        <v>761</v>
      </c>
      <c r="B2" s="4" t="s">
        <v>762</v>
      </c>
      <c r="C2" s="4" t="s">
        <v>763</v>
      </c>
      <c r="D2" s="4" t="s">
        <v>764</v>
      </c>
    </row>
    <row r="3" spans="1:9" x14ac:dyDescent="0.25">
      <c r="A3" t="s">
        <v>1</v>
      </c>
      <c r="B3" t="s">
        <v>2</v>
      </c>
      <c r="C3" t="s">
        <v>3</v>
      </c>
      <c r="D3" t="s">
        <v>4</v>
      </c>
      <c r="E3" t="s">
        <v>1176</v>
      </c>
      <c r="F3" t="s">
        <v>761</v>
      </c>
      <c r="G3" t="s">
        <v>762</v>
      </c>
      <c r="H3" t="s">
        <v>763</v>
      </c>
      <c r="I3" t="s">
        <v>764</v>
      </c>
    </row>
    <row r="4" spans="1:9" x14ac:dyDescent="0.25">
      <c r="A4">
        <v>1</v>
      </c>
      <c r="B4">
        <v>2</v>
      </c>
      <c r="C4">
        <v>1</v>
      </c>
      <c r="D4">
        <v>4</v>
      </c>
      <c r="E4" t="str">
        <f>IF(OR((A4=2), (B4&lt;=2),(C4&lt;=2),(D4&lt;=3)),"Poor","Good")</f>
        <v>Poor</v>
      </c>
      <c r="F4" t="str">
        <f>IF(A4=2,"Poor","Good")</f>
        <v>Good</v>
      </c>
      <c r="G4" t="str">
        <f>IF(B4&lt;=2,"Poor","Good")</f>
        <v>Poor</v>
      </c>
      <c r="H4" t="str">
        <f>IF(C4&lt;=2,"Poor","Good")</f>
        <v>Poor</v>
      </c>
      <c r="I4" t="str">
        <f>IF(D4&lt;=3,"Poor","Good")</f>
        <v>Good</v>
      </c>
    </row>
    <row r="5" spans="1:9" x14ac:dyDescent="0.25">
      <c r="A5">
        <v>1</v>
      </c>
      <c r="B5">
        <v>2</v>
      </c>
      <c r="C5">
        <v>2</v>
      </c>
      <c r="D5">
        <v>2</v>
      </c>
      <c r="E5" t="str">
        <f t="shared" ref="E5:E68" si="0">IF(OR((A5=2), (B5&lt;=2),(C5&lt;=2),(D5&lt;=3)),"Poor","Good")</f>
        <v>Poor</v>
      </c>
      <c r="F5" t="str">
        <f t="shared" ref="F5:F68" si="1">IF(A5=2,"Poor","Good")</f>
        <v>Good</v>
      </c>
      <c r="G5" t="str">
        <f t="shared" ref="G5:G68" si="2">IF(B5&lt;=2,"Poor","Good")</f>
        <v>Poor</v>
      </c>
      <c r="H5" t="str">
        <f t="shared" ref="H5:H68" si="3">IF(C5&lt;=2,"Poor","Good")</f>
        <v>Poor</v>
      </c>
      <c r="I5" t="str">
        <f t="shared" ref="I5:I68" si="4">IF(D5&lt;=3,"Poor","Good")</f>
        <v>Poor</v>
      </c>
    </row>
    <row r="6" spans="1:9" x14ac:dyDescent="0.25">
      <c r="A6">
        <v>1</v>
      </c>
      <c r="B6">
        <v>2</v>
      </c>
      <c r="C6">
        <v>1</v>
      </c>
      <c r="D6">
        <v>1</v>
      </c>
      <c r="E6" t="str">
        <f t="shared" si="0"/>
        <v>Poor</v>
      </c>
      <c r="F6" t="str">
        <f t="shared" si="1"/>
        <v>Good</v>
      </c>
      <c r="G6" t="str">
        <f t="shared" si="2"/>
        <v>Poor</v>
      </c>
      <c r="H6" t="str">
        <f t="shared" si="3"/>
        <v>Poor</v>
      </c>
      <c r="I6" t="str">
        <f t="shared" si="4"/>
        <v>Poor</v>
      </c>
    </row>
    <row r="7" spans="1:9" x14ac:dyDescent="0.25">
      <c r="A7">
        <v>1</v>
      </c>
      <c r="B7">
        <v>2</v>
      </c>
      <c r="C7">
        <v>1</v>
      </c>
      <c r="D7">
        <v>1</v>
      </c>
      <c r="E7" t="str">
        <f t="shared" si="0"/>
        <v>Poor</v>
      </c>
      <c r="F7" t="str">
        <f t="shared" si="1"/>
        <v>Good</v>
      </c>
      <c r="G7" t="str">
        <f t="shared" si="2"/>
        <v>Poor</v>
      </c>
      <c r="H7" t="str">
        <f t="shared" si="3"/>
        <v>Poor</v>
      </c>
      <c r="I7" t="str">
        <f t="shared" si="4"/>
        <v>Poor</v>
      </c>
    </row>
    <row r="8" spans="1:9" x14ac:dyDescent="0.25">
      <c r="A8">
        <v>2</v>
      </c>
      <c r="B8">
        <v>1</v>
      </c>
      <c r="C8">
        <v>2</v>
      </c>
      <c r="D8">
        <v>5</v>
      </c>
      <c r="E8" t="str">
        <f t="shared" si="0"/>
        <v>Poor</v>
      </c>
      <c r="F8" t="str">
        <f t="shared" si="1"/>
        <v>Poor</v>
      </c>
      <c r="G8" t="str">
        <f t="shared" si="2"/>
        <v>Poor</v>
      </c>
      <c r="H8" t="str">
        <f t="shared" si="3"/>
        <v>Poor</v>
      </c>
      <c r="I8" t="str">
        <f t="shared" si="4"/>
        <v>Good</v>
      </c>
    </row>
    <row r="9" spans="1:9" x14ac:dyDescent="0.25">
      <c r="A9" s="8">
        <v>2</v>
      </c>
      <c r="B9" s="8">
        <v>1</v>
      </c>
      <c r="C9" s="8">
        <v>2</v>
      </c>
      <c r="D9" s="8">
        <v>4</v>
      </c>
      <c r="E9" t="str">
        <f t="shared" si="0"/>
        <v>Poor</v>
      </c>
      <c r="F9" t="str">
        <f t="shared" si="1"/>
        <v>Poor</v>
      </c>
      <c r="G9" t="str">
        <f t="shared" si="2"/>
        <v>Poor</v>
      </c>
      <c r="H9" t="str">
        <f t="shared" si="3"/>
        <v>Poor</v>
      </c>
      <c r="I9" t="str">
        <f t="shared" si="4"/>
        <v>Good</v>
      </c>
    </row>
    <row r="10" spans="1:9" x14ac:dyDescent="0.25">
      <c r="A10">
        <v>2</v>
      </c>
      <c r="B10">
        <v>1</v>
      </c>
      <c r="C10">
        <v>3</v>
      </c>
      <c r="D10">
        <v>4</v>
      </c>
      <c r="E10" t="str">
        <f t="shared" si="0"/>
        <v>Poor</v>
      </c>
      <c r="F10" t="str">
        <f t="shared" si="1"/>
        <v>Poor</v>
      </c>
      <c r="G10" t="str">
        <f t="shared" si="2"/>
        <v>Poor</v>
      </c>
      <c r="H10" t="str">
        <f t="shared" si="3"/>
        <v>Good</v>
      </c>
      <c r="I10" t="str">
        <f t="shared" si="4"/>
        <v>Good</v>
      </c>
    </row>
    <row r="11" spans="1:9" x14ac:dyDescent="0.25">
      <c r="A11">
        <v>2</v>
      </c>
      <c r="B11">
        <v>2</v>
      </c>
      <c r="C11">
        <v>2</v>
      </c>
      <c r="D11">
        <v>3</v>
      </c>
      <c r="E11" t="str">
        <f t="shared" si="0"/>
        <v>Poor</v>
      </c>
      <c r="F11" t="str">
        <f t="shared" si="1"/>
        <v>Poor</v>
      </c>
      <c r="G11" t="str">
        <f t="shared" si="2"/>
        <v>Poor</v>
      </c>
      <c r="H11" t="str">
        <f t="shared" si="3"/>
        <v>Poor</v>
      </c>
      <c r="I11" t="str">
        <f t="shared" si="4"/>
        <v>Poor</v>
      </c>
    </row>
    <row r="12" spans="1:9" x14ac:dyDescent="0.25">
      <c r="A12">
        <v>2</v>
      </c>
      <c r="B12">
        <v>2</v>
      </c>
      <c r="C12">
        <v>1</v>
      </c>
      <c r="D12">
        <v>4</v>
      </c>
      <c r="E12" t="str">
        <f t="shared" si="0"/>
        <v>Poor</v>
      </c>
      <c r="F12" t="str">
        <f t="shared" si="1"/>
        <v>Poor</v>
      </c>
      <c r="G12" t="str">
        <f t="shared" si="2"/>
        <v>Poor</v>
      </c>
      <c r="H12" t="str">
        <f t="shared" si="3"/>
        <v>Poor</v>
      </c>
      <c r="I12" t="str">
        <f t="shared" si="4"/>
        <v>Good</v>
      </c>
    </row>
    <row r="13" spans="1:9" x14ac:dyDescent="0.25">
      <c r="A13">
        <v>2</v>
      </c>
      <c r="B13">
        <v>2</v>
      </c>
      <c r="C13">
        <v>3</v>
      </c>
      <c r="D13">
        <v>4</v>
      </c>
      <c r="E13" t="str">
        <f t="shared" si="0"/>
        <v>Poor</v>
      </c>
      <c r="F13" t="str">
        <f t="shared" si="1"/>
        <v>Poor</v>
      </c>
      <c r="G13" t="str">
        <f t="shared" si="2"/>
        <v>Poor</v>
      </c>
      <c r="H13" t="str">
        <f t="shared" si="3"/>
        <v>Good</v>
      </c>
      <c r="I13" t="str">
        <f t="shared" si="4"/>
        <v>Good</v>
      </c>
    </row>
    <row r="14" spans="1:9" x14ac:dyDescent="0.25">
      <c r="A14">
        <v>2</v>
      </c>
      <c r="B14">
        <v>1</v>
      </c>
      <c r="C14">
        <v>3</v>
      </c>
      <c r="D14">
        <v>4</v>
      </c>
      <c r="E14" t="str">
        <f t="shared" si="0"/>
        <v>Poor</v>
      </c>
      <c r="F14" t="str">
        <f t="shared" si="1"/>
        <v>Poor</v>
      </c>
      <c r="G14" t="str">
        <f t="shared" si="2"/>
        <v>Poor</v>
      </c>
      <c r="H14" t="str">
        <f t="shared" si="3"/>
        <v>Good</v>
      </c>
      <c r="I14" t="str">
        <f t="shared" si="4"/>
        <v>Good</v>
      </c>
    </row>
    <row r="15" spans="1:9" x14ac:dyDescent="0.25">
      <c r="A15">
        <v>2</v>
      </c>
      <c r="B15">
        <v>2</v>
      </c>
      <c r="C15">
        <v>2</v>
      </c>
      <c r="D15">
        <v>4</v>
      </c>
      <c r="E15" t="str">
        <f t="shared" si="0"/>
        <v>Poor</v>
      </c>
      <c r="F15" t="str">
        <f t="shared" si="1"/>
        <v>Poor</v>
      </c>
      <c r="G15" t="str">
        <f t="shared" si="2"/>
        <v>Poor</v>
      </c>
      <c r="H15" t="str">
        <f t="shared" si="3"/>
        <v>Poor</v>
      </c>
      <c r="I15" t="str">
        <f t="shared" si="4"/>
        <v>Good</v>
      </c>
    </row>
    <row r="16" spans="1:9" x14ac:dyDescent="0.25">
      <c r="A16">
        <v>2</v>
      </c>
      <c r="B16">
        <v>1</v>
      </c>
      <c r="C16">
        <v>2</v>
      </c>
      <c r="D16">
        <v>5</v>
      </c>
      <c r="E16" t="str">
        <f t="shared" si="0"/>
        <v>Poor</v>
      </c>
      <c r="F16" t="str">
        <f t="shared" si="1"/>
        <v>Poor</v>
      </c>
      <c r="G16" t="str">
        <f t="shared" si="2"/>
        <v>Poor</v>
      </c>
      <c r="H16" t="str">
        <f t="shared" si="3"/>
        <v>Poor</v>
      </c>
      <c r="I16" t="str">
        <f t="shared" si="4"/>
        <v>Good</v>
      </c>
    </row>
    <row r="17" spans="1:9" x14ac:dyDescent="0.25">
      <c r="A17">
        <v>2</v>
      </c>
      <c r="B17">
        <v>2</v>
      </c>
      <c r="C17">
        <v>3</v>
      </c>
      <c r="D17">
        <v>4</v>
      </c>
      <c r="E17" t="str">
        <f t="shared" si="0"/>
        <v>Poor</v>
      </c>
      <c r="F17" t="str">
        <f t="shared" si="1"/>
        <v>Poor</v>
      </c>
      <c r="G17" t="str">
        <f t="shared" si="2"/>
        <v>Poor</v>
      </c>
      <c r="H17" t="str">
        <f t="shared" si="3"/>
        <v>Good</v>
      </c>
      <c r="I17" t="str">
        <f t="shared" si="4"/>
        <v>Good</v>
      </c>
    </row>
    <row r="18" spans="1:9" x14ac:dyDescent="0.25">
      <c r="A18">
        <v>2</v>
      </c>
      <c r="B18">
        <v>1</v>
      </c>
      <c r="C18">
        <v>4</v>
      </c>
      <c r="D18">
        <v>5</v>
      </c>
      <c r="E18" t="str">
        <f t="shared" si="0"/>
        <v>Poor</v>
      </c>
      <c r="F18" t="str">
        <f t="shared" si="1"/>
        <v>Poor</v>
      </c>
      <c r="G18" t="str">
        <f t="shared" si="2"/>
        <v>Poor</v>
      </c>
      <c r="H18" t="str">
        <f t="shared" si="3"/>
        <v>Good</v>
      </c>
      <c r="I18" t="str">
        <f t="shared" si="4"/>
        <v>Good</v>
      </c>
    </row>
    <row r="19" spans="1:9" x14ac:dyDescent="0.25">
      <c r="A19">
        <v>2</v>
      </c>
      <c r="B19">
        <v>2</v>
      </c>
      <c r="C19">
        <v>3</v>
      </c>
      <c r="D19">
        <v>4</v>
      </c>
      <c r="E19" t="str">
        <f t="shared" si="0"/>
        <v>Poor</v>
      </c>
      <c r="F19" t="str">
        <f t="shared" si="1"/>
        <v>Poor</v>
      </c>
      <c r="G19" t="str">
        <f t="shared" si="2"/>
        <v>Poor</v>
      </c>
      <c r="H19" t="str">
        <f t="shared" si="3"/>
        <v>Good</v>
      </c>
      <c r="I19" t="str">
        <f t="shared" si="4"/>
        <v>Good</v>
      </c>
    </row>
    <row r="20" spans="1:9" x14ac:dyDescent="0.25">
      <c r="A20">
        <v>2</v>
      </c>
      <c r="B20">
        <v>2</v>
      </c>
      <c r="C20">
        <v>1</v>
      </c>
      <c r="D20">
        <v>2</v>
      </c>
      <c r="E20" t="str">
        <f t="shared" si="0"/>
        <v>Poor</v>
      </c>
      <c r="F20" t="str">
        <f t="shared" si="1"/>
        <v>Poor</v>
      </c>
      <c r="G20" t="str">
        <f t="shared" si="2"/>
        <v>Poor</v>
      </c>
      <c r="H20" t="str">
        <f t="shared" si="3"/>
        <v>Poor</v>
      </c>
      <c r="I20" t="str">
        <f t="shared" si="4"/>
        <v>Poor</v>
      </c>
    </row>
    <row r="21" spans="1:9" x14ac:dyDescent="0.25">
      <c r="A21">
        <v>2</v>
      </c>
      <c r="B21">
        <v>1</v>
      </c>
      <c r="C21">
        <v>1</v>
      </c>
      <c r="D21">
        <v>4</v>
      </c>
      <c r="E21" t="str">
        <f t="shared" si="0"/>
        <v>Poor</v>
      </c>
      <c r="F21" t="str">
        <f t="shared" si="1"/>
        <v>Poor</v>
      </c>
      <c r="G21" t="str">
        <f t="shared" si="2"/>
        <v>Poor</v>
      </c>
      <c r="H21" t="str">
        <f t="shared" si="3"/>
        <v>Poor</v>
      </c>
      <c r="I21" t="str">
        <f t="shared" si="4"/>
        <v>Good</v>
      </c>
    </row>
    <row r="22" spans="1:9" x14ac:dyDescent="0.25">
      <c r="A22">
        <v>2</v>
      </c>
      <c r="B22">
        <v>1</v>
      </c>
      <c r="C22">
        <v>3</v>
      </c>
      <c r="D22">
        <v>5</v>
      </c>
      <c r="E22" t="str">
        <f t="shared" si="0"/>
        <v>Poor</v>
      </c>
      <c r="F22" t="str">
        <f t="shared" si="1"/>
        <v>Poor</v>
      </c>
      <c r="G22" t="str">
        <f t="shared" si="2"/>
        <v>Poor</v>
      </c>
      <c r="H22" t="str">
        <f t="shared" si="3"/>
        <v>Good</v>
      </c>
      <c r="I22" t="str">
        <f t="shared" si="4"/>
        <v>Good</v>
      </c>
    </row>
    <row r="23" spans="1:9" x14ac:dyDescent="0.25">
      <c r="A23">
        <v>2</v>
      </c>
      <c r="B23">
        <v>2</v>
      </c>
      <c r="C23">
        <v>3</v>
      </c>
      <c r="D23">
        <v>4</v>
      </c>
      <c r="E23" t="str">
        <f t="shared" si="0"/>
        <v>Poor</v>
      </c>
      <c r="F23" t="str">
        <f t="shared" si="1"/>
        <v>Poor</v>
      </c>
      <c r="G23" t="str">
        <f t="shared" si="2"/>
        <v>Poor</v>
      </c>
      <c r="H23" t="str">
        <f t="shared" si="3"/>
        <v>Good</v>
      </c>
      <c r="I23" t="str">
        <f t="shared" si="4"/>
        <v>Good</v>
      </c>
    </row>
    <row r="24" spans="1:9" x14ac:dyDescent="0.25">
      <c r="A24" s="8">
        <v>2</v>
      </c>
      <c r="B24" s="8">
        <v>2</v>
      </c>
      <c r="C24" s="8">
        <v>2</v>
      </c>
      <c r="D24" s="8">
        <v>4</v>
      </c>
      <c r="E24" t="str">
        <f t="shared" si="0"/>
        <v>Poor</v>
      </c>
      <c r="F24" t="str">
        <f t="shared" si="1"/>
        <v>Poor</v>
      </c>
      <c r="G24" t="str">
        <f t="shared" si="2"/>
        <v>Poor</v>
      </c>
      <c r="H24" t="str">
        <f t="shared" si="3"/>
        <v>Poor</v>
      </c>
      <c r="I24" t="str">
        <f t="shared" si="4"/>
        <v>Good</v>
      </c>
    </row>
    <row r="25" spans="1:9" x14ac:dyDescent="0.25">
      <c r="A25">
        <v>2</v>
      </c>
      <c r="B25">
        <v>1</v>
      </c>
      <c r="C25">
        <v>1</v>
      </c>
      <c r="D25">
        <v>3</v>
      </c>
      <c r="E25" t="str">
        <f t="shared" si="0"/>
        <v>Poor</v>
      </c>
      <c r="F25" t="str">
        <f t="shared" si="1"/>
        <v>Poor</v>
      </c>
      <c r="G25" t="str">
        <f t="shared" si="2"/>
        <v>Poor</v>
      </c>
      <c r="H25" t="str">
        <f t="shared" si="3"/>
        <v>Poor</v>
      </c>
      <c r="I25" t="str">
        <f t="shared" si="4"/>
        <v>Poor</v>
      </c>
    </row>
    <row r="26" spans="1:9" x14ac:dyDescent="0.25">
      <c r="A26">
        <v>2</v>
      </c>
      <c r="B26">
        <v>1</v>
      </c>
      <c r="C26">
        <v>2</v>
      </c>
      <c r="D26">
        <v>4</v>
      </c>
      <c r="E26" t="str">
        <f t="shared" si="0"/>
        <v>Poor</v>
      </c>
      <c r="F26" t="str">
        <f t="shared" si="1"/>
        <v>Poor</v>
      </c>
      <c r="G26" t="str">
        <f t="shared" si="2"/>
        <v>Poor</v>
      </c>
      <c r="H26" t="str">
        <f t="shared" si="3"/>
        <v>Poor</v>
      </c>
      <c r="I26" t="str">
        <f t="shared" si="4"/>
        <v>Good</v>
      </c>
    </row>
    <row r="27" spans="1:9" x14ac:dyDescent="0.25">
      <c r="A27">
        <v>2</v>
      </c>
      <c r="B27">
        <v>2</v>
      </c>
      <c r="C27">
        <v>3</v>
      </c>
      <c r="D27">
        <v>3</v>
      </c>
      <c r="E27" t="str">
        <f t="shared" si="0"/>
        <v>Poor</v>
      </c>
      <c r="F27" t="str">
        <f t="shared" si="1"/>
        <v>Poor</v>
      </c>
      <c r="G27" t="str">
        <f t="shared" si="2"/>
        <v>Poor</v>
      </c>
      <c r="H27" t="str">
        <f t="shared" si="3"/>
        <v>Good</v>
      </c>
      <c r="I27" t="str">
        <f t="shared" si="4"/>
        <v>Poor</v>
      </c>
    </row>
    <row r="28" spans="1:9" x14ac:dyDescent="0.25">
      <c r="A28">
        <v>2</v>
      </c>
      <c r="B28">
        <v>2</v>
      </c>
      <c r="C28">
        <v>1</v>
      </c>
      <c r="D28">
        <v>3</v>
      </c>
      <c r="E28" t="str">
        <f t="shared" si="0"/>
        <v>Poor</v>
      </c>
      <c r="F28" t="str">
        <f t="shared" si="1"/>
        <v>Poor</v>
      </c>
      <c r="G28" t="str">
        <f t="shared" si="2"/>
        <v>Poor</v>
      </c>
      <c r="H28" t="str">
        <f t="shared" si="3"/>
        <v>Poor</v>
      </c>
      <c r="I28" t="str">
        <f t="shared" si="4"/>
        <v>Poor</v>
      </c>
    </row>
    <row r="29" spans="1:9" x14ac:dyDescent="0.25">
      <c r="A29">
        <v>2</v>
      </c>
      <c r="B29">
        <v>2</v>
      </c>
      <c r="C29">
        <v>1</v>
      </c>
      <c r="D29">
        <v>4</v>
      </c>
      <c r="E29" t="str">
        <f t="shared" si="0"/>
        <v>Poor</v>
      </c>
      <c r="F29" t="str">
        <f t="shared" si="1"/>
        <v>Poor</v>
      </c>
      <c r="G29" t="str">
        <f t="shared" si="2"/>
        <v>Poor</v>
      </c>
      <c r="H29" t="str">
        <f t="shared" si="3"/>
        <v>Poor</v>
      </c>
      <c r="I29" t="str">
        <f t="shared" si="4"/>
        <v>Good</v>
      </c>
    </row>
    <row r="30" spans="1:9" x14ac:dyDescent="0.25">
      <c r="A30">
        <v>2</v>
      </c>
      <c r="B30">
        <v>1</v>
      </c>
      <c r="C30">
        <v>3</v>
      </c>
      <c r="D30">
        <v>4</v>
      </c>
      <c r="E30" t="str">
        <f t="shared" si="0"/>
        <v>Poor</v>
      </c>
      <c r="F30" t="str">
        <f t="shared" si="1"/>
        <v>Poor</v>
      </c>
      <c r="G30" t="str">
        <f t="shared" si="2"/>
        <v>Poor</v>
      </c>
      <c r="H30" t="str">
        <f t="shared" si="3"/>
        <v>Good</v>
      </c>
      <c r="I30" t="str">
        <f t="shared" si="4"/>
        <v>Good</v>
      </c>
    </row>
    <row r="31" spans="1:9" x14ac:dyDescent="0.25">
      <c r="A31">
        <v>2</v>
      </c>
      <c r="B31">
        <v>1</v>
      </c>
      <c r="C31">
        <v>2</v>
      </c>
      <c r="D31">
        <v>5</v>
      </c>
      <c r="E31" t="str">
        <f t="shared" si="0"/>
        <v>Poor</v>
      </c>
      <c r="F31" t="str">
        <f t="shared" si="1"/>
        <v>Poor</v>
      </c>
      <c r="G31" t="str">
        <f t="shared" si="2"/>
        <v>Poor</v>
      </c>
      <c r="H31" t="str">
        <f t="shared" si="3"/>
        <v>Poor</v>
      </c>
      <c r="I31" t="str">
        <f t="shared" si="4"/>
        <v>Good</v>
      </c>
    </row>
    <row r="32" spans="1:9" x14ac:dyDescent="0.25">
      <c r="A32">
        <v>2</v>
      </c>
      <c r="B32">
        <v>2</v>
      </c>
      <c r="C32">
        <v>1</v>
      </c>
      <c r="D32">
        <v>3</v>
      </c>
      <c r="E32" t="str">
        <f t="shared" si="0"/>
        <v>Poor</v>
      </c>
      <c r="F32" t="str">
        <f t="shared" si="1"/>
        <v>Poor</v>
      </c>
      <c r="G32" t="str">
        <f t="shared" si="2"/>
        <v>Poor</v>
      </c>
      <c r="H32" t="str">
        <f t="shared" si="3"/>
        <v>Poor</v>
      </c>
      <c r="I32" t="str">
        <f t="shared" si="4"/>
        <v>Poor</v>
      </c>
    </row>
    <row r="33" spans="1:9" x14ac:dyDescent="0.25">
      <c r="A33">
        <v>2</v>
      </c>
      <c r="B33">
        <v>2</v>
      </c>
      <c r="C33">
        <v>2</v>
      </c>
      <c r="D33">
        <v>2</v>
      </c>
      <c r="E33" t="str">
        <f t="shared" si="0"/>
        <v>Poor</v>
      </c>
      <c r="F33" t="str">
        <f t="shared" si="1"/>
        <v>Poor</v>
      </c>
      <c r="G33" t="str">
        <f t="shared" si="2"/>
        <v>Poor</v>
      </c>
      <c r="H33" t="str">
        <f t="shared" si="3"/>
        <v>Poor</v>
      </c>
      <c r="I33" t="str">
        <f t="shared" si="4"/>
        <v>Poor</v>
      </c>
    </row>
    <row r="34" spans="1:9" x14ac:dyDescent="0.25">
      <c r="A34">
        <v>2</v>
      </c>
      <c r="B34">
        <v>1</v>
      </c>
      <c r="C34">
        <v>3</v>
      </c>
      <c r="D34">
        <v>4</v>
      </c>
      <c r="E34" t="str">
        <f t="shared" si="0"/>
        <v>Poor</v>
      </c>
      <c r="F34" t="str">
        <f t="shared" si="1"/>
        <v>Poor</v>
      </c>
      <c r="G34" t="str">
        <f t="shared" si="2"/>
        <v>Poor</v>
      </c>
      <c r="H34" t="str">
        <f t="shared" si="3"/>
        <v>Good</v>
      </c>
      <c r="I34" t="str">
        <f t="shared" si="4"/>
        <v>Good</v>
      </c>
    </row>
    <row r="35" spans="1:9" x14ac:dyDescent="0.25">
      <c r="A35" s="8">
        <v>2</v>
      </c>
      <c r="B35" s="8">
        <v>2</v>
      </c>
      <c r="C35" s="8">
        <v>1</v>
      </c>
      <c r="D35" s="8">
        <v>4</v>
      </c>
      <c r="E35" t="str">
        <f t="shared" si="0"/>
        <v>Poor</v>
      </c>
      <c r="F35" t="str">
        <f t="shared" si="1"/>
        <v>Poor</v>
      </c>
      <c r="G35" t="str">
        <f t="shared" si="2"/>
        <v>Poor</v>
      </c>
      <c r="H35" t="str">
        <f t="shared" si="3"/>
        <v>Poor</v>
      </c>
      <c r="I35" t="str">
        <f t="shared" si="4"/>
        <v>Good</v>
      </c>
    </row>
    <row r="36" spans="1:9" x14ac:dyDescent="0.25">
      <c r="A36">
        <v>2</v>
      </c>
      <c r="B36">
        <v>2</v>
      </c>
      <c r="C36">
        <v>2</v>
      </c>
      <c r="D36">
        <v>3</v>
      </c>
      <c r="E36" t="str">
        <f t="shared" si="0"/>
        <v>Poor</v>
      </c>
      <c r="F36" t="str">
        <f t="shared" si="1"/>
        <v>Poor</v>
      </c>
      <c r="G36" t="str">
        <f t="shared" si="2"/>
        <v>Poor</v>
      </c>
      <c r="H36" t="str">
        <f t="shared" si="3"/>
        <v>Poor</v>
      </c>
      <c r="I36" t="str">
        <f t="shared" si="4"/>
        <v>Poor</v>
      </c>
    </row>
    <row r="37" spans="1:9" x14ac:dyDescent="0.25">
      <c r="A37">
        <v>2</v>
      </c>
      <c r="B37">
        <v>1</v>
      </c>
      <c r="C37">
        <v>4</v>
      </c>
      <c r="D37">
        <v>5</v>
      </c>
      <c r="E37" t="str">
        <f t="shared" si="0"/>
        <v>Poor</v>
      </c>
      <c r="F37" t="str">
        <f t="shared" si="1"/>
        <v>Poor</v>
      </c>
      <c r="G37" t="str">
        <f t="shared" si="2"/>
        <v>Poor</v>
      </c>
      <c r="H37" t="str">
        <f t="shared" si="3"/>
        <v>Good</v>
      </c>
      <c r="I37" t="str">
        <f t="shared" si="4"/>
        <v>Good</v>
      </c>
    </row>
    <row r="38" spans="1:9" x14ac:dyDescent="0.25">
      <c r="A38">
        <v>2</v>
      </c>
      <c r="B38">
        <v>1</v>
      </c>
      <c r="C38">
        <v>2</v>
      </c>
      <c r="D38">
        <v>4</v>
      </c>
      <c r="E38" t="str">
        <f t="shared" si="0"/>
        <v>Poor</v>
      </c>
      <c r="F38" t="str">
        <f t="shared" si="1"/>
        <v>Poor</v>
      </c>
      <c r="G38" t="str">
        <f t="shared" si="2"/>
        <v>Poor</v>
      </c>
      <c r="H38" t="str">
        <f t="shared" si="3"/>
        <v>Poor</v>
      </c>
      <c r="I38" t="str">
        <f t="shared" si="4"/>
        <v>Good</v>
      </c>
    </row>
    <row r="39" spans="1:9" x14ac:dyDescent="0.25">
      <c r="A39">
        <v>1</v>
      </c>
      <c r="B39">
        <v>3</v>
      </c>
      <c r="C39">
        <v>3</v>
      </c>
      <c r="D39">
        <v>5</v>
      </c>
      <c r="E39" t="str">
        <f t="shared" si="0"/>
        <v>Good</v>
      </c>
      <c r="F39" t="str">
        <f t="shared" si="1"/>
        <v>Good</v>
      </c>
      <c r="G39" t="str">
        <f t="shared" si="2"/>
        <v>Good</v>
      </c>
      <c r="H39" t="str">
        <f t="shared" si="3"/>
        <v>Good</v>
      </c>
      <c r="I39" t="str">
        <f t="shared" si="4"/>
        <v>Good</v>
      </c>
    </row>
    <row r="40" spans="1:9" x14ac:dyDescent="0.25">
      <c r="A40">
        <v>1</v>
      </c>
      <c r="B40">
        <v>3</v>
      </c>
      <c r="C40">
        <v>3</v>
      </c>
      <c r="D40">
        <v>5</v>
      </c>
      <c r="E40" t="str">
        <f t="shared" si="0"/>
        <v>Good</v>
      </c>
      <c r="F40" t="str">
        <f t="shared" si="1"/>
        <v>Good</v>
      </c>
      <c r="G40" t="str">
        <f t="shared" si="2"/>
        <v>Good</v>
      </c>
      <c r="H40" t="str">
        <f t="shared" si="3"/>
        <v>Good</v>
      </c>
      <c r="I40" t="str">
        <f t="shared" si="4"/>
        <v>Good</v>
      </c>
    </row>
    <row r="41" spans="1:9" x14ac:dyDescent="0.25">
      <c r="A41">
        <v>1</v>
      </c>
      <c r="B41">
        <v>3</v>
      </c>
      <c r="C41">
        <v>3</v>
      </c>
      <c r="D41">
        <v>5</v>
      </c>
      <c r="E41" t="str">
        <f t="shared" si="0"/>
        <v>Good</v>
      </c>
      <c r="F41" t="str">
        <f t="shared" si="1"/>
        <v>Good</v>
      </c>
      <c r="G41" t="str">
        <f t="shared" si="2"/>
        <v>Good</v>
      </c>
      <c r="H41" t="str">
        <f t="shared" si="3"/>
        <v>Good</v>
      </c>
      <c r="I41" t="str">
        <f t="shared" si="4"/>
        <v>Good</v>
      </c>
    </row>
    <row r="42" spans="1:9" x14ac:dyDescent="0.25">
      <c r="A42">
        <v>1</v>
      </c>
      <c r="B42">
        <v>3</v>
      </c>
      <c r="C42">
        <v>3</v>
      </c>
      <c r="D42">
        <v>5</v>
      </c>
      <c r="E42" t="str">
        <f t="shared" si="0"/>
        <v>Good</v>
      </c>
      <c r="F42" t="str">
        <f t="shared" si="1"/>
        <v>Good</v>
      </c>
      <c r="G42" t="str">
        <f t="shared" si="2"/>
        <v>Good</v>
      </c>
      <c r="H42" t="str">
        <f t="shared" si="3"/>
        <v>Good</v>
      </c>
      <c r="I42" t="str">
        <f t="shared" si="4"/>
        <v>Good</v>
      </c>
    </row>
    <row r="43" spans="1:9" x14ac:dyDescent="0.25">
      <c r="A43">
        <v>1</v>
      </c>
      <c r="B43">
        <v>3</v>
      </c>
      <c r="C43">
        <v>2</v>
      </c>
      <c r="D43">
        <v>5</v>
      </c>
      <c r="E43" t="str">
        <f t="shared" si="0"/>
        <v>Poor</v>
      </c>
      <c r="F43" t="str">
        <f t="shared" si="1"/>
        <v>Good</v>
      </c>
      <c r="G43" t="str">
        <f t="shared" si="2"/>
        <v>Good</v>
      </c>
      <c r="H43" t="str">
        <f t="shared" si="3"/>
        <v>Poor</v>
      </c>
      <c r="I43" t="str">
        <f t="shared" si="4"/>
        <v>Good</v>
      </c>
    </row>
    <row r="44" spans="1:9" x14ac:dyDescent="0.25">
      <c r="A44">
        <v>1</v>
      </c>
      <c r="B44">
        <v>3</v>
      </c>
      <c r="C44">
        <v>3</v>
      </c>
      <c r="D44">
        <v>5</v>
      </c>
      <c r="E44" t="str">
        <f t="shared" si="0"/>
        <v>Good</v>
      </c>
      <c r="F44" t="str">
        <f t="shared" si="1"/>
        <v>Good</v>
      </c>
      <c r="G44" t="str">
        <f t="shared" si="2"/>
        <v>Good</v>
      </c>
      <c r="H44" t="str">
        <f t="shared" si="3"/>
        <v>Good</v>
      </c>
      <c r="I44" t="str">
        <f t="shared" si="4"/>
        <v>Good</v>
      </c>
    </row>
    <row r="45" spans="1:9" x14ac:dyDescent="0.25">
      <c r="A45">
        <v>1</v>
      </c>
      <c r="B45">
        <v>3</v>
      </c>
      <c r="C45">
        <v>3</v>
      </c>
      <c r="D45">
        <v>5</v>
      </c>
      <c r="E45" t="str">
        <f t="shared" si="0"/>
        <v>Good</v>
      </c>
      <c r="F45" t="str">
        <f t="shared" si="1"/>
        <v>Good</v>
      </c>
      <c r="G45" t="str">
        <f t="shared" si="2"/>
        <v>Good</v>
      </c>
      <c r="H45" t="str">
        <f t="shared" si="3"/>
        <v>Good</v>
      </c>
      <c r="I45" t="str">
        <f t="shared" si="4"/>
        <v>Good</v>
      </c>
    </row>
    <row r="46" spans="1:9" x14ac:dyDescent="0.25">
      <c r="A46">
        <v>1</v>
      </c>
      <c r="B46">
        <v>3</v>
      </c>
      <c r="C46">
        <v>3</v>
      </c>
      <c r="D46">
        <v>5</v>
      </c>
      <c r="E46" t="str">
        <f t="shared" si="0"/>
        <v>Good</v>
      </c>
      <c r="F46" t="str">
        <f t="shared" si="1"/>
        <v>Good</v>
      </c>
      <c r="G46" t="str">
        <f t="shared" si="2"/>
        <v>Good</v>
      </c>
      <c r="H46" t="str">
        <f t="shared" si="3"/>
        <v>Good</v>
      </c>
      <c r="I46" t="str">
        <f t="shared" si="4"/>
        <v>Good</v>
      </c>
    </row>
    <row r="47" spans="1:9" x14ac:dyDescent="0.25">
      <c r="A47">
        <v>1</v>
      </c>
      <c r="B47">
        <v>3</v>
      </c>
      <c r="C47">
        <v>3</v>
      </c>
      <c r="D47">
        <v>5</v>
      </c>
      <c r="E47" t="str">
        <f t="shared" si="0"/>
        <v>Good</v>
      </c>
      <c r="F47" t="str">
        <f t="shared" si="1"/>
        <v>Good</v>
      </c>
      <c r="G47" t="str">
        <f t="shared" si="2"/>
        <v>Good</v>
      </c>
      <c r="H47" t="str">
        <f t="shared" si="3"/>
        <v>Good</v>
      </c>
      <c r="I47" t="str">
        <f t="shared" si="4"/>
        <v>Good</v>
      </c>
    </row>
    <row r="48" spans="1:9" x14ac:dyDescent="0.25">
      <c r="A48">
        <v>1</v>
      </c>
      <c r="B48">
        <v>3</v>
      </c>
      <c r="C48">
        <v>3</v>
      </c>
      <c r="D48">
        <v>5</v>
      </c>
      <c r="E48" t="str">
        <f t="shared" si="0"/>
        <v>Good</v>
      </c>
      <c r="F48" t="str">
        <f t="shared" si="1"/>
        <v>Good</v>
      </c>
      <c r="G48" t="str">
        <f t="shared" si="2"/>
        <v>Good</v>
      </c>
      <c r="H48" t="str">
        <f t="shared" si="3"/>
        <v>Good</v>
      </c>
      <c r="I48" t="str">
        <f t="shared" si="4"/>
        <v>Good</v>
      </c>
    </row>
    <row r="49" spans="1:9" x14ac:dyDescent="0.25">
      <c r="A49">
        <v>1</v>
      </c>
      <c r="B49">
        <v>3</v>
      </c>
      <c r="C49">
        <v>3</v>
      </c>
      <c r="D49">
        <v>5</v>
      </c>
      <c r="E49" t="str">
        <f t="shared" si="0"/>
        <v>Good</v>
      </c>
      <c r="F49" t="str">
        <f t="shared" si="1"/>
        <v>Good</v>
      </c>
      <c r="G49" t="str">
        <f t="shared" si="2"/>
        <v>Good</v>
      </c>
      <c r="H49" t="str">
        <f t="shared" si="3"/>
        <v>Good</v>
      </c>
      <c r="I49" t="str">
        <f t="shared" si="4"/>
        <v>Good</v>
      </c>
    </row>
    <row r="50" spans="1:9" x14ac:dyDescent="0.25">
      <c r="A50">
        <v>1</v>
      </c>
      <c r="B50">
        <v>3</v>
      </c>
      <c r="C50">
        <v>3</v>
      </c>
      <c r="D50">
        <v>5</v>
      </c>
      <c r="E50" t="str">
        <f t="shared" si="0"/>
        <v>Good</v>
      </c>
      <c r="F50" t="str">
        <f t="shared" si="1"/>
        <v>Good</v>
      </c>
      <c r="G50" t="str">
        <f t="shared" si="2"/>
        <v>Good</v>
      </c>
      <c r="H50" t="str">
        <f t="shared" si="3"/>
        <v>Good</v>
      </c>
      <c r="I50" t="str">
        <f t="shared" si="4"/>
        <v>Good</v>
      </c>
    </row>
    <row r="51" spans="1:9" x14ac:dyDescent="0.25">
      <c r="A51">
        <v>1</v>
      </c>
      <c r="B51">
        <v>3</v>
      </c>
      <c r="C51">
        <v>3</v>
      </c>
      <c r="D51">
        <v>5</v>
      </c>
      <c r="E51" t="str">
        <f t="shared" si="0"/>
        <v>Good</v>
      </c>
      <c r="F51" t="str">
        <f t="shared" si="1"/>
        <v>Good</v>
      </c>
      <c r="G51" t="str">
        <f t="shared" si="2"/>
        <v>Good</v>
      </c>
      <c r="H51" t="str">
        <f t="shared" si="3"/>
        <v>Good</v>
      </c>
      <c r="I51" t="str">
        <f t="shared" si="4"/>
        <v>Good</v>
      </c>
    </row>
    <row r="52" spans="1:9" x14ac:dyDescent="0.25">
      <c r="A52">
        <v>1</v>
      </c>
      <c r="B52">
        <v>3</v>
      </c>
      <c r="C52">
        <v>3</v>
      </c>
      <c r="D52">
        <v>5</v>
      </c>
      <c r="E52" t="str">
        <f t="shared" si="0"/>
        <v>Good</v>
      </c>
      <c r="F52" t="str">
        <f t="shared" si="1"/>
        <v>Good</v>
      </c>
      <c r="G52" t="str">
        <f t="shared" si="2"/>
        <v>Good</v>
      </c>
      <c r="H52" t="str">
        <f t="shared" si="3"/>
        <v>Good</v>
      </c>
      <c r="I52" t="str">
        <f t="shared" si="4"/>
        <v>Good</v>
      </c>
    </row>
    <row r="53" spans="1:9" x14ac:dyDescent="0.25">
      <c r="A53">
        <v>1</v>
      </c>
      <c r="B53">
        <v>3</v>
      </c>
      <c r="C53">
        <v>3</v>
      </c>
      <c r="D53">
        <v>5</v>
      </c>
      <c r="E53" t="str">
        <f t="shared" si="0"/>
        <v>Good</v>
      </c>
      <c r="F53" t="str">
        <f t="shared" si="1"/>
        <v>Good</v>
      </c>
      <c r="G53" t="str">
        <f t="shared" si="2"/>
        <v>Good</v>
      </c>
      <c r="H53" t="str">
        <f t="shared" si="3"/>
        <v>Good</v>
      </c>
      <c r="I53" t="str">
        <f t="shared" si="4"/>
        <v>Good</v>
      </c>
    </row>
    <row r="54" spans="1:9" x14ac:dyDescent="0.25">
      <c r="A54">
        <v>1</v>
      </c>
      <c r="B54">
        <v>3</v>
      </c>
      <c r="C54">
        <v>3</v>
      </c>
      <c r="D54">
        <v>5</v>
      </c>
      <c r="E54" t="str">
        <f t="shared" si="0"/>
        <v>Good</v>
      </c>
      <c r="F54" t="str">
        <f t="shared" si="1"/>
        <v>Good</v>
      </c>
      <c r="G54" t="str">
        <f t="shared" si="2"/>
        <v>Good</v>
      </c>
      <c r="H54" t="str">
        <f t="shared" si="3"/>
        <v>Good</v>
      </c>
      <c r="I54" t="str">
        <f t="shared" si="4"/>
        <v>Good</v>
      </c>
    </row>
    <row r="55" spans="1:9" x14ac:dyDescent="0.25">
      <c r="A55">
        <v>1</v>
      </c>
      <c r="B55">
        <v>3</v>
      </c>
      <c r="C55">
        <v>3</v>
      </c>
      <c r="D55">
        <v>5</v>
      </c>
      <c r="E55" t="str">
        <f t="shared" si="0"/>
        <v>Good</v>
      </c>
      <c r="F55" t="str">
        <f t="shared" si="1"/>
        <v>Good</v>
      </c>
      <c r="G55" t="str">
        <f t="shared" si="2"/>
        <v>Good</v>
      </c>
      <c r="H55" t="str">
        <f t="shared" si="3"/>
        <v>Good</v>
      </c>
      <c r="I55" t="str">
        <f t="shared" si="4"/>
        <v>Good</v>
      </c>
    </row>
    <row r="56" spans="1:9" x14ac:dyDescent="0.25">
      <c r="A56">
        <v>1</v>
      </c>
      <c r="B56">
        <v>3</v>
      </c>
      <c r="C56">
        <v>3</v>
      </c>
      <c r="D56">
        <v>5</v>
      </c>
      <c r="E56" t="str">
        <f t="shared" si="0"/>
        <v>Good</v>
      </c>
      <c r="F56" t="str">
        <f t="shared" si="1"/>
        <v>Good</v>
      </c>
      <c r="G56" t="str">
        <f t="shared" si="2"/>
        <v>Good</v>
      </c>
      <c r="H56" t="str">
        <f t="shared" si="3"/>
        <v>Good</v>
      </c>
      <c r="I56" t="str">
        <f t="shared" si="4"/>
        <v>Good</v>
      </c>
    </row>
    <row r="57" spans="1:9" x14ac:dyDescent="0.25">
      <c r="A57">
        <v>1</v>
      </c>
      <c r="B57">
        <v>3</v>
      </c>
      <c r="C57">
        <v>3</v>
      </c>
      <c r="D57">
        <v>5</v>
      </c>
      <c r="E57" t="str">
        <f t="shared" si="0"/>
        <v>Good</v>
      </c>
      <c r="F57" t="str">
        <f t="shared" si="1"/>
        <v>Good</v>
      </c>
      <c r="G57" t="str">
        <f t="shared" si="2"/>
        <v>Good</v>
      </c>
      <c r="H57" t="str">
        <f t="shared" si="3"/>
        <v>Good</v>
      </c>
      <c r="I57" t="str">
        <f t="shared" si="4"/>
        <v>Good</v>
      </c>
    </row>
    <row r="58" spans="1:9" x14ac:dyDescent="0.25">
      <c r="A58">
        <v>1</v>
      </c>
      <c r="B58">
        <v>3</v>
      </c>
      <c r="C58">
        <v>3</v>
      </c>
      <c r="D58">
        <v>5</v>
      </c>
      <c r="E58" t="str">
        <f t="shared" si="0"/>
        <v>Good</v>
      </c>
      <c r="F58" t="str">
        <f t="shared" si="1"/>
        <v>Good</v>
      </c>
      <c r="G58" t="str">
        <f t="shared" si="2"/>
        <v>Good</v>
      </c>
      <c r="H58" t="str">
        <f t="shared" si="3"/>
        <v>Good</v>
      </c>
      <c r="I58" t="str">
        <f t="shared" si="4"/>
        <v>Good</v>
      </c>
    </row>
    <row r="59" spans="1:9" x14ac:dyDescent="0.25">
      <c r="A59">
        <v>1</v>
      </c>
      <c r="B59">
        <v>3</v>
      </c>
      <c r="C59">
        <v>3</v>
      </c>
      <c r="D59">
        <v>4</v>
      </c>
      <c r="E59" t="str">
        <f t="shared" si="0"/>
        <v>Good</v>
      </c>
      <c r="F59" t="str">
        <f t="shared" si="1"/>
        <v>Good</v>
      </c>
      <c r="G59" t="str">
        <f t="shared" si="2"/>
        <v>Good</v>
      </c>
      <c r="H59" t="str">
        <f t="shared" si="3"/>
        <v>Good</v>
      </c>
      <c r="I59" t="str">
        <f t="shared" si="4"/>
        <v>Good</v>
      </c>
    </row>
    <row r="60" spans="1:9" x14ac:dyDescent="0.25">
      <c r="A60">
        <v>1</v>
      </c>
      <c r="B60">
        <v>3</v>
      </c>
      <c r="C60">
        <v>3</v>
      </c>
      <c r="D60">
        <v>5</v>
      </c>
      <c r="E60" t="str">
        <f t="shared" si="0"/>
        <v>Good</v>
      </c>
      <c r="F60" t="str">
        <f t="shared" si="1"/>
        <v>Good</v>
      </c>
      <c r="G60" t="str">
        <f t="shared" si="2"/>
        <v>Good</v>
      </c>
      <c r="H60" t="str">
        <f t="shared" si="3"/>
        <v>Good</v>
      </c>
      <c r="I60" t="str">
        <f t="shared" si="4"/>
        <v>Good</v>
      </c>
    </row>
    <row r="61" spans="1:9" x14ac:dyDescent="0.25">
      <c r="A61">
        <v>1</v>
      </c>
      <c r="B61">
        <v>3</v>
      </c>
      <c r="C61">
        <v>3</v>
      </c>
      <c r="D61">
        <v>5</v>
      </c>
      <c r="E61" t="str">
        <f t="shared" si="0"/>
        <v>Good</v>
      </c>
      <c r="F61" t="str">
        <f t="shared" si="1"/>
        <v>Good</v>
      </c>
      <c r="G61" t="str">
        <f t="shared" si="2"/>
        <v>Good</v>
      </c>
      <c r="H61" t="str">
        <f t="shared" si="3"/>
        <v>Good</v>
      </c>
      <c r="I61" t="str">
        <f t="shared" si="4"/>
        <v>Good</v>
      </c>
    </row>
    <row r="62" spans="1:9" x14ac:dyDescent="0.25">
      <c r="A62">
        <v>1</v>
      </c>
      <c r="B62">
        <v>3</v>
      </c>
      <c r="C62">
        <v>3</v>
      </c>
      <c r="D62">
        <v>5</v>
      </c>
      <c r="E62" t="str">
        <f t="shared" si="0"/>
        <v>Good</v>
      </c>
      <c r="F62" t="str">
        <f t="shared" si="1"/>
        <v>Good</v>
      </c>
      <c r="G62" t="str">
        <f t="shared" si="2"/>
        <v>Good</v>
      </c>
      <c r="H62" t="str">
        <f t="shared" si="3"/>
        <v>Good</v>
      </c>
      <c r="I62" t="str">
        <f t="shared" si="4"/>
        <v>Good</v>
      </c>
    </row>
    <row r="63" spans="1:9" x14ac:dyDescent="0.25">
      <c r="A63">
        <v>1</v>
      </c>
      <c r="B63">
        <v>3</v>
      </c>
      <c r="C63">
        <v>3</v>
      </c>
      <c r="D63">
        <v>5</v>
      </c>
      <c r="E63" t="str">
        <f t="shared" si="0"/>
        <v>Good</v>
      </c>
      <c r="F63" t="str">
        <f t="shared" si="1"/>
        <v>Good</v>
      </c>
      <c r="G63" t="str">
        <f t="shared" si="2"/>
        <v>Good</v>
      </c>
      <c r="H63" t="str">
        <f t="shared" si="3"/>
        <v>Good</v>
      </c>
      <c r="I63" t="str">
        <f t="shared" si="4"/>
        <v>Good</v>
      </c>
    </row>
    <row r="64" spans="1:9" x14ac:dyDescent="0.25">
      <c r="A64">
        <v>1</v>
      </c>
      <c r="B64">
        <v>3</v>
      </c>
      <c r="C64">
        <v>3</v>
      </c>
      <c r="D64">
        <v>5</v>
      </c>
      <c r="E64" t="str">
        <f t="shared" si="0"/>
        <v>Good</v>
      </c>
      <c r="F64" t="str">
        <f t="shared" si="1"/>
        <v>Good</v>
      </c>
      <c r="G64" t="str">
        <f t="shared" si="2"/>
        <v>Good</v>
      </c>
      <c r="H64" t="str">
        <f t="shared" si="3"/>
        <v>Good</v>
      </c>
      <c r="I64" t="str">
        <f t="shared" si="4"/>
        <v>Good</v>
      </c>
    </row>
    <row r="65" spans="1:9" x14ac:dyDescent="0.25">
      <c r="A65">
        <v>1</v>
      </c>
      <c r="B65">
        <v>3</v>
      </c>
      <c r="C65">
        <v>3</v>
      </c>
      <c r="D65">
        <v>5</v>
      </c>
      <c r="E65" t="str">
        <f t="shared" si="0"/>
        <v>Good</v>
      </c>
      <c r="F65" t="str">
        <f t="shared" si="1"/>
        <v>Good</v>
      </c>
      <c r="G65" t="str">
        <f t="shared" si="2"/>
        <v>Good</v>
      </c>
      <c r="H65" t="str">
        <f t="shared" si="3"/>
        <v>Good</v>
      </c>
      <c r="I65" t="str">
        <f t="shared" si="4"/>
        <v>Good</v>
      </c>
    </row>
    <row r="66" spans="1:9" x14ac:dyDescent="0.25">
      <c r="A66">
        <v>1</v>
      </c>
      <c r="B66">
        <v>3</v>
      </c>
      <c r="C66">
        <v>2</v>
      </c>
      <c r="D66">
        <v>5</v>
      </c>
      <c r="E66" t="str">
        <f t="shared" si="0"/>
        <v>Poor</v>
      </c>
      <c r="F66" t="str">
        <f t="shared" si="1"/>
        <v>Good</v>
      </c>
      <c r="G66" t="str">
        <f t="shared" si="2"/>
        <v>Good</v>
      </c>
      <c r="H66" t="str">
        <f t="shared" si="3"/>
        <v>Poor</v>
      </c>
      <c r="I66" t="str">
        <f t="shared" si="4"/>
        <v>Good</v>
      </c>
    </row>
    <row r="67" spans="1:9" x14ac:dyDescent="0.25">
      <c r="A67">
        <v>1</v>
      </c>
      <c r="B67">
        <v>3</v>
      </c>
      <c r="C67">
        <v>3</v>
      </c>
      <c r="D67">
        <v>5</v>
      </c>
      <c r="E67" t="str">
        <f t="shared" si="0"/>
        <v>Good</v>
      </c>
      <c r="F67" t="str">
        <f t="shared" si="1"/>
        <v>Good</v>
      </c>
      <c r="G67" t="str">
        <f t="shared" si="2"/>
        <v>Good</v>
      </c>
      <c r="H67" t="str">
        <f t="shared" si="3"/>
        <v>Good</v>
      </c>
      <c r="I67" t="str">
        <f t="shared" si="4"/>
        <v>Good</v>
      </c>
    </row>
    <row r="68" spans="1:9" x14ac:dyDescent="0.25">
      <c r="A68">
        <v>1</v>
      </c>
      <c r="B68">
        <v>3</v>
      </c>
      <c r="C68">
        <v>3</v>
      </c>
      <c r="D68">
        <v>5</v>
      </c>
      <c r="E68" t="str">
        <f t="shared" si="0"/>
        <v>Good</v>
      </c>
      <c r="F68" t="str">
        <f t="shared" si="1"/>
        <v>Good</v>
      </c>
      <c r="G68" t="str">
        <f t="shared" si="2"/>
        <v>Good</v>
      </c>
      <c r="H68" t="str">
        <f t="shared" si="3"/>
        <v>Good</v>
      </c>
      <c r="I68" t="str">
        <f t="shared" si="4"/>
        <v>Good</v>
      </c>
    </row>
    <row r="69" spans="1:9" x14ac:dyDescent="0.25">
      <c r="A69">
        <v>1</v>
      </c>
      <c r="B69">
        <v>3</v>
      </c>
      <c r="C69">
        <v>3</v>
      </c>
      <c r="D69">
        <v>5</v>
      </c>
      <c r="E69" t="str">
        <f t="shared" ref="E69:E132" si="5">IF(OR((A69=2), (B69&lt;=2),(C69&lt;=2),(D69&lt;=3)),"Poor","Good")</f>
        <v>Good</v>
      </c>
      <c r="F69" t="str">
        <f t="shared" ref="F69:F132" si="6">IF(A69=2,"Poor","Good")</f>
        <v>Good</v>
      </c>
      <c r="G69" t="str">
        <f t="shared" ref="G69:G132" si="7">IF(B69&lt;=2,"Poor","Good")</f>
        <v>Good</v>
      </c>
      <c r="H69" t="str">
        <f t="shared" ref="H69:H132" si="8">IF(C69&lt;=2,"Poor","Good")</f>
        <v>Good</v>
      </c>
      <c r="I69" t="str">
        <f t="shared" ref="I69:I132" si="9">IF(D69&lt;=3,"Poor","Good")</f>
        <v>Good</v>
      </c>
    </row>
    <row r="70" spans="1:9" x14ac:dyDescent="0.25">
      <c r="A70">
        <v>1</v>
      </c>
      <c r="B70">
        <v>3</v>
      </c>
      <c r="C70">
        <v>3</v>
      </c>
      <c r="D70">
        <v>5</v>
      </c>
      <c r="E70" t="str">
        <f t="shared" si="5"/>
        <v>Good</v>
      </c>
      <c r="F70" t="str">
        <f t="shared" si="6"/>
        <v>Good</v>
      </c>
      <c r="G70" t="str">
        <f t="shared" si="7"/>
        <v>Good</v>
      </c>
      <c r="H70" t="str">
        <f t="shared" si="8"/>
        <v>Good</v>
      </c>
      <c r="I70" t="str">
        <f t="shared" si="9"/>
        <v>Good</v>
      </c>
    </row>
    <row r="71" spans="1:9" x14ac:dyDescent="0.25">
      <c r="A71">
        <v>1</v>
      </c>
      <c r="B71">
        <v>3</v>
      </c>
      <c r="C71">
        <v>3</v>
      </c>
      <c r="D71">
        <v>5</v>
      </c>
      <c r="E71" t="str">
        <f t="shared" si="5"/>
        <v>Good</v>
      </c>
      <c r="F71" t="str">
        <f t="shared" si="6"/>
        <v>Good</v>
      </c>
      <c r="G71" t="str">
        <f t="shared" si="7"/>
        <v>Good</v>
      </c>
      <c r="H71" t="str">
        <f t="shared" si="8"/>
        <v>Good</v>
      </c>
      <c r="I71" t="str">
        <f t="shared" si="9"/>
        <v>Good</v>
      </c>
    </row>
    <row r="72" spans="1:9" x14ac:dyDescent="0.25">
      <c r="A72">
        <v>1</v>
      </c>
      <c r="B72">
        <v>3</v>
      </c>
      <c r="C72">
        <v>3</v>
      </c>
      <c r="D72">
        <v>5</v>
      </c>
      <c r="E72" t="str">
        <f t="shared" si="5"/>
        <v>Good</v>
      </c>
      <c r="F72" t="str">
        <f t="shared" si="6"/>
        <v>Good</v>
      </c>
      <c r="G72" t="str">
        <f t="shared" si="7"/>
        <v>Good</v>
      </c>
      <c r="H72" t="str">
        <f t="shared" si="8"/>
        <v>Good</v>
      </c>
      <c r="I72" t="str">
        <f t="shared" si="9"/>
        <v>Good</v>
      </c>
    </row>
    <row r="73" spans="1:9" x14ac:dyDescent="0.25">
      <c r="A73">
        <v>1</v>
      </c>
      <c r="B73">
        <v>3</v>
      </c>
      <c r="C73">
        <v>3</v>
      </c>
      <c r="D73">
        <v>5</v>
      </c>
      <c r="E73" t="str">
        <f t="shared" si="5"/>
        <v>Good</v>
      </c>
      <c r="F73" t="str">
        <f t="shared" si="6"/>
        <v>Good</v>
      </c>
      <c r="G73" t="str">
        <f t="shared" si="7"/>
        <v>Good</v>
      </c>
      <c r="H73" t="str">
        <f t="shared" si="8"/>
        <v>Good</v>
      </c>
      <c r="I73" t="str">
        <f t="shared" si="9"/>
        <v>Good</v>
      </c>
    </row>
    <row r="74" spans="1:9" x14ac:dyDescent="0.25">
      <c r="A74">
        <v>1</v>
      </c>
      <c r="B74">
        <v>3</v>
      </c>
      <c r="C74">
        <v>3</v>
      </c>
      <c r="D74">
        <v>5</v>
      </c>
      <c r="E74" t="str">
        <f t="shared" si="5"/>
        <v>Good</v>
      </c>
      <c r="F74" t="str">
        <f t="shared" si="6"/>
        <v>Good</v>
      </c>
      <c r="G74" t="str">
        <f t="shared" si="7"/>
        <v>Good</v>
      </c>
      <c r="H74" t="str">
        <f t="shared" si="8"/>
        <v>Good</v>
      </c>
      <c r="I74" t="str">
        <f t="shared" si="9"/>
        <v>Good</v>
      </c>
    </row>
    <row r="75" spans="1:9" x14ac:dyDescent="0.25">
      <c r="A75">
        <v>1</v>
      </c>
      <c r="B75">
        <v>3</v>
      </c>
      <c r="C75">
        <v>3</v>
      </c>
      <c r="D75">
        <v>3</v>
      </c>
      <c r="E75" t="str">
        <f t="shared" si="5"/>
        <v>Poor</v>
      </c>
      <c r="F75" t="str">
        <f t="shared" si="6"/>
        <v>Good</v>
      </c>
      <c r="G75" t="str">
        <f t="shared" si="7"/>
        <v>Good</v>
      </c>
      <c r="H75" t="str">
        <f t="shared" si="8"/>
        <v>Good</v>
      </c>
      <c r="I75" t="str">
        <f t="shared" si="9"/>
        <v>Poor</v>
      </c>
    </row>
    <row r="76" spans="1:9" x14ac:dyDescent="0.25">
      <c r="A76">
        <v>1</v>
      </c>
      <c r="B76">
        <v>3</v>
      </c>
      <c r="C76">
        <v>3</v>
      </c>
      <c r="D76">
        <v>5</v>
      </c>
      <c r="E76" t="str">
        <f t="shared" si="5"/>
        <v>Good</v>
      </c>
      <c r="F76" t="str">
        <f t="shared" si="6"/>
        <v>Good</v>
      </c>
      <c r="G76" t="str">
        <f t="shared" si="7"/>
        <v>Good</v>
      </c>
      <c r="H76" t="str">
        <f t="shared" si="8"/>
        <v>Good</v>
      </c>
      <c r="I76" t="str">
        <f t="shared" si="9"/>
        <v>Good</v>
      </c>
    </row>
    <row r="77" spans="1:9" x14ac:dyDescent="0.25">
      <c r="A77">
        <v>1</v>
      </c>
      <c r="B77">
        <v>3</v>
      </c>
      <c r="C77" s="8">
        <v>3</v>
      </c>
      <c r="D77" s="8">
        <v>5</v>
      </c>
      <c r="E77" t="str">
        <f t="shared" si="5"/>
        <v>Good</v>
      </c>
      <c r="F77" t="str">
        <f t="shared" si="6"/>
        <v>Good</v>
      </c>
      <c r="G77" t="str">
        <f t="shared" si="7"/>
        <v>Good</v>
      </c>
      <c r="H77" t="str">
        <f t="shared" si="8"/>
        <v>Good</v>
      </c>
      <c r="I77" t="str">
        <f t="shared" si="9"/>
        <v>Good</v>
      </c>
    </row>
    <row r="78" spans="1:9" x14ac:dyDescent="0.25">
      <c r="A78">
        <v>1</v>
      </c>
      <c r="B78">
        <v>3</v>
      </c>
      <c r="C78">
        <v>3</v>
      </c>
      <c r="D78">
        <v>5</v>
      </c>
      <c r="E78" t="str">
        <f t="shared" si="5"/>
        <v>Good</v>
      </c>
      <c r="F78" t="str">
        <f t="shared" si="6"/>
        <v>Good</v>
      </c>
      <c r="G78" t="str">
        <f t="shared" si="7"/>
        <v>Good</v>
      </c>
      <c r="H78" t="str">
        <f t="shared" si="8"/>
        <v>Good</v>
      </c>
      <c r="I78" t="str">
        <f t="shared" si="9"/>
        <v>Good</v>
      </c>
    </row>
    <row r="79" spans="1:9" x14ac:dyDescent="0.25">
      <c r="A79">
        <v>1</v>
      </c>
      <c r="B79">
        <v>3</v>
      </c>
      <c r="C79">
        <v>3</v>
      </c>
      <c r="D79">
        <v>4</v>
      </c>
      <c r="E79" t="str">
        <f t="shared" si="5"/>
        <v>Good</v>
      </c>
      <c r="F79" t="str">
        <f t="shared" si="6"/>
        <v>Good</v>
      </c>
      <c r="G79" t="str">
        <f t="shared" si="7"/>
        <v>Good</v>
      </c>
      <c r="H79" t="str">
        <f t="shared" si="8"/>
        <v>Good</v>
      </c>
      <c r="I79" t="str">
        <f t="shared" si="9"/>
        <v>Good</v>
      </c>
    </row>
    <row r="80" spans="1:9" x14ac:dyDescent="0.25">
      <c r="A80">
        <v>1</v>
      </c>
      <c r="B80">
        <v>3</v>
      </c>
      <c r="C80">
        <v>3</v>
      </c>
      <c r="D80">
        <v>5</v>
      </c>
      <c r="E80" t="str">
        <f t="shared" si="5"/>
        <v>Good</v>
      </c>
      <c r="F80" t="str">
        <f t="shared" si="6"/>
        <v>Good</v>
      </c>
      <c r="G80" t="str">
        <f t="shared" si="7"/>
        <v>Good</v>
      </c>
      <c r="H80" t="str">
        <f t="shared" si="8"/>
        <v>Good</v>
      </c>
      <c r="I80" t="str">
        <f t="shared" si="9"/>
        <v>Good</v>
      </c>
    </row>
    <row r="81" spans="1:9" x14ac:dyDescent="0.25">
      <c r="A81">
        <v>1</v>
      </c>
      <c r="B81">
        <v>3</v>
      </c>
      <c r="C81">
        <v>2</v>
      </c>
      <c r="D81">
        <v>4</v>
      </c>
      <c r="E81" t="str">
        <f t="shared" si="5"/>
        <v>Poor</v>
      </c>
      <c r="F81" t="str">
        <f t="shared" si="6"/>
        <v>Good</v>
      </c>
      <c r="G81" t="str">
        <f t="shared" si="7"/>
        <v>Good</v>
      </c>
      <c r="H81" t="str">
        <f t="shared" si="8"/>
        <v>Poor</v>
      </c>
      <c r="I81" t="str">
        <f t="shared" si="9"/>
        <v>Good</v>
      </c>
    </row>
    <row r="82" spans="1:9" x14ac:dyDescent="0.25">
      <c r="A82">
        <v>1</v>
      </c>
      <c r="B82">
        <v>3</v>
      </c>
      <c r="C82">
        <v>3</v>
      </c>
      <c r="D82">
        <v>4</v>
      </c>
      <c r="E82" t="str">
        <f t="shared" si="5"/>
        <v>Good</v>
      </c>
      <c r="F82" t="str">
        <f t="shared" si="6"/>
        <v>Good</v>
      </c>
      <c r="G82" t="str">
        <f t="shared" si="7"/>
        <v>Good</v>
      </c>
      <c r="H82" t="str">
        <f t="shared" si="8"/>
        <v>Good</v>
      </c>
      <c r="I82" t="str">
        <f t="shared" si="9"/>
        <v>Good</v>
      </c>
    </row>
    <row r="83" spans="1:9" x14ac:dyDescent="0.25">
      <c r="A83">
        <v>1</v>
      </c>
      <c r="B83">
        <v>3</v>
      </c>
      <c r="C83">
        <v>3</v>
      </c>
      <c r="D83">
        <v>5</v>
      </c>
      <c r="E83" t="str">
        <f t="shared" si="5"/>
        <v>Good</v>
      </c>
      <c r="F83" t="str">
        <f t="shared" si="6"/>
        <v>Good</v>
      </c>
      <c r="G83" t="str">
        <f t="shared" si="7"/>
        <v>Good</v>
      </c>
      <c r="H83" t="str">
        <f t="shared" si="8"/>
        <v>Good</v>
      </c>
      <c r="I83" t="str">
        <f t="shared" si="9"/>
        <v>Good</v>
      </c>
    </row>
    <row r="84" spans="1:9" x14ac:dyDescent="0.25">
      <c r="A84">
        <v>1</v>
      </c>
      <c r="B84">
        <v>3</v>
      </c>
      <c r="C84">
        <v>3</v>
      </c>
      <c r="D84">
        <v>5</v>
      </c>
      <c r="E84" t="str">
        <f t="shared" si="5"/>
        <v>Good</v>
      </c>
      <c r="F84" t="str">
        <f t="shared" si="6"/>
        <v>Good</v>
      </c>
      <c r="G84" t="str">
        <f t="shared" si="7"/>
        <v>Good</v>
      </c>
      <c r="H84" t="str">
        <f t="shared" si="8"/>
        <v>Good</v>
      </c>
      <c r="I84" t="str">
        <f t="shared" si="9"/>
        <v>Good</v>
      </c>
    </row>
    <row r="85" spans="1:9" x14ac:dyDescent="0.25">
      <c r="A85">
        <v>1</v>
      </c>
      <c r="B85">
        <v>3</v>
      </c>
      <c r="C85">
        <v>3</v>
      </c>
      <c r="D85">
        <v>5</v>
      </c>
      <c r="E85" t="str">
        <f t="shared" si="5"/>
        <v>Good</v>
      </c>
      <c r="F85" t="str">
        <f t="shared" si="6"/>
        <v>Good</v>
      </c>
      <c r="G85" t="str">
        <f t="shared" si="7"/>
        <v>Good</v>
      </c>
      <c r="H85" t="str">
        <f t="shared" si="8"/>
        <v>Good</v>
      </c>
      <c r="I85" t="str">
        <f t="shared" si="9"/>
        <v>Good</v>
      </c>
    </row>
    <row r="86" spans="1:9" x14ac:dyDescent="0.25">
      <c r="A86">
        <v>1</v>
      </c>
      <c r="B86">
        <v>3</v>
      </c>
      <c r="C86" s="8">
        <v>3</v>
      </c>
      <c r="D86" s="8">
        <v>5</v>
      </c>
      <c r="E86" t="str">
        <f t="shared" si="5"/>
        <v>Good</v>
      </c>
      <c r="F86" t="str">
        <f t="shared" si="6"/>
        <v>Good</v>
      </c>
      <c r="G86" t="str">
        <f t="shared" si="7"/>
        <v>Good</v>
      </c>
      <c r="H86" t="str">
        <f t="shared" si="8"/>
        <v>Good</v>
      </c>
      <c r="I86" t="str">
        <f t="shared" si="9"/>
        <v>Good</v>
      </c>
    </row>
    <row r="87" spans="1:9" x14ac:dyDescent="0.25">
      <c r="A87">
        <v>1</v>
      </c>
      <c r="B87">
        <v>3</v>
      </c>
      <c r="C87">
        <v>2</v>
      </c>
      <c r="D87">
        <v>4</v>
      </c>
      <c r="E87" t="str">
        <f t="shared" si="5"/>
        <v>Poor</v>
      </c>
      <c r="F87" t="str">
        <f t="shared" si="6"/>
        <v>Good</v>
      </c>
      <c r="G87" t="str">
        <f t="shared" si="7"/>
        <v>Good</v>
      </c>
      <c r="H87" t="str">
        <f t="shared" si="8"/>
        <v>Poor</v>
      </c>
      <c r="I87" t="str">
        <f t="shared" si="9"/>
        <v>Good</v>
      </c>
    </row>
    <row r="88" spans="1:9" x14ac:dyDescent="0.25">
      <c r="A88">
        <v>1</v>
      </c>
      <c r="B88">
        <v>3</v>
      </c>
      <c r="C88">
        <v>3</v>
      </c>
      <c r="D88">
        <v>5</v>
      </c>
      <c r="E88" t="str">
        <f t="shared" si="5"/>
        <v>Good</v>
      </c>
      <c r="F88" t="str">
        <f t="shared" si="6"/>
        <v>Good</v>
      </c>
      <c r="G88" t="str">
        <f t="shared" si="7"/>
        <v>Good</v>
      </c>
      <c r="H88" t="str">
        <f t="shared" si="8"/>
        <v>Good</v>
      </c>
      <c r="I88" t="str">
        <f t="shared" si="9"/>
        <v>Good</v>
      </c>
    </row>
    <row r="89" spans="1:9" x14ac:dyDescent="0.25">
      <c r="A89">
        <v>1</v>
      </c>
      <c r="B89">
        <v>3</v>
      </c>
      <c r="C89">
        <v>3</v>
      </c>
      <c r="D89">
        <v>5</v>
      </c>
      <c r="E89" t="str">
        <f t="shared" si="5"/>
        <v>Good</v>
      </c>
      <c r="F89" t="str">
        <f t="shared" si="6"/>
        <v>Good</v>
      </c>
      <c r="G89" t="str">
        <f t="shared" si="7"/>
        <v>Good</v>
      </c>
      <c r="H89" t="str">
        <f t="shared" si="8"/>
        <v>Good</v>
      </c>
      <c r="I89" t="str">
        <f t="shared" si="9"/>
        <v>Good</v>
      </c>
    </row>
    <row r="90" spans="1:9" x14ac:dyDescent="0.25">
      <c r="A90">
        <v>1</v>
      </c>
      <c r="B90">
        <v>3</v>
      </c>
      <c r="C90">
        <v>3</v>
      </c>
      <c r="D90">
        <v>4</v>
      </c>
      <c r="E90" t="str">
        <f t="shared" si="5"/>
        <v>Good</v>
      </c>
      <c r="F90" t="str">
        <f t="shared" si="6"/>
        <v>Good</v>
      </c>
      <c r="G90" t="str">
        <f t="shared" si="7"/>
        <v>Good</v>
      </c>
      <c r="H90" t="str">
        <f t="shared" si="8"/>
        <v>Good</v>
      </c>
      <c r="I90" t="str">
        <f t="shared" si="9"/>
        <v>Good</v>
      </c>
    </row>
    <row r="91" spans="1:9" x14ac:dyDescent="0.25">
      <c r="A91">
        <v>1</v>
      </c>
      <c r="B91">
        <v>3</v>
      </c>
      <c r="C91">
        <v>3</v>
      </c>
      <c r="D91">
        <v>5</v>
      </c>
      <c r="E91" t="str">
        <f t="shared" si="5"/>
        <v>Good</v>
      </c>
      <c r="F91" t="str">
        <f t="shared" si="6"/>
        <v>Good</v>
      </c>
      <c r="G91" t="str">
        <f t="shared" si="7"/>
        <v>Good</v>
      </c>
      <c r="H91" t="str">
        <f t="shared" si="8"/>
        <v>Good</v>
      </c>
      <c r="I91" t="str">
        <f t="shared" si="9"/>
        <v>Good</v>
      </c>
    </row>
    <row r="92" spans="1:9" x14ac:dyDescent="0.25">
      <c r="A92">
        <v>1</v>
      </c>
      <c r="B92">
        <v>3</v>
      </c>
      <c r="C92">
        <v>3</v>
      </c>
      <c r="D92">
        <v>5</v>
      </c>
      <c r="E92" t="str">
        <f t="shared" si="5"/>
        <v>Good</v>
      </c>
      <c r="F92" t="str">
        <f t="shared" si="6"/>
        <v>Good</v>
      </c>
      <c r="G92" t="str">
        <f t="shared" si="7"/>
        <v>Good</v>
      </c>
      <c r="H92" t="str">
        <f t="shared" si="8"/>
        <v>Good</v>
      </c>
      <c r="I92" t="str">
        <f t="shared" si="9"/>
        <v>Good</v>
      </c>
    </row>
    <row r="93" spans="1:9" x14ac:dyDescent="0.25">
      <c r="A93">
        <v>1</v>
      </c>
      <c r="B93">
        <v>3</v>
      </c>
      <c r="C93">
        <v>3</v>
      </c>
      <c r="D93">
        <v>5</v>
      </c>
      <c r="E93" t="str">
        <f t="shared" si="5"/>
        <v>Good</v>
      </c>
      <c r="F93" t="str">
        <f t="shared" si="6"/>
        <v>Good</v>
      </c>
      <c r="G93" t="str">
        <f t="shared" si="7"/>
        <v>Good</v>
      </c>
      <c r="H93" t="str">
        <f t="shared" si="8"/>
        <v>Good</v>
      </c>
      <c r="I93" t="str">
        <f t="shared" si="9"/>
        <v>Good</v>
      </c>
    </row>
    <row r="94" spans="1:9" x14ac:dyDescent="0.25">
      <c r="A94">
        <v>1</v>
      </c>
      <c r="B94">
        <v>3</v>
      </c>
      <c r="C94">
        <v>3</v>
      </c>
      <c r="D94">
        <v>5</v>
      </c>
      <c r="E94" t="str">
        <f t="shared" si="5"/>
        <v>Good</v>
      </c>
      <c r="F94" t="str">
        <f t="shared" si="6"/>
        <v>Good</v>
      </c>
      <c r="G94" t="str">
        <f t="shared" si="7"/>
        <v>Good</v>
      </c>
      <c r="H94" t="str">
        <f t="shared" si="8"/>
        <v>Good</v>
      </c>
      <c r="I94" t="str">
        <f t="shared" si="9"/>
        <v>Good</v>
      </c>
    </row>
    <row r="95" spans="1:9" x14ac:dyDescent="0.25">
      <c r="A95">
        <v>1</v>
      </c>
      <c r="B95">
        <v>3</v>
      </c>
      <c r="C95">
        <v>3</v>
      </c>
      <c r="D95">
        <v>5</v>
      </c>
      <c r="E95" t="str">
        <f t="shared" si="5"/>
        <v>Good</v>
      </c>
      <c r="F95" t="str">
        <f t="shared" si="6"/>
        <v>Good</v>
      </c>
      <c r="G95" t="str">
        <f t="shared" si="7"/>
        <v>Good</v>
      </c>
      <c r="H95" t="str">
        <f t="shared" si="8"/>
        <v>Good</v>
      </c>
      <c r="I95" t="str">
        <f t="shared" si="9"/>
        <v>Good</v>
      </c>
    </row>
    <row r="96" spans="1:9" x14ac:dyDescent="0.25">
      <c r="A96">
        <v>1</v>
      </c>
      <c r="B96">
        <v>3</v>
      </c>
      <c r="C96">
        <v>3</v>
      </c>
      <c r="D96">
        <v>5</v>
      </c>
      <c r="E96" t="str">
        <f t="shared" si="5"/>
        <v>Good</v>
      </c>
      <c r="F96" t="str">
        <f t="shared" si="6"/>
        <v>Good</v>
      </c>
      <c r="G96" t="str">
        <f t="shared" si="7"/>
        <v>Good</v>
      </c>
      <c r="H96" t="str">
        <f t="shared" si="8"/>
        <v>Good</v>
      </c>
      <c r="I96" t="str">
        <f t="shared" si="9"/>
        <v>Good</v>
      </c>
    </row>
    <row r="97" spans="1:9" x14ac:dyDescent="0.25">
      <c r="A97">
        <v>1</v>
      </c>
      <c r="B97">
        <v>3</v>
      </c>
      <c r="C97">
        <v>3</v>
      </c>
      <c r="D97">
        <v>5</v>
      </c>
      <c r="E97" t="str">
        <f t="shared" si="5"/>
        <v>Good</v>
      </c>
      <c r="F97" t="str">
        <f t="shared" si="6"/>
        <v>Good</v>
      </c>
      <c r="G97" t="str">
        <f t="shared" si="7"/>
        <v>Good</v>
      </c>
      <c r="H97" t="str">
        <f t="shared" si="8"/>
        <v>Good</v>
      </c>
      <c r="I97" t="str">
        <f t="shared" si="9"/>
        <v>Good</v>
      </c>
    </row>
    <row r="98" spans="1:9" x14ac:dyDescent="0.25">
      <c r="A98">
        <v>1</v>
      </c>
      <c r="B98">
        <v>3</v>
      </c>
      <c r="C98">
        <v>3</v>
      </c>
      <c r="D98">
        <v>5</v>
      </c>
      <c r="E98" t="str">
        <f t="shared" si="5"/>
        <v>Good</v>
      </c>
      <c r="F98" t="str">
        <f t="shared" si="6"/>
        <v>Good</v>
      </c>
      <c r="G98" t="str">
        <f t="shared" si="7"/>
        <v>Good</v>
      </c>
      <c r="H98" t="str">
        <f t="shared" si="8"/>
        <v>Good</v>
      </c>
      <c r="I98" t="str">
        <f t="shared" si="9"/>
        <v>Good</v>
      </c>
    </row>
    <row r="99" spans="1:9" x14ac:dyDescent="0.25">
      <c r="A99">
        <v>1</v>
      </c>
      <c r="B99">
        <v>3</v>
      </c>
      <c r="C99" s="8">
        <v>3</v>
      </c>
      <c r="D99" s="8">
        <v>5</v>
      </c>
      <c r="E99" t="str">
        <f t="shared" si="5"/>
        <v>Good</v>
      </c>
      <c r="F99" t="str">
        <f t="shared" si="6"/>
        <v>Good</v>
      </c>
      <c r="G99" t="str">
        <f t="shared" si="7"/>
        <v>Good</v>
      </c>
      <c r="H99" t="str">
        <f t="shared" si="8"/>
        <v>Good</v>
      </c>
      <c r="I99" t="str">
        <f t="shared" si="9"/>
        <v>Good</v>
      </c>
    </row>
    <row r="100" spans="1:9" x14ac:dyDescent="0.25">
      <c r="A100">
        <v>1</v>
      </c>
      <c r="B100">
        <v>3</v>
      </c>
      <c r="C100">
        <v>3</v>
      </c>
      <c r="D100">
        <v>5</v>
      </c>
      <c r="E100" t="str">
        <f t="shared" si="5"/>
        <v>Good</v>
      </c>
      <c r="F100" t="str">
        <f t="shared" si="6"/>
        <v>Good</v>
      </c>
      <c r="G100" t="str">
        <f t="shared" si="7"/>
        <v>Good</v>
      </c>
      <c r="H100" t="str">
        <f t="shared" si="8"/>
        <v>Good</v>
      </c>
      <c r="I100" t="str">
        <f t="shared" si="9"/>
        <v>Good</v>
      </c>
    </row>
    <row r="101" spans="1:9" x14ac:dyDescent="0.25">
      <c r="A101">
        <v>1</v>
      </c>
      <c r="B101">
        <v>3</v>
      </c>
      <c r="C101">
        <v>3</v>
      </c>
      <c r="D101">
        <v>5</v>
      </c>
      <c r="E101" t="str">
        <f t="shared" si="5"/>
        <v>Good</v>
      </c>
      <c r="F101" t="str">
        <f t="shared" si="6"/>
        <v>Good</v>
      </c>
      <c r="G101" t="str">
        <f t="shared" si="7"/>
        <v>Good</v>
      </c>
      <c r="H101" t="str">
        <f t="shared" si="8"/>
        <v>Good</v>
      </c>
      <c r="I101" t="str">
        <f t="shared" si="9"/>
        <v>Good</v>
      </c>
    </row>
    <row r="102" spans="1:9" x14ac:dyDescent="0.25">
      <c r="A102">
        <v>1</v>
      </c>
      <c r="B102">
        <v>3</v>
      </c>
      <c r="C102">
        <v>3</v>
      </c>
      <c r="D102">
        <v>4</v>
      </c>
      <c r="E102" t="str">
        <f t="shared" si="5"/>
        <v>Good</v>
      </c>
      <c r="F102" t="str">
        <f t="shared" si="6"/>
        <v>Good</v>
      </c>
      <c r="G102" t="str">
        <f t="shared" si="7"/>
        <v>Good</v>
      </c>
      <c r="H102" t="str">
        <f t="shared" si="8"/>
        <v>Good</v>
      </c>
      <c r="I102" t="str">
        <f t="shared" si="9"/>
        <v>Good</v>
      </c>
    </row>
    <row r="103" spans="1:9" x14ac:dyDescent="0.25">
      <c r="A103">
        <v>1</v>
      </c>
      <c r="B103">
        <v>3</v>
      </c>
      <c r="C103" s="8">
        <v>3</v>
      </c>
      <c r="D103" s="8">
        <v>5</v>
      </c>
      <c r="E103" t="str">
        <f t="shared" si="5"/>
        <v>Good</v>
      </c>
      <c r="F103" t="str">
        <f t="shared" si="6"/>
        <v>Good</v>
      </c>
      <c r="G103" t="str">
        <f t="shared" si="7"/>
        <v>Good</v>
      </c>
      <c r="H103" t="str">
        <f t="shared" si="8"/>
        <v>Good</v>
      </c>
      <c r="I103" t="str">
        <f t="shared" si="9"/>
        <v>Good</v>
      </c>
    </row>
    <row r="104" spans="1:9" x14ac:dyDescent="0.25">
      <c r="A104">
        <v>1</v>
      </c>
      <c r="B104">
        <v>3</v>
      </c>
      <c r="C104">
        <v>3</v>
      </c>
      <c r="D104">
        <v>5</v>
      </c>
      <c r="E104" t="str">
        <f t="shared" si="5"/>
        <v>Good</v>
      </c>
      <c r="F104" t="str">
        <f t="shared" si="6"/>
        <v>Good</v>
      </c>
      <c r="G104" t="str">
        <f t="shared" si="7"/>
        <v>Good</v>
      </c>
      <c r="H104" t="str">
        <f t="shared" si="8"/>
        <v>Good</v>
      </c>
      <c r="I104" t="str">
        <f t="shared" si="9"/>
        <v>Good</v>
      </c>
    </row>
    <row r="105" spans="1:9" x14ac:dyDescent="0.25">
      <c r="A105">
        <v>1</v>
      </c>
      <c r="B105">
        <v>3</v>
      </c>
      <c r="C105">
        <v>3</v>
      </c>
      <c r="D105">
        <v>5</v>
      </c>
      <c r="E105" t="str">
        <f t="shared" si="5"/>
        <v>Good</v>
      </c>
      <c r="F105" t="str">
        <f t="shared" si="6"/>
        <v>Good</v>
      </c>
      <c r="G105" t="str">
        <f t="shared" si="7"/>
        <v>Good</v>
      </c>
      <c r="H105" t="str">
        <f t="shared" si="8"/>
        <v>Good</v>
      </c>
      <c r="I105" t="str">
        <f t="shared" si="9"/>
        <v>Good</v>
      </c>
    </row>
    <row r="106" spans="1:9" x14ac:dyDescent="0.25">
      <c r="A106">
        <v>1</v>
      </c>
      <c r="B106">
        <v>3</v>
      </c>
      <c r="C106">
        <v>3</v>
      </c>
      <c r="D106">
        <v>5</v>
      </c>
      <c r="E106" t="str">
        <f t="shared" si="5"/>
        <v>Good</v>
      </c>
      <c r="F106" t="str">
        <f t="shared" si="6"/>
        <v>Good</v>
      </c>
      <c r="G106" t="str">
        <f t="shared" si="7"/>
        <v>Good</v>
      </c>
      <c r="H106" t="str">
        <f t="shared" si="8"/>
        <v>Good</v>
      </c>
      <c r="I106" t="str">
        <f t="shared" si="9"/>
        <v>Good</v>
      </c>
    </row>
    <row r="107" spans="1:9" x14ac:dyDescent="0.25">
      <c r="A107">
        <v>1</v>
      </c>
      <c r="B107">
        <v>3</v>
      </c>
      <c r="C107">
        <v>3</v>
      </c>
      <c r="D107">
        <v>5</v>
      </c>
      <c r="E107" t="str">
        <f t="shared" si="5"/>
        <v>Good</v>
      </c>
      <c r="F107" t="str">
        <f t="shared" si="6"/>
        <v>Good</v>
      </c>
      <c r="G107" t="str">
        <f t="shared" si="7"/>
        <v>Good</v>
      </c>
      <c r="H107" t="str">
        <f t="shared" si="8"/>
        <v>Good</v>
      </c>
      <c r="I107" t="str">
        <f t="shared" si="9"/>
        <v>Good</v>
      </c>
    </row>
    <row r="108" spans="1:9" x14ac:dyDescent="0.25">
      <c r="A108">
        <v>1</v>
      </c>
      <c r="B108">
        <v>3</v>
      </c>
      <c r="C108">
        <v>3</v>
      </c>
      <c r="D108">
        <v>5</v>
      </c>
      <c r="E108" t="str">
        <f t="shared" si="5"/>
        <v>Good</v>
      </c>
      <c r="F108" t="str">
        <f t="shared" si="6"/>
        <v>Good</v>
      </c>
      <c r="G108" t="str">
        <f t="shared" si="7"/>
        <v>Good</v>
      </c>
      <c r="H108" t="str">
        <f t="shared" si="8"/>
        <v>Good</v>
      </c>
      <c r="I108" t="str">
        <f t="shared" si="9"/>
        <v>Good</v>
      </c>
    </row>
    <row r="109" spans="1:9" x14ac:dyDescent="0.25">
      <c r="A109">
        <v>1</v>
      </c>
      <c r="B109">
        <v>3</v>
      </c>
      <c r="C109">
        <v>2</v>
      </c>
      <c r="D109">
        <v>4</v>
      </c>
      <c r="E109" t="str">
        <f t="shared" si="5"/>
        <v>Poor</v>
      </c>
      <c r="F109" t="str">
        <f t="shared" si="6"/>
        <v>Good</v>
      </c>
      <c r="G109" t="str">
        <f t="shared" si="7"/>
        <v>Good</v>
      </c>
      <c r="H109" t="str">
        <f t="shared" si="8"/>
        <v>Poor</v>
      </c>
      <c r="I109" t="str">
        <f t="shared" si="9"/>
        <v>Good</v>
      </c>
    </row>
    <row r="110" spans="1:9" x14ac:dyDescent="0.25">
      <c r="A110">
        <v>1</v>
      </c>
      <c r="B110">
        <v>3</v>
      </c>
      <c r="C110">
        <v>3</v>
      </c>
      <c r="D110">
        <v>5</v>
      </c>
      <c r="E110" t="str">
        <f t="shared" si="5"/>
        <v>Good</v>
      </c>
      <c r="F110" t="str">
        <f t="shared" si="6"/>
        <v>Good</v>
      </c>
      <c r="G110" t="str">
        <f t="shared" si="7"/>
        <v>Good</v>
      </c>
      <c r="H110" t="str">
        <f t="shared" si="8"/>
        <v>Good</v>
      </c>
      <c r="I110" t="str">
        <f t="shared" si="9"/>
        <v>Good</v>
      </c>
    </row>
    <row r="111" spans="1:9" x14ac:dyDescent="0.25">
      <c r="A111">
        <v>1</v>
      </c>
      <c r="B111">
        <v>3</v>
      </c>
      <c r="C111">
        <v>3</v>
      </c>
      <c r="D111">
        <v>4</v>
      </c>
      <c r="E111" t="str">
        <f t="shared" si="5"/>
        <v>Good</v>
      </c>
      <c r="F111" t="str">
        <f t="shared" si="6"/>
        <v>Good</v>
      </c>
      <c r="G111" t="str">
        <f t="shared" si="7"/>
        <v>Good</v>
      </c>
      <c r="H111" t="str">
        <f t="shared" si="8"/>
        <v>Good</v>
      </c>
      <c r="I111" t="str">
        <f t="shared" si="9"/>
        <v>Good</v>
      </c>
    </row>
    <row r="112" spans="1:9" x14ac:dyDescent="0.25">
      <c r="A112">
        <v>1</v>
      </c>
      <c r="B112">
        <v>3</v>
      </c>
      <c r="C112">
        <v>3</v>
      </c>
      <c r="D112">
        <v>5</v>
      </c>
      <c r="E112" t="str">
        <f t="shared" si="5"/>
        <v>Good</v>
      </c>
      <c r="F112" t="str">
        <f t="shared" si="6"/>
        <v>Good</v>
      </c>
      <c r="G112" t="str">
        <f t="shared" si="7"/>
        <v>Good</v>
      </c>
      <c r="H112" t="str">
        <f t="shared" si="8"/>
        <v>Good</v>
      </c>
      <c r="I112" t="str">
        <f t="shared" si="9"/>
        <v>Good</v>
      </c>
    </row>
    <row r="113" spans="1:9" x14ac:dyDescent="0.25">
      <c r="A113">
        <v>1</v>
      </c>
      <c r="B113">
        <v>3</v>
      </c>
      <c r="C113">
        <v>3</v>
      </c>
      <c r="D113">
        <v>5</v>
      </c>
      <c r="E113" t="str">
        <f t="shared" si="5"/>
        <v>Good</v>
      </c>
      <c r="F113" t="str">
        <f t="shared" si="6"/>
        <v>Good</v>
      </c>
      <c r="G113" t="str">
        <f t="shared" si="7"/>
        <v>Good</v>
      </c>
      <c r="H113" t="str">
        <f t="shared" si="8"/>
        <v>Good</v>
      </c>
      <c r="I113" t="str">
        <f t="shared" si="9"/>
        <v>Good</v>
      </c>
    </row>
    <row r="114" spans="1:9" x14ac:dyDescent="0.25">
      <c r="A114">
        <v>1</v>
      </c>
      <c r="B114">
        <v>3</v>
      </c>
      <c r="C114">
        <v>3</v>
      </c>
      <c r="D114">
        <v>4</v>
      </c>
      <c r="E114" t="str">
        <f t="shared" si="5"/>
        <v>Good</v>
      </c>
      <c r="F114" t="str">
        <f t="shared" si="6"/>
        <v>Good</v>
      </c>
      <c r="G114" t="str">
        <f t="shared" si="7"/>
        <v>Good</v>
      </c>
      <c r="H114" t="str">
        <f t="shared" si="8"/>
        <v>Good</v>
      </c>
      <c r="I114" t="str">
        <f t="shared" si="9"/>
        <v>Good</v>
      </c>
    </row>
    <row r="115" spans="1:9" x14ac:dyDescent="0.25">
      <c r="A115">
        <v>1</v>
      </c>
      <c r="B115">
        <v>3</v>
      </c>
      <c r="C115">
        <v>3</v>
      </c>
      <c r="D115">
        <v>5</v>
      </c>
      <c r="E115" t="str">
        <f t="shared" si="5"/>
        <v>Good</v>
      </c>
      <c r="F115" t="str">
        <f t="shared" si="6"/>
        <v>Good</v>
      </c>
      <c r="G115" t="str">
        <f t="shared" si="7"/>
        <v>Good</v>
      </c>
      <c r="H115" t="str">
        <f t="shared" si="8"/>
        <v>Good</v>
      </c>
      <c r="I115" t="str">
        <f t="shared" si="9"/>
        <v>Good</v>
      </c>
    </row>
    <row r="116" spans="1:9" x14ac:dyDescent="0.25">
      <c r="A116">
        <v>1</v>
      </c>
      <c r="B116">
        <v>3</v>
      </c>
      <c r="C116">
        <v>3</v>
      </c>
      <c r="D116">
        <v>5</v>
      </c>
      <c r="E116" t="str">
        <f t="shared" si="5"/>
        <v>Good</v>
      </c>
      <c r="F116" t="str">
        <f t="shared" si="6"/>
        <v>Good</v>
      </c>
      <c r="G116" t="str">
        <f t="shared" si="7"/>
        <v>Good</v>
      </c>
      <c r="H116" t="str">
        <f t="shared" si="8"/>
        <v>Good</v>
      </c>
      <c r="I116" t="str">
        <f t="shared" si="9"/>
        <v>Good</v>
      </c>
    </row>
    <row r="117" spans="1:9" x14ac:dyDescent="0.25">
      <c r="A117">
        <v>1</v>
      </c>
      <c r="B117">
        <v>3</v>
      </c>
      <c r="C117">
        <v>3</v>
      </c>
      <c r="D117">
        <v>5</v>
      </c>
      <c r="E117" t="str">
        <f t="shared" si="5"/>
        <v>Good</v>
      </c>
      <c r="F117" t="str">
        <f t="shared" si="6"/>
        <v>Good</v>
      </c>
      <c r="G117" t="str">
        <f t="shared" si="7"/>
        <v>Good</v>
      </c>
      <c r="H117" t="str">
        <f t="shared" si="8"/>
        <v>Good</v>
      </c>
      <c r="I117" t="str">
        <f t="shared" si="9"/>
        <v>Good</v>
      </c>
    </row>
    <row r="118" spans="1:9" x14ac:dyDescent="0.25">
      <c r="A118">
        <v>1</v>
      </c>
      <c r="B118">
        <v>3</v>
      </c>
      <c r="C118">
        <v>3</v>
      </c>
      <c r="D118">
        <v>5</v>
      </c>
      <c r="E118" t="str">
        <f t="shared" si="5"/>
        <v>Good</v>
      </c>
      <c r="F118" t="str">
        <f t="shared" si="6"/>
        <v>Good</v>
      </c>
      <c r="G118" t="str">
        <f t="shared" si="7"/>
        <v>Good</v>
      </c>
      <c r="H118" t="str">
        <f t="shared" si="8"/>
        <v>Good</v>
      </c>
      <c r="I118" t="str">
        <f t="shared" si="9"/>
        <v>Good</v>
      </c>
    </row>
    <row r="119" spans="1:9" x14ac:dyDescent="0.25">
      <c r="A119">
        <v>1</v>
      </c>
      <c r="B119">
        <v>3</v>
      </c>
      <c r="C119">
        <v>3</v>
      </c>
      <c r="D119">
        <v>5</v>
      </c>
      <c r="E119" t="str">
        <f t="shared" si="5"/>
        <v>Good</v>
      </c>
      <c r="F119" t="str">
        <f t="shared" si="6"/>
        <v>Good</v>
      </c>
      <c r="G119" t="str">
        <f t="shared" si="7"/>
        <v>Good</v>
      </c>
      <c r="H119" t="str">
        <f t="shared" si="8"/>
        <v>Good</v>
      </c>
      <c r="I119" t="str">
        <f t="shared" si="9"/>
        <v>Good</v>
      </c>
    </row>
    <row r="120" spans="1:9" x14ac:dyDescent="0.25">
      <c r="A120">
        <v>2</v>
      </c>
      <c r="B120">
        <v>3</v>
      </c>
      <c r="C120">
        <v>3</v>
      </c>
      <c r="D120">
        <v>4</v>
      </c>
      <c r="E120" t="str">
        <f t="shared" si="5"/>
        <v>Poor</v>
      </c>
      <c r="F120" t="str">
        <f t="shared" si="6"/>
        <v>Poor</v>
      </c>
      <c r="G120" t="str">
        <f t="shared" si="7"/>
        <v>Good</v>
      </c>
      <c r="H120" t="str">
        <f t="shared" si="8"/>
        <v>Good</v>
      </c>
      <c r="I120" t="str">
        <f t="shared" si="9"/>
        <v>Good</v>
      </c>
    </row>
    <row r="121" spans="1:9" x14ac:dyDescent="0.25">
      <c r="A121">
        <v>2</v>
      </c>
      <c r="B121">
        <v>3</v>
      </c>
      <c r="C121">
        <v>1</v>
      </c>
      <c r="D121">
        <v>3</v>
      </c>
      <c r="E121" t="str">
        <f t="shared" si="5"/>
        <v>Poor</v>
      </c>
      <c r="F121" t="str">
        <f t="shared" si="6"/>
        <v>Poor</v>
      </c>
      <c r="G121" t="str">
        <f t="shared" si="7"/>
        <v>Good</v>
      </c>
      <c r="H121" t="str">
        <f t="shared" si="8"/>
        <v>Poor</v>
      </c>
      <c r="I121" t="str">
        <f t="shared" si="9"/>
        <v>Poor</v>
      </c>
    </row>
    <row r="122" spans="1:9" x14ac:dyDescent="0.25">
      <c r="A122">
        <v>1</v>
      </c>
      <c r="B122">
        <v>3</v>
      </c>
      <c r="C122">
        <v>3</v>
      </c>
      <c r="D122">
        <v>5</v>
      </c>
      <c r="E122" t="str">
        <f t="shared" si="5"/>
        <v>Good</v>
      </c>
      <c r="F122" t="str">
        <f t="shared" si="6"/>
        <v>Good</v>
      </c>
      <c r="G122" t="str">
        <f t="shared" si="7"/>
        <v>Good</v>
      </c>
      <c r="H122" t="str">
        <f t="shared" si="8"/>
        <v>Good</v>
      </c>
      <c r="I122" t="str">
        <f t="shared" si="9"/>
        <v>Good</v>
      </c>
    </row>
    <row r="123" spans="1:9" x14ac:dyDescent="0.25">
      <c r="A123">
        <v>1</v>
      </c>
      <c r="B123">
        <v>3</v>
      </c>
      <c r="C123">
        <v>3</v>
      </c>
      <c r="D123">
        <v>5</v>
      </c>
      <c r="E123" t="str">
        <f t="shared" si="5"/>
        <v>Good</v>
      </c>
      <c r="F123" t="str">
        <f t="shared" si="6"/>
        <v>Good</v>
      </c>
      <c r="G123" t="str">
        <f t="shared" si="7"/>
        <v>Good</v>
      </c>
      <c r="H123" t="str">
        <f t="shared" si="8"/>
        <v>Good</v>
      </c>
      <c r="I123" t="str">
        <f t="shared" si="9"/>
        <v>Good</v>
      </c>
    </row>
    <row r="124" spans="1:9" x14ac:dyDescent="0.25">
      <c r="A124">
        <v>1</v>
      </c>
      <c r="B124">
        <v>3</v>
      </c>
      <c r="C124">
        <v>3</v>
      </c>
      <c r="D124">
        <v>5</v>
      </c>
      <c r="E124" t="str">
        <f t="shared" si="5"/>
        <v>Good</v>
      </c>
      <c r="F124" t="str">
        <f t="shared" si="6"/>
        <v>Good</v>
      </c>
      <c r="G124" t="str">
        <f t="shared" si="7"/>
        <v>Good</v>
      </c>
      <c r="H124" t="str">
        <f t="shared" si="8"/>
        <v>Good</v>
      </c>
      <c r="I124" t="str">
        <f t="shared" si="9"/>
        <v>Good</v>
      </c>
    </row>
    <row r="125" spans="1:9" x14ac:dyDescent="0.25">
      <c r="A125">
        <v>2</v>
      </c>
      <c r="B125">
        <v>3</v>
      </c>
      <c r="C125">
        <v>2</v>
      </c>
      <c r="D125">
        <v>4</v>
      </c>
      <c r="E125" t="str">
        <f t="shared" si="5"/>
        <v>Poor</v>
      </c>
      <c r="F125" t="str">
        <f t="shared" si="6"/>
        <v>Poor</v>
      </c>
      <c r="G125" t="str">
        <f t="shared" si="7"/>
        <v>Good</v>
      </c>
      <c r="H125" t="str">
        <f t="shared" si="8"/>
        <v>Poor</v>
      </c>
      <c r="I125" t="str">
        <f t="shared" si="9"/>
        <v>Good</v>
      </c>
    </row>
    <row r="126" spans="1:9" x14ac:dyDescent="0.25">
      <c r="A126">
        <v>1</v>
      </c>
      <c r="B126">
        <v>3</v>
      </c>
      <c r="C126">
        <v>2</v>
      </c>
      <c r="D126">
        <v>5</v>
      </c>
      <c r="E126" t="str">
        <f t="shared" si="5"/>
        <v>Poor</v>
      </c>
      <c r="F126" t="str">
        <f t="shared" si="6"/>
        <v>Good</v>
      </c>
      <c r="G126" t="str">
        <f t="shared" si="7"/>
        <v>Good</v>
      </c>
      <c r="H126" t="str">
        <f t="shared" si="8"/>
        <v>Poor</v>
      </c>
      <c r="I126" t="str">
        <f t="shared" si="9"/>
        <v>Good</v>
      </c>
    </row>
    <row r="127" spans="1:9" x14ac:dyDescent="0.25">
      <c r="A127">
        <v>1</v>
      </c>
      <c r="B127">
        <v>3</v>
      </c>
      <c r="C127">
        <v>3</v>
      </c>
      <c r="D127">
        <v>5</v>
      </c>
      <c r="E127" t="str">
        <f t="shared" si="5"/>
        <v>Good</v>
      </c>
      <c r="F127" t="str">
        <f t="shared" si="6"/>
        <v>Good</v>
      </c>
      <c r="G127" t="str">
        <f t="shared" si="7"/>
        <v>Good</v>
      </c>
      <c r="H127" t="str">
        <f t="shared" si="8"/>
        <v>Good</v>
      </c>
      <c r="I127" t="str">
        <f t="shared" si="9"/>
        <v>Good</v>
      </c>
    </row>
    <row r="128" spans="1:9" x14ac:dyDescent="0.25">
      <c r="A128">
        <v>1</v>
      </c>
      <c r="B128">
        <v>3</v>
      </c>
      <c r="C128">
        <v>3</v>
      </c>
      <c r="D128">
        <v>4</v>
      </c>
      <c r="E128" t="str">
        <f t="shared" si="5"/>
        <v>Good</v>
      </c>
      <c r="F128" t="str">
        <f t="shared" si="6"/>
        <v>Good</v>
      </c>
      <c r="G128" t="str">
        <f t="shared" si="7"/>
        <v>Good</v>
      </c>
      <c r="H128" t="str">
        <f t="shared" si="8"/>
        <v>Good</v>
      </c>
      <c r="I128" t="str">
        <f t="shared" si="9"/>
        <v>Good</v>
      </c>
    </row>
    <row r="129" spans="1:9" x14ac:dyDescent="0.25">
      <c r="A129">
        <v>1</v>
      </c>
      <c r="B129">
        <v>3</v>
      </c>
      <c r="C129">
        <v>2</v>
      </c>
      <c r="D129">
        <v>5</v>
      </c>
      <c r="E129" t="str">
        <f t="shared" si="5"/>
        <v>Poor</v>
      </c>
      <c r="F129" t="str">
        <f t="shared" si="6"/>
        <v>Good</v>
      </c>
      <c r="G129" t="str">
        <f t="shared" si="7"/>
        <v>Good</v>
      </c>
      <c r="H129" t="str">
        <f t="shared" si="8"/>
        <v>Poor</v>
      </c>
      <c r="I129" t="str">
        <f t="shared" si="9"/>
        <v>Good</v>
      </c>
    </row>
    <row r="130" spans="1:9" x14ac:dyDescent="0.25">
      <c r="A130">
        <v>1</v>
      </c>
      <c r="B130">
        <v>3</v>
      </c>
      <c r="C130">
        <v>3</v>
      </c>
      <c r="D130">
        <v>4</v>
      </c>
      <c r="E130" t="str">
        <f t="shared" si="5"/>
        <v>Good</v>
      </c>
      <c r="F130" t="str">
        <f t="shared" si="6"/>
        <v>Good</v>
      </c>
      <c r="G130" t="str">
        <f t="shared" si="7"/>
        <v>Good</v>
      </c>
      <c r="H130" t="str">
        <f t="shared" si="8"/>
        <v>Good</v>
      </c>
      <c r="I130" t="str">
        <f t="shared" si="9"/>
        <v>Good</v>
      </c>
    </row>
    <row r="131" spans="1:9" x14ac:dyDescent="0.25">
      <c r="A131">
        <v>1</v>
      </c>
      <c r="B131">
        <v>3</v>
      </c>
      <c r="C131">
        <v>5</v>
      </c>
      <c r="D131">
        <v>5</v>
      </c>
      <c r="E131" t="str">
        <f t="shared" si="5"/>
        <v>Good</v>
      </c>
      <c r="F131" t="str">
        <f t="shared" si="6"/>
        <v>Good</v>
      </c>
      <c r="G131" t="str">
        <f t="shared" si="7"/>
        <v>Good</v>
      </c>
      <c r="H131" t="str">
        <f t="shared" si="8"/>
        <v>Good</v>
      </c>
      <c r="I131" t="str">
        <f t="shared" si="9"/>
        <v>Good</v>
      </c>
    </row>
    <row r="132" spans="1:9" x14ac:dyDescent="0.25">
      <c r="A132">
        <v>1</v>
      </c>
      <c r="B132">
        <v>3</v>
      </c>
      <c r="C132">
        <v>3</v>
      </c>
      <c r="D132">
        <v>5</v>
      </c>
      <c r="E132" t="str">
        <f t="shared" si="5"/>
        <v>Good</v>
      </c>
      <c r="F132" t="str">
        <f t="shared" si="6"/>
        <v>Good</v>
      </c>
      <c r="G132" t="str">
        <f t="shared" si="7"/>
        <v>Good</v>
      </c>
      <c r="H132" t="str">
        <f t="shared" si="8"/>
        <v>Good</v>
      </c>
      <c r="I132" t="str">
        <f t="shared" si="9"/>
        <v>Good</v>
      </c>
    </row>
    <row r="133" spans="1:9" x14ac:dyDescent="0.25">
      <c r="A133">
        <v>1</v>
      </c>
      <c r="B133">
        <v>3</v>
      </c>
      <c r="C133">
        <v>3</v>
      </c>
      <c r="D133">
        <v>4</v>
      </c>
      <c r="E133" t="str">
        <f t="shared" ref="E133:E186" si="10">IF(OR((A133=2), (B133&lt;=2),(C133&lt;=2),(D133&lt;=3)),"Poor","Good")</f>
        <v>Good</v>
      </c>
      <c r="F133" t="str">
        <f t="shared" ref="F133:F186" si="11">IF(A133=2,"Poor","Good")</f>
        <v>Good</v>
      </c>
      <c r="G133" t="str">
        <f t="shared" ref="G133:G186" si="12">IF(B133&lt;=2,"Poor","Good")</f>
        <v>Good</v>
      </c>
      <c r="H133" t="str">
        <f t="shared" ref="H133:H186" si="13">IF(C133&lt;=2,"Poor","Good")</f>
        <v>Good</v>
      </c>
      <c r="I133" t="str">
        <f t="shared" ref="I133:I186" si="14">IF(D133&lt;=3,"Poor","Good")</f>
        <v>Good</v>
      </c>
    </row>
    <row r="134" spans="1:9" x14ac:dyDescent="0.25">
      <c r="A134">
        <v>2</v>
      </c>
      <c r="B134">
        <v>3</v>
      </c>
      <c r="C134">
        <v>1</v>
      </c>
      <c r="E134" t="str">
        <f t="shared" si="10"/>
        <v>Poor</v>
      </c>
      <c r="F134" t="str">
        <f t="shared" si="11"/>
        <v>Poor</v>
      </c>
      <c r="G134" t="str">
        <f t="shared" si="12"/>
        <v>Good</v>
      </c>
      <c r="H134" t="str">
        <f t="shared" si="13"/>
        <v>Poor</v>
      </c>
      <c r="I134" t="str">
        <f t="shared" si="14"/>
        <v>Poor</v>
      </c>
    </row>
    <row r="135" spans="1:9" x14ac:dyDescent="0.25">
      <c r="A135">
        <v>1</v>
      </c>
      <c r="B135">
        <v>3</v>
      </c>
      <c r="C135">
        <v>2</v>
      </c>
      <c r="D135">
        <v>5</v>
      </c>
      <c r="E135" t="str">
        <f t="shared" si="10"/>
        <v>Poor</v>
      </c>
      <c r="F135" t="str">
        <f t="shared" si="11"/>
        <v>Good</v>
      </c>
      <c r="G135" t="str">
        <f t="shared" si="12"/>
        <v>Good</v>
      </c>
      <c r="H135" t="str">
        <f t="shared" si="13"/>
        <v>Poor</v>
      </c>
      <c r="I135" t="str">
        <f t="shared" si="14"/>
        <v>Good</v>
      </c>
    </row>
    <row r="136" spans="1:9" x14ac:dyDescent="0.25">
      <c r="A136">
        <v>1</v>
      </c>
      <c r="B136">
        <v>3</v>
      </c>
      <c r="C136">
        <v>3</v>
      </c>
      <c r="D136">
        <v>5</v>
      </c>
      <c r="E136" t="str">
        <f t="shared" si="10"/>
        <v>Good</v>
      </c>
      <c r="F136" t="str">
        <f t="shared" si="11"/>
        <v>Good</v>
      </c>
      <c r="G136" t="str">
        <f t="shared" si="12"/>
        <v>Good</v>
      </c>
      <c r="H136" t="str">
        <f t="shared" si="13"/>
        <v>Good</v>
      </c>
      <c r="I136" t="str">
        <f t="shared" si="14"/>
        <v>Good</v>
      </c>
    </row>
    <row r="137" spans="1:9" x14ac:dyDescent="0.25">
      <c r="A137">
        <v>1</v>
      </c>
      <c r="B137">
        <v>3</v>
      </c>
      <c r="C137">
        <v>3</v>
      </c>
      <c r="D137">
        <v>5</v>
      </c>
      <c r="E137" t="str">
        <f t="shared" si="10"/>
        <v>Good</v>
      </c>
      <c r="F137" t="str">
        <f t="shared" si="11"/>
        <v>Good</v>
      </c>
      <c r="G137" t="str">
        <f t="shared" si="12"/>
        <v>Good</v>
      </c>
      <c r="H137" t="str">
        <f t="shared" si="13"/>
        <v>Good</v>
      </c>
      <c r="I137" t="str">
        <f t="shared" si="14"/>
        <v>Good</v>
      </c>
    </row>
    <row r="138" spans="1:9" x14ac:dyDescent="0.25">
      <c r="A138">
        <v>2</v>
      </c>
      <c r="B138">
        <v>3</v>
      </c>
      <c r="C138">
        <v>3</v>
      </c>
      <c r="D138">
        <v>5</v>
      </c>
      <c r="E138" t="str">
        <f t="shared" si="10"/>
        <v>Poor</v>
      </c>
      <c r="F138" t="str">
        <f t="shared" si="11"/>
        <v>Poor</v>
      </c>
      <c r="G138" t="str">
        <f t="shared" si="12"/>
        <v>Good</v>
      </c>
      <c r="H138" t="str">
        <f t="shared" si="13"/>
        <v>Good</v>
      </c>
      <c r="I138" t="str">
        <f t="shared" si="14"/>
        <v>Good</v>
      </c>
    </row>
    <row r="139" spans="1:9" x14ac:dyDescent="0.25">
      <c r="A139">
        <v>1</v>
      </c>
      <c r="B139">
        <v>3</v>
      </c>
      <c r="C139">
        <v>3</v>
      </c>
      <c r="D139">
        <v>5</v>
      </c>
      <c r="E139" t="str">
        <f t="shared" si="10"/>
        <v>Good</v>
      </c>
      <c r="F139" t="str">
        <f t="shared" si="11"/>
        <v>Good</v>
      </c>
      <c r="G139" t="str">
        <f t="shared" si="12"/>
        <v>Good</v>
      </c>
      <c r="H139" t="str">
        <f t="shared" si="13"/>
        <v>Good</v>
      </c>
      <c r="I139" t="str">
        <f t="shared" si="14"/>
        <v>Good</v>
      </c>
    </row>
    <row r="140" spans="1:9" x14ac:dyDescent="0.25">
      <c r="A140">
        <v>1</v>
      </c>
      <c r="B140">
        <v>3</v>
      </c>
      <c r="C140">
        <v>3</v>
      </c>
      <c r="D140">
        <v>5</v>
      </c>
      <c r="E140" t="str">
        <f t="shared" si="10"/>
        <v>Good</v>
      </c>
      <c r="F140" t="str">
        <f t="shared" si="11"/>
        <v>Good</v>
      </c>
      <c r="G140" t="str">
        <f t="shared" si="12"/>
        <v>Good</v>
      </c>
      <c r="H140" t="str">
        <f t="shared" si="13"/>
        <v>Good</v>
      </c>
      <c r="I140" t="str">
        <f t="shared" si="14"/>
        <v>Good</v>
      </c>
    </row>
    <row r="141" spans="1:9" x14ac:dyDescent="0.25">
      <c r="A141">
        <v>1</v>
      </c>
      <c r="B141">
        <v>3</v>
      </c>
      <c r="C141">
        <v>3</v>
      </c>
      <c r="D141">
        <v>5</v>
      </c>
      <c r="E141" t="str">
        <f t="shared" si="10"/>
        <v>Good</v>
      </c>
      <c r="F141" t="str">
        <f t="shared" si="11"/>
        <v>Good</v>
      </c>
      <c r="G141" t="str">
        <f t="shared" si="12"/>
        <v>Good</v>
      </c>
      <c r="H141" t="str">
        <f t="shared" si="13"/>
        <v>Good</v>
      </c>
      <c r="I141" t="str">
        <f t="shared" si="14"/>
        <v>Good</v>
      </c>
    </row>
    <row r="142" spans="1:9" x14ac:dyDescent="0.25">
      <c r="A142">
        <v>1</v>
      </c>
      <c r="B142">
        <v>3</v>
      </c>
      <c r="C142">
        <v>3</v>
      </c>
      <c r="D142">
        <v>5</v>
      </c>
      <c r="E142" t="str">
        <f t="shared" si="10"/>
        <v>Good</v>
      </c>
      <c r="F142" t="str">
        <f t="shared" si="11"/>
        <v>Good</v>
      </c>
      <c r="G142" t="str">
        <f t="shared" si="12"/>
        <v>Good</v>
      </c>
      <c r="H142" t="str">
        <f t="shared" si="13"/>
        <v>Good</v>
      </c>
      <c r="I142" t="str">
        <f t="shared" si="14"/>
        <v>Good</v>
      </c>
    </row>
    <row r="143" spans="1:9" x14ac:dyDescent="0.25">
      <c r="A143">
        <v>1</v>
      </c>
      <c r="B143">
        <v>3</v>
      </c>
      <c r="C143">
        <v>3</v>
      </c>
      <c r="D143">
        <v>5</v>
      </c>
      <c r="E143" t="str">
        <f t="shared" si="10"/>
        <v>Good</v>
      </c>
      <c r="F143" t="str">
        <f t="shared" si="11"/>
        <v>Good</v>
      </c>
      <c r="G143" t="str">
        <f t="shared" si="12"/>
        <v>Good</v>
      </c>
      <c r="H143" t="str">
        <f t="shared" si="13"/>
        <v>Good</v>
      </c>
      <c r="I143" t="str">
        <f t="shared" si="14"/>
        <v>Good</v>
      </c>
    </row>
    <row r="144" spans="1:9" x14ac:dyDescent="0.25">
      <c r="A144">
        <v>1</v>
      </c>
      <c r="B144">
        <v>3</v>
      </c>
      <c r="C144">
        <v>3</v>
      </c>
      <c r="D144">
        <v>5</v>
      </c>
      <c r="E144" t="str">
        <f t="shared" si="10"/>
        <v>Good</v>
      </c>
      <c r="F144" t="str">
        <f t="shared" si="11"/>
        <v>Good</v>
      </c>
      <c r="G144" t="str">
        <f t="shared" si="12"/>
        <v>Good</v>
      </c>
      <c r="H144" t="str">
        <f t="shared" si="13"/>
        <v>Good</v>
      </c>
      <c r="I144" t="str">
        <f t="shared" si="14"/>
        <v>Good</v>
      </c>
    </row>
    <row r="145" spans="1:9" x14ac:dyDescent="0.25">
      <c r="A145">
        <v>1</v>
      </c>
      <c r="B145">
        <v>3</v>
      </c>
      <c r="C145">
        <v>3</v>
      </c>
      <c r="D145">
        <v>5</v>
      </c>
      <c r="E145" t="str">
        <f t="shared" si="10"/>
        <v>Good</v>
      </c>
      <c r="F145" t="str">
        <f t="shared" si="11"/>
        <v>Good</v>
      </c>
      <c r="G145" t="str">
        <f t="shared" si="12"/>
        <v>Good</v>
      </c>
      <c r="H145" t="str">
        <f t="shared" si="13"/>
        <v>Good</v>
      </c>
      <c r="I145" t="str">
        <f t="shared" si="14"/>
        <v>Good</v>
      </c>
    </row>
    <row r="146" spans="1:9" x14ac:dyDescent="0.25">
      <c r="B146">
        <v>3</v>
      </c>
      <c r="C146">
        <v>3</v>
      </c>
      <c r="D146">
        <v>5</v>
      </c>
      <c r="E146" t="str">
        <f t="shared" si="10"/>
        <v>Good</v>
      </c>
      <c r="F146" t="str">
        <f t="shared" si="11"/>
        <v>Good</v>
      </c>
      <c r="G146" t="str">
        <f t="shared" si="12"/>
        <v>Good</v>
      </c>
      <c r="H146" t="str">
        <f t="shared" si="13"/>
        <v>Good</v>
      </c>
      <c r="I146" t="str">
        <f t="shared" si="14"/>
        <v>Good</v>
      </c>
    </row>
    <row r="147" spans="1:9" x14ac:dyDescent="0.25">
      <c r="A147">
        <v>1</v>
      </c>
      <c r="B147">
        <v>3</v>
      </c>
      <c r="C147">
        <v>3</v>
      </c>
      <c r="D147">
        <v>5</v>
      </c>
      <c r="E147" t="str">
        <f t="shared" si="10"/>
        <v>Good</v>
      </c>
      <c r="F147" t="str">
        <f t="shared" si="11"/>
        <v>Good</v>
      </c>
      <c r="G147" t="str">
        <f t="shared" si="12"/>
        <v>Good</v>
      </c>
      <c r="H147" t="str">
        <f t="shared" si="13"/>
        <v>Good</v>
      </c>
      <c r="I147" t="str">
        <f t="shared" si="14"/>
        <v>Good</v>
      </c>
    </row>
    <row r="148" spans="1:9" x14ac:dyDescent="0.25">
      <c r="A148">
        <v>1</v>
      </c>
      <c r="B148">
        <v>3</v>
      </c>
      <c r="C148">
        <v>3</v>
      </c>
      <c r="D148">
        <v>5</v>
      </c>
      <c r="E148" t="str">
        <f t="shared" si="10"/>
        <v>Good</v>
      </c>
      <c r="F148" t="str">
        <f t="shared" si="11"/>
        <v>Good</v>
      </c>
      <c r="G148" t="str">
        <f t="shared" si="12"/>
        <v>Good</v>
      </c>
      <c r="H148" t="str">
        <f t="shared" si="13"/>
        <v>Good</v>
      </c>
      <c r="I148" t="str">
        <f t="shared" si="14"/>
        <v>Good</v>
      </c>
    </row>
    <row r="149" spans="1:9" x14ac:dyDescent="0.25">
      <c r="A149">
        <v>1</v>
      </c>
      <c r="B149">
        <v>3</v>
      </c>
      <c r="C149">
        <v>3</v>
      </c>
      <c r="D149">
        <v>5</v>
      </c>
      <c r="E149" t="str">
        <f t="shared" si="10"/>
        <v>Good</v>
      </c>
      <c r="F149" t="str">
        <f t="shared" si="11"/>
        <v>Good</v>
      </c>
      <c r="G149" t="str">
        <f t="shared" si="12"/>
        <v>Good</v>
      </c>
      <c r="H149" t="str">
        <f t="shared" si="13"/>
        <v>Good</v>
      </c>
      <c r="I149" t="str">
        <f t="shared" si="14"/>
        <v>Good</v>
      </c>
    </row>
    <row r="150" spans="1:9" x14ac:dyDescent="0.25">
      <c r="A150">
        <v>1</v>
      </c>
      <c r="B150">
        <v>4</v>
      </c>
      <c r="C150">
        <v>3</v>
      </c>
      <c r="D150">
        <v>5</v>
      </c>
      <c r="E150" t="str">
        <f t="shared" si="10"/>
        <v>Good</v>
      </c>
      <c r="F150" t="str">
        <f t="shared" si="11"/>
        <v>Good</v>
      </c>
      <c r="G150" t="str">
        <f t="shared" si="12"/>
        <v>Good</v>
      </c>
      <c r="H150" t="str">
        <f t="shared" si="13"/>
        <v>Good</v>
      </c>
      <c r="I150" t="str">
        <f t="shared" si="14"/>
        <v>Good</v>
      </c>
    </row>
    <row r="151" spans="1:9" x14ac:dyDescent="0.25">
      <c r="A151">
        <v>1</v>
      </c>
      <c r="B151">
        <v>4</v>
      </c>
      <c r="C151">
        <v>3</v>
      </c>
      <c r="D151">
        <v>5</v>
      </c>
      <c r="E151" t="str">
        <f t="shared" si="10"/>
        <v>Good</v>
      </c>
      <c r="F151" t="str">
        <f t="shared" si="11"/>
        <v>Good</v>
      </c>
      <c r="G151" t="str">
        <f t="shared" si="12"/>
        <v>Good</v>
      </c>
      <c r="H151" t="str">
        <f t="shared" si="13"/>
        <v>Good</v>
      </c>
      <c r="I151" t="str">
        <f t="shared" si="14"/>
        <v>Good</v>
      </c>
    </row>
    <row r="152" spans="1:9" x14ac:dyDescent="0.25">
      <c r="A152">
        <v>1</v>
      </c>
      <c r="B152">
        <v>4</v>
      </c>
      <c r="C152" s="8">
        <v>3</v>
      </c>
      <c r="D152" s="8">
        <v>5</v>
      </c>
      <c r="E152" t="str">
        <f t="shared" si="10"/>
        <v>Good</v>
      </c>
      <c r="F152" t="str">
        <f t="shared" si="11"/>
        <v>Good</v>
      </c>
      <c r="G152" t="str">
        <f t="shared" si="12"/>
        <v>Good</v>
      </c>
      <c r="H152" t="str">
        <f t="shared" si="13"/>
        <v>Good</v>
      </c>
      <c r="I152" t="str">
        <f t="shared" si="14"/>
        <v>Good</v>
      </c>
    </row>
    <row r="153" spans="1:9" x14ac:dyDescent="0.25">
      <c r="A153">
        <v>1</v>
      </c>
      <c r="B153">
        <v>4</v>
      </c>
      <c r="C153" s="8">
        <v>3</v>
      </c>
      <c r="D153" s="8">
        <v>5</v>
      </c>
      <c r="E153" t="str">
        <f t="shared" si="10"/>
        <v>Good</v>
      </c>
      <c r="F153" t="str">
        <f t="shared" si="11"/>
        <v>Good</v>
      </c>
      <c r="G153" t="str">
        <f t="shared" si="12"/>
        <v>Good</v>
      </c>
      <c r="H153" t="str">
        <f t="shared" si="13"/>
        <v>Good</v>
      </c>
      <c r="I153" t="str">
        <f t="shared" si="14"/>
        <v>Good</v>
      </c>
    </row>
    <row r="154" spans="1:9" x14ac:dyDescent="0.25">
      <c r="A154">
        <v>1</v>
      </c>
      <c r="B154">
        <v>4</v>
      </c>
      <c r="C154">
        <v>3</v>
      </c>
      <c r="D154">
        <v>5</v>
      </c>
      <c r="E154" t="str">
        <f t="shared" si="10"/>
        <v>Good</v>
      </c>
      <c r="F154" t="str">
        <f t="shared" si="11"/>
        <v>Good</v>
      </c>
      <c r="G154" t="str">
        <f t="shared" si="12"/>
        <v>Good</v>
      </c>
      <c r="H154" t="str">
        <f t="shared" si="13"/>
        <v>Good</v>
      </c>
      <c r="I154" t="str">
        <f t="shared" si="14"/>
        <v>Good</v>
      </c>
    </row>
    <row r="155" spans="1:9" x14ac:dyDescent="0.25">
      <c r="A155">
        <v>1</v>
      </c>
      <c r="B155">
        <v>4</v>
      </c>
      <c r="C155">
        <v>3</v>
      </c>
      <c r="D155">
        <v>5</v>
      </c>
      <c r="E155" t="str">
        <f t="shared" si="10"/>
        <v>Good</v>
      </c>
      <c r="F155" t="str">
        <f t="shared" si="11"/>
        <v>Good</v>
      </c>
      <c r="G155" t="str">
        <f t="shared" si="12"/>
        <v>Good</v>
      </c>
      <c r="H155" t="str">
        <f t="shared" si="13"/>
        <v>Good</v>
      </c>
      <c r="I155" t="str">
        <f t="shared" si="14"/>
        <v>Good</v>
      </c>
    </row>
    <row r="156" spans="1:9" x14ac:dyDescent="0.25">
      <c r="A156">
        <v>1</v>
      </c>
      <c r="B156">
        <v>4</v>
      </c>
      <c r="C156">
        <v>3</v>
      </c>
      <c r="D156">
        <v>5</v>
      </c>
      <c r="E156" t="str">
        <f t="shared" si="10"/>
        <v>Good</v>
      </c>
      <c r="F156" t="str">
        <f t="shared" si="11"/>
        <v>Good</v>
      </c>
      <c r="G156" t="str">
        <f t="shared" si="12"/>
        <v>Good</v>
      </c>
      <c r="H156" t="str">
        <f t="shared" si="13"/>
        <v>Good</v>
      </c>
      <c r="I156" t="str">
        <f t="shared" si="14"/>
        <v>Good</v>
      </c>
    </row>
    <row r="157" spans="1:9" x14ac:dyDescent="0.25">
      <c r="A157">
        <v>1</v>
      </c>
      <c r="B157">
        <v>4</v>
      </c>
      <c r="C157">
        <v>3</v>
      </c>
      <c r="D157">
        <v>5</v>
      </c>
      <c r="E157" t="str">
        <f t="shared" si="10"/>
        <v>Good</v>
      </c>
      <c r="F157" t="str">
        <f t="shared" si="11"/>
        <v>Good</v>
      </c>
      <c r="G157" t="str">
        <f t="shared" si="12"/>
        <v>Good</v>
      </c>
      <c r="H157" t="str">
        <f t="shared" si="13"/>
        <v>Good</v>
      </c>
      <c r="I157" t="str">
        <f t="shared" si="14"/>
        <v>Good</v>
      </c>
    </row>
    <row r="158" spans="1:9" x14ac:dyDescent="0.25">
      <c r="A158">
        <v>1</v>
      </c>
      <c r="B158">
        <v>4</v>
      </c>
      <c r="C158">
        <v>3</v>
      </c>
      <c r="D158">
        <v>5</v>
      </c>
      <c r="E158" t="str">
        <f t="shared" si="10"/>
        <v>Good</v>
      </c>
      <c r="F158" t="str">
        <f t="shared" si="11"/>
        <v>Good</v>
      </c>
      <c r="G158" t="str">
        <f t="shared" si="12"/>
        <v>Good</v>
      </c>
      <c r="H158" t="str">
        <f t="shared" si="13"/>
        <v>Good</v>
      </c>
      <c r="I158" t="str">
        <f t="shared" si="14"/>
        <v>Good</v>
      </c>
    </row>
    <row r="159" spans="1:9" x14ac:dyDescent="0.25">
      <c r="A159">
        <v>1</v>
      </c>
      <c r="B159">
        <v>4</v>
      </c>
      <c r="C159">
        <v>3</v>
      </c>
      <c r="D159">
        <v>5</v>
      </c>
      <c r="E159" t="str">
        <f t="shared" si="10"/>
        <v>Good</v>
      </c>
      <c r="F159" t="str">
        <f t="shared" si="11"/>
        <v>Good</v>
      </c>
      <c r="G159" t="str">
        <f t="shared" si="12"/>
        <v>Good</v>
      </c>
      <c r="H159" t="str">
        <f t="shared" si="13"/>
        <v>Good</v>
      </c>
      <c r="I159" t="str">
        <f t="shared" si="14"/>
        <v>Good</v>
      </c>
    </row>
    <row r="160" spans="1:9" x14ac:dyDescent="0.25">
      <c r="A160">
        <v>1</v>
      </c>
      <c r="B160">
        <v>4</v>
      </c>
      <c r="C160">
        <v>3</v>
      </c>
      <c r="D160">
        <v>5</v>
      </c>
      <c r="E160" t="str">
        <f t="shared" si="10"/>
        <v>Good</v>
      </c>
      <c r="F160" t="str">
        <f t="shared" si="11"/>
        <v>Good</v>
      </c>
      <c r="G160" t="str">
        <f t="shared" si="12"/>
        <v>Good</v>
      </c>
      <c r="H160" t="str">
        <f t="shared" si="13"/>
        <v>Good</v>
      </c>
      <c r="I160" t="str">
        <f t="shared" si="14"/>
        <v>Good</v>
      </c>
    </row>
    <row r="161" spans="1:9" x14ac:dyDescent="0.25">
      <c r="A161">
        <v>1</v>
      </c>
      <c r="B161">
        <v>4</v>
      </c>
      <c r="C161">
        <v>3</v>
      </c>
      <c r="D161">
        <v>5</v>
      </c>
      <c r="E161" t="str">
        <f t="shared" si="10"/>
        <v>Good</v>
      </c>
      <c r="F161" t="str">
        <f t="shared" si="11"/>
        <v>Good</v>
      </c>
      <c r="G161" t="str">
        <f t="shared" si="12"/>
        <v>Good</v>
      </c>
      <c r="H161" t="str">
        <f t="shared" si="13"/>
        <v>Good</v>
      </c>
      <c r="I161" t="str">
        <f t="shared" si="14"/>
        <v>Good</v>
      </c>
    </row>
    <row r="162" spans="1:9" x14ac:dyDescent="0.25">
      <c r="A162">
        <v>1</v>
      </c>
      <c r="B162">
        <v>4</v>
      </c>
      <c r="C162">
        <v>3</v>
      </c>
      <c r="D162">
        <v>5</v>
      </c>
      <c r="E162" t="str">
        <f t="shared" si="10"/>
        <v>Good</v>
      </c>
      <c r="F162" t="str">
        <f t="shared" si="11"/>
        <v>Good</v>
      </c>
      <c r="G162" t="str">
        <f t="shared" si="12"/>
        <v>Good</v>
      </c>
      <c r="H162" t="str">
        <f t="shared" si="13"/>
        <v>Good</v>
      </c>
      <c r="I162" t="str">
        <f t="shared" si="14"/>
        <v>Good</v>
      </c>
    </row>
    <row r="163" spans="1:9" x14ac:dyDescent="0.25">
      <c r="A163">
        <v>1</v>
      </c>
      <c r="B163">
        <v>4</v>
      </c>
      <c r="C163">
        <v>3</v>
      </c>
      <c r="D163">
        <v>5</v>
      </c>
      <c r="E163" t="str">
        <f t="shared" si="10"/>
        <v>Good</v>
      </c>
      <c r="F163" t="str">
        <f t="shared" si="11"/>
        <v>Good</v>
      </c>
      <c r="G163" t="str">
        <f t="shared" si="12"/>
        <v>Good</v>
      </c>
      <c r="H163" t="str">
        <f t="shared" si="13"/>
        <v>Good</v>
      </c>
      <c r="I163" t="str">
        <f t="shared" si="14"/>
        <v>Good</v>
      </c>
    </row>
    <row r="164" spans="1:9" x14ac:dyDescent="0.25">
      <c r="A164">
        <v>1</v>
      </c>
      <c r="B164">
        <v>4</v>
      </c>
      <c r="C164">
        <v>3</v>
      </c>
      <c r="D164">
        <v>5</v>
      </c>
      <c r="E164" t="str">
        <f t="shared" si="10"/>
        <v>Good</v>
      </c>
      <c r="F164" t="str">
        <f t="shared" si="11"/>
        <v>Good</v>
      </c>
      <c r="G164" t="str">
        <f t="shared" si="12"/>
        <v>Good</v>
      </c>
      <c r="H164" t="str">
        <f t="shared" si="13"/>
        <v>Good</v>
      </c>
      <c r="I164" t="str">
        <f t="shared" si="14"/>
        <v>Good</v>
      </c>
    </row>
    <row r="165" spans="1:9" x14ac:dyDescent="0.25">
      <c r="A165">
        <v>1</v>
      </c>
      <c r="B165">
        <v>5</v>
      </c>
      <c r="C165">
        <v>3</v>
      </c>
      <c r="D165">
        <v>5</v>
      </c>
      <c r="E165" t="str">
        <f t="shared" si="10"/>
        <v>Good</v>
      </c>
      <c r="F165" t="str">
        <f t="shared" si="11"/>
        <v>Good</v>
      </c>
      <c r="G165" t="str">
        <f t="shared" si="12"/>
        <v>Good</v>
      </c>
      <c r="H165" t="str">
        <f t="shared" si="13"/>
        <v>Good</v>
      </c>
      <c r="I165" t="str">
        <f t="shared" si="14"/>
        <v>Good</v>
      </c>
    </row>
    <row r="166" spans="1:9" x14ac:dyDescent="0.25">
      <c r="A166">
        <v>1</v>
      </c>
      <c r="B166">
        <v>5</v>
      </c>
      <c r="C166">
        <v>3</v>
      </c>
      <c r="D166">
        <v>5</v>
      </c>
      <c r="E166" t="str">
        <f t="shared" si="10"/>
        <v>Good</v>
      </c>
      <c r="F166" t="str">
        <f t="shared" si="11"/>
        <v>Good</v>
      </c>
      <c r="G166" t="str">
        <f t="shared" si="12"/>
        <v>Good</v>
      </c>
      <c r="H166" t="str">
        <f t="shared" si="13"/>
        <v>Good</v>
      </c>
      <c r="I166" t="str">
        <f t="shared" si="14"/>
        <v>Good</v>
      </c>
    </row>
    <row r="167" spans="1:9" x14ac:dyDescent="0.25">
      <c r="A167">
        <v>1</v>
      </c>
      <c r="B167">
        <v>5</v>
      </c>
      <c r="C167">
        <v>3</v>
      </c>
      <c r="D167">
        <v>5</v>
      </c>
      <c r="E167" t="str">
        <f t="shared" si="10"/>
        <v>Good</v>
      </c>
      <c r="F167" t="str">
        <f t="shared" si="11"/>
        <v>Good</v>
      </c>
      <c r="G167" t="str">
        <f t="shared" si="12"/>
        <v>Good</v>
      </c>
      <c r="H167" t="str">
        <f t="shared" si="13"/>
        <v>Good</v>
      </c>
      <c r="I167" t="str">
        <f t="shared" si="14"/>
        <v>Good</v>
      </c>
    </row>
    <row r="168" spans="1:9" x14ac:dyDescent="0.25">
      <c r="A168">
        <v>1</v>
      </c>
      <c r="B168">
        <v>5</v>
      </c>
      <c r="C168">
        <v>3</v>
      </c>
      <c r="D168">
        <v>5</v>
      </c>
      <c r="E168" t="str">
        <f t="shared" si="10"/>
        <v>Good</v>
      </c>
      <c r="F168" t="str">
        <f t="shared" si="11"/>
        <v>Good</v>
      </c>
      <c r="G168" t="str">
        <f t="shared" si="12"/>
        <v>Good</v>
      </c>
      <c r="H168" t="str">
        <f t="shared" si="13"/>
        <v>Good</v>
      </c>
      <c r="I168" t="str">
        <f t="shared" si="14"/>
        <v>Good</v>
      </c>
    </row>
    <row r="169" spans="1:9" x14ac:dyDescent="0.25">
      <c r="A169">
        <v>1</v>
      </c>
      <c r="B169">
        <v>5</v>
      </c>
      <c r="C169">
        <v>3</v>
      </c>
      <c r="D169">
        <v>5</v>
      </c>
      <c r="E169" t="str">
        <f t="shared" si="10"/>
        <v>Good</v>
      </c>
      <c r="F169" t="str">
        <f t="shared" si="11"/>
        <v>Good</v>
      </c>
      <c r="G169" t="str">
        <f t="shared" si="12"/>
        <v>Good</v>
      </c>
      <c r="H169" t="str">
        <f t="shared" si="13"/>
        <v>Good</v>
      </c>
      <c r="I169" t="str">
        <f t="shared" si="14"/>
        <v>Good</v>
      </c>
    </row>
    <row r="170" spans="1:9" x14ac:dyDescent="0.25">
      <c r="A170">
        <v>1</v>
      </c>
      <c r="B170">
        <v>5</v>
      </c>
      <c r="C170">
        <v>3</v>
      </c>
      <c r="D170">
        <v>5</v>
      </c>
      <c r="E170" t="str">
        <f t="shared" si="10"/>
        <v>Good</v>
      </c>
      <c r="F170" t="str">
        <f t="shared" si="11"/>
        <v>Good</v>
      </c>
      <c r="G170" t="str">
        <f t="shared" si="12"/>
        <v>Good</v>
      </c>
      <c r="H170" t="str">
        <f t="shared" si="13"/>
        <v>Good</v>
      </c>
      <c r="I170" t="str">
        <f t="shared" si="14"/>
        <v>Good</v>
      </c>
    </row>
    <row r="171" spans="1:9" x14ac:dyDescent="0.25">
      <c r="A171">
        <v>1</v>
      </c>
      <c r="B171">
        <v>5</v>
      </c>
      <c r="C171">
        <v>3</v>
      </c>
      <c r="D171">
        <v>5</v>
      </c>
      <c r="E171" t="str">
        <f t="shared" si="10"/>
        <v>Good</v>
      </c>
      <c r="F171" t="str">
        <f t="shared" si="11"/>
        <v>Good</v>
      </c>
      <c r="G171" t="str">
        <f t="shared" si="12"/>
        <v>Good</v>
      </c>
      <c r="H171" t="str">
        <f t="shared" si="13"/>
        <v>Good</v>
      </c>
      <c r="I171" t="str">
        <f t="shared" si="14"/>
        <v>Good</v>
      </c>
    </row>
    <row r="172" spans="1:9" x14ac:dyDescent="0.25">
      <c r="A172" s="8">
        <v>1</v>
      </c>
      <c r="B172" s="8">
        <v>5</v>
      </c>
      <c r="C172" s="8">
        <v>3</v>
      </c>
      <c r="D172" s="8">
        <v>5</v>
      </c>
      <c r="E172" t="str">
        <f t="shared" si="10"/>
        <v>Good</v>
      </c>
      <c r="F172" t="str">
        <f t="shared" si="11"/>
        <v>Good</v>
      </c>
      <c r="G172" t="str">
        <f t="shared" si="12"/>
        <v>Good</v>
      </c>
      <c r="H172" t="str">
        <f t="shared" si="13"/>
        <v>Good</v>
      </c>
      <c r="I172" t="str">
        <f t="shared" si="14"/>
        <v>Good</v>
      </c>
    </row>
    <row r="173" spans="1:9" x14ac:dyDescent="0.25">
      <c r="A173">
        <v>1</v>
      </c>
      <c r="B173">
        <v>5</v>
      </c>
      <c r="C173">
        <v>3</v>
      </c>
      <c r="D173">
        <v>5</v>
      </c>
      <c r="E173" t="str">
        <f t="shared" si="10"/>
        <v>Good</v>
      </c>
      <c r="F173" t="str">
        <f t="shared" si="11"/>
        <v>Good</v>
      </c>
      <c r="G173" t="str">
        <f t="shared" si="12"/>
        <v>Good</v>
      </c>
      <c r="H173" t="str">
        <f t="shared" si="13"/>
        <v>Good</v>
      </c>
      <c r="I173" t="str">
        <f t="shared" si="14"/>
        <v>Good</v>
      </c>
    </row>
    <row r="174" spans="1:9" x14ac:dyDescent="0.25">
      <c r="A174">
        <v>1</v>
      </c>
      <c r="B174">
        <v>5</v>
      </c>
      <c r="C174">
        <v>3</v>
      </c>
      <c r="D174">
        <v>5</v>
      </c>
      <c r="E174" t="str">
        <f t="shared" si="10"/>
        <v>Good</v>
      </c>
      <c r="F174" t="str">
        <f t="shared" si="11"/>
        <v>Good</v>
      </c>
      <c r="G174" t="str">
        <f t="shared" si="12"/>
        <v>Good</v>
      </c>
      <c r="H174" t="str">
        <f t="shared" si="13"/>
        <v>Good</v>
      </c>
      <c r="I174" t="str">
        <f t="shared" si="14"/>
        <v>Good</v>
      </c>
    </row>
    <row r="175" spans="1:9" x14ac:dyDescent="0.25">
      <c r="A175">
        <v>1</v>
      </c>
      <c r="B175">
        <v>5</v>
      </c>
      <c r="C175">
        <v>3</v>
      </c>
      <c r="D175">
        <v>5</v>
      </c>
      <c r="E175" t="str">
        <f t="shared" si="10"/>
        <v>Good</v>
      </c>
      <c r="F175" t="str">
        <f t="shared" si="11"/>
        <v>Good</v>
      </c>
      <c r="G175" t="str">
        <f t="shared" si="12"/>
        <v>Good</v>
      </c>
      <c r="H175" t="str">
        <f t="shared" si="13"/>
        <v>Good</v>
      </c>
      <c r="I175" t="str">
        <f t="shared" si="14"/>
        <v>Good</v>
      </c>
    </row>
    <row r="176" spans="1:9" x14ac:dyDescent="0.25">
      <c r="A176">
        <v>1</v>
      </c>
      <c r="B176">
        <v>5</v>
      </c>
      <c r="C176">
        <v>3</v>
      </c>
      <c r="D176">
        <v>5</v>
      </c>
      <c r="E176" t="str">
        <f t="shared" si="10"/>
        <v>Good</v>
      </c>
      <c r="F176" t="str">
        <f t="shared" si="11"/>
        <v>Good</v>
      </c>
      <c r="G176" t="str">
        <f t="shared" si="12"/>
        <v>Good</v>
      </c>
      <c r="H176" t="str">
        <f t="shared" si="13"/>
        <v>Good</v>
      </c>
      <c r="I176" t="str">
        <f t="shared" si="14"/>
        <v>Good</v>
      </c>
    </row>
    <row r="177" spans="1:9" x14ac:dyDescent="0.25">
      <c r="A177">
        <v>1</v>
      </c>
      <c r="B177">
        <v>5</v>
      </c>
      <c r="C177">
        <v>3</v>
      </c>
      <c r="D177">
        <v>5</v>
      </c>
      <c r="E177" t="str">
        <f t="shared" si="10"/>
        <v>Good</v>
      </c>
      <c r="F177" t="str">
        <f t="shared" si="11"/>
        <v>Good</v>
      </c>
      <c r="G177" t="str">
        <f t="shared" si="12"/>
        <v>Good</v>
      </c>
      <c r="H177" t="str">
        <f t="shared" si="13"/>
        <v>Good</v>
      </c>
      <c r="I177" t="str">
        <f t="shared" si="14"/>
        <v>Good</v>
      </c>
    </row>
    <row r="178" spans="1:9" x14ac:dyDescent="0.25">
      <c r="A178">
        <v>1</v>
      </c>
      <c r="B178">
        <v>5</v>
      </c>
      <c r="C178">
        <v>3</v>
      </c>
      <c r="D178">
        <v>5</v>
      </c>
      <c r="E178" t="str">
        <f t="shared" si="10"/>
        <v>Good</v>
      </c>
      <c r="F178" t="str">
        <f t="shared" si="11"/>
        <v>Good</v>
      </c>
      <c r="G178" t="str">
        <f t="shared" si="12"/>
        <v>Good</v>
      </c>
      <c r="H178" t="str">
        <f t="shared" si="13"/>
        <v>Good</v>
      </c>
      <c r="I178" t="str">
        <f t="shared" si="14"/>
        <v>Good</v>
      </c>
    </row>
    <row r="179" spans="1:9" x14ac:dyDescent="0.25">
      <c r="A179">
        <v>1</v>
      </c>
      <c r="B179">
        <v>5</v>
      </c>
      <c r="C179">
        <v>3</v>
      </c>
      <c r="D179">
        <v>5</v>
      </c>
      <c r="E179" t="str">
        <f t="shared" si="10"/>
        <v>Good</v>
      </c>
      <c r="F179" t="str">
        <f t="shared" si="11"/>
        <v>Good</v>
      </c>
      <c r="G179" t="str">
        <f t="shared" si="12"/>
        <v>Good</v>
      </c>
      <c r="H179" t="str">
        <f t="shared" si="13"/>
        <v>Good</v>
      </c>
      <c r="I179" t="str">
        <f t="shared" si="14"/>
        <v>Good</v>
      </c>
    </row>
    <row r="180" spans="1:9" x14ac:dyDescent="0.25">
      <c r="A180">
        <v>1</v>
      </c>
      <c r="B180">
        <v>5</v>
      </c>
      <c r="C180">
        <v>3</v>
      </c>
      <c r="D180">
        <v>5</v>
      </c>
      <c r="E180" t="str">
        <f t="shared" si="10"/>
        <v>Good</v>
      </c>
      <c r="F180" t="str">
        <f t="shared" si="11"/>
        <v>Good</v>
      </c>
      <c r="G180" t="str">
        <f t="shared" si="12"/>
        <v>Good</v>
      </c>
      <c r="H180" t="str">
        <f t="shared" si="13"/>
        <v>Good</v>
      </c>
      <c r="I180" t="str">
        <f t="shared" si="14"/>
        <v>Good</v>
      </c>
    </row>
    <row r="181" spans="1:9" x14ac:dyDescent="0.25">
      <c r="A181">
        <v>1</v>
      </c>
      <c r="B181">
        <v>5</v>
      </c>
      <c r="C181">
        <v>3</v>
      </c>
      <c r="D181">
        <v>5</v>
      </c>
      <c r="E181" t="str">
        <f t="shared" si="10"/>
        <v>Good</v>
      </c>
      <c r="F181" t="str">
        <f t="shared" si="11"/>
        <v>Good</v>
      </c>
      <c r="G181" t="str">
        <f t="shared" si="12"/>
        <v>Good</v>
      </c>
      <c r="H181" t="str">
        <f t="shared" si="13"/>
        <v>Good</v>
      </c>
      <c r="I181" t="str">
        <f t="shared" si="14"/>
        <v>Good</v>
      </c>
    </row>
    <row r="182" spans="1:9" x14ac:dyDescent="0.25">
      <c r="A182">
        <v>1</v>
      </c>
      <c r="B182">
        <v>5</v>
      </c>
      <c r="C182">
        <v>3</v>
      </c>
      <c r="D182">
        <v>5</v>
      </c>
      <c r="E182" t="str">
        <f t="shared" si="10"/>
        <v>Good</v>
      </c>
      <c r="F182" t="str">
        <f t="shared" si="11"/>
        <v>Good</v>
      </c>
      <c r="G182" t="str">
        <f t="shared" si="12"/>
        <v>Good</v>
      </c>
      <c r="H182" t="str">
        <f t="shared" si="13"/>
        <v>Good</v>
      </c>
      <c r="I182" t="str">
        <f t="shared" si="14"/>
        <v>Good</v>
      </c>
    </row>
    <row r="183" spans="1:9" x14ac:dyDescent="0.25">
      <c r="A183">
        <v>1</v>
      </c>
      <c r="B183">
        <v>5</v>
      </c>
      <c r="C183">
        <v>3</v>
      </c>
      <c r="D183">
        <v>5</v>
      </c>
      <c r="E183" t="str">
        <f t="shared" si="10"/>
        <v>Good</v>
      </c>
      <c r="F183" t="str">
        <f t="shared" si="11"/>
        <v>Good</v>
      </c>
      <c r="G183" t="str">
        <f t="shared" si="12"/>
        <v>Good</v>
      </c>
      <c r="H183" t="str">
        <f t="shared" si="13"/>
        <v>Good</v>
      </c>
      <c r="I183" t="str">
        <f t="shared" si="14"/>
        <v>Good</v>
      </c>
    </row>
    <row r="184" spans="1:9" x14ac:dyDescent="0.25">
      <c r="A184">
        <v>1</v>
      </c>
      <c r="B184">
        <v>5</v>
      </c>
      <c r="C184">
        <v>3</v>
      </c>
      <c r="D184">
        <v>5</v>
      </c>
      <c r="E184" t="str">
        <f t="shared" si="10"/>
        <v>Good</v>
      </c>
      <c r="F184" t="str">
        <f t="shared" si="11"/>
        <v>Good</v>
      </c>
      <c r="G184" t="str">
        <f t="shared" si="12"/>
        <v>Good</v>
      </c>
      <c r="H184" t="str">
        <f t="shared" si="13"/>
        <v>Good</v>
      </c>
      <c r="I184" t="str">
        <f t="shared" si="14"/>
        <v>Good</v>
      </c>
    </row>
    <row r="185" spans="1:9" x14ac:dyDescent="0.25">
      <c r="A185">
        <v>1</v>
      </c>
      <c r="B185">
        <v>5</v>
      </c>
      <c r="C185">
        <v>3</v>
      </c>
      <c r="D185">
        <v>5</v>
      </c>
      <c r="E185" t="str">
        <f t="shared" si="10"/>
        <v>Good</v>
      </c>
      <c r="F185" t="str">
        <f t="shared" si="11"/>
        <v>Good</v>
      </c>
      <c r="G185" t="str">
        <f t="shared" si="12"/>
        <v>Good</v>
      </c>
      <c r="H185" t="str">
        <f t="shared" si="13"/>
        <v>Good</v>
      </c>
      <c r="I185" t="str">
        <f t="shared" si="14"/>
        <v>Good</v>
      </c>
    </row>
    <row r="186" spans="1:9" x14ac:dyDescent="0.25">
      <c r="A186">
        <v>1</v>
      </c>
      <c r="B186">
        <v>5</v>
      </c>
      <c r="C186">
        <v>3</v>
      </c>
      <c r="D186">
        <v>5</v>
      </c>
      <c r="E186" t="str">
        <f t="shared" si="10"/>
        <v>Good</v>
      </c>
      <c r="F186" t="str">
        <f t="shared" si="11"/>
        <v>Good</v>
      </c>
      <c r="G186" t="str">
        <f t="shared" si="12"/>
        <v>Good</v>
      </c>
      <c r="H186" t="str">
        <f t="shared" si="13"/>
        <v>Good</v>
      </c>
      <c r="I186" t="str">
        <f t="shared" si="14"/>
        <v>Good</v>
      </c>
    </row>
    <row r="187" spans="1:9" x14ac:dyDescent="0.25">
      <c r="A187">
        <v>1</v>
      </c>
      <c r="B187">
        <v>5</v>
      </c>
      <c r="C187">
        <v>3</v>
      </c>
      <c r="D187">
        <v>5</v>
      </c>
      <c r="E187" t="str">
        <f>IF(OR((A187=2), (B187&lt;=2),(C187&lt;=2),(D187&lt;=3)),"Poor","Good")</f>
        <v>Good</v>
      </c>
      <c r="F187" t="str">
        <f>IF(A187=2,"Poor","Good")</f>
        <v>Good</v>
      </c>
      <c r="G187" t="str">
        <f>IF(B187&lt;=2,"Poor","Good")</f>
        <v>Good</v>
      </c>
      <c r="H187" t="str">
        <f>IF(C187&lt;=2,"Poor","Good")</f>
        <v>Good</v>
      </c>
      <c r="I187" t="str">
        <f>IF(D187&lt;=3,"Poor","Good")</f>
        <v>Good</v>
      </c>
    </row>
    <row r="200" spans="1:4" x14ac:dyDescent="0.25">
      <c r="A200" s="8"/>
      <c r="B200" s="8"/>
      <c r="C200" s="8"/>
      <c r="D200" s="8"/>
    </row>
    <row r="203" spans="1:4" x14ac:dyDescent="0.25">
      <c r="A203" s="8"/>
      <c r="B203" s="8"/>
      <c r="C203" s="8"/>
      <c r="D203" s="8"/>
    </row>
    <row r="204" spans="1:4" x14ac:dyDescent="0.25">
      <c r="A204" s="8"/>
      <c r="B204" s="8"/>
      <c r="C204" s="8"/>
      <c r="D204" s="8"/>
    </row>
    <row r="218" spans="1:4" x14ac:dyDescent="0.25">
      <c r="A218" s="8"/>
      <c r="B218" s="8"/>
      <c r="C218" s="8"/>
      <c r="D218" s="8"/>
    </row>
    <row r="234" spans="1:4" x14ac:dyDescent="0.25">
      <c r="A234" s="8"/>
      <c r="B234" s="8"/>
      <c r="C234" s="8"/>
      <c r="D234" s="8"/>
    </row>
    <row r="237" spans="1:4" x14ac:dyDescent="0.25">
      <c r="A237" s="8"/>
      <c r="B237" s="8"/>
      <c r="C237" s="8"/>
      <c r="D237" s="8"/>
    </row>
  </sheetData>
  <autoFilter ref="A3:D187" xr:uid="{9D8DF848-9A0F-4D84-89DF-3A8C3E3E4B7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4927D-F0B3-4A8D-9E44-F41D88EC315B}">
  <dimension ref="A1:M7"/>
  <sheetViews>
    <sheetView workbookViewId="0">
      <selection activeCell="H10" sqref="H10"/>
    </sheetView>
  </sheetViews>
  <sheetFormatPr defaultRowHeight="15" x14ac:dyDescent="0.25"/>
  <cols>
    <col min="9" max="9" width="19.28515625" customWidth="1"/>
  </cols>
  <sheetData>
    <row r="1" spans="1:13" x14ac:dyDescent="0.25">
      <c r="A1" s="18"/>
      <c r="B1" s="18" t="s">
        <v>789</v>
      </c>
      <c r="C1" s="18" t="s">
        <v>773</v>
      </c>
      <c r="D1" s="18" t="s">
        <v>734</v>
      </c>
    </row>
    <row r="2" spans="1:13" x14ac:dyDescent="0.25">
      <c r="A2" t="s">
        <v>789</v>
      </c>
      <c r="B2">
        <v>1</v>
      </c>
    </row>
    <row r="3" spans="1:13" x14ac:dyDescent="0.25">
      <c r="A3" t="s">
        <v>773</v>
      </c>
      <c r="B3">
        <v>-0.25611412786533533</v>
      </c>
      <c r="C3">
        <v>1</v>
      </c>
    </row>
    <row r="4" spans="1:13" ht="60.75" thickBot="1" x14ac:dyDescent="0.3">
      <c r="A4" s="17" t="s">
        <v>734</v>
      </c>
      <c r="B4" s="17">
        <v>-0.38589677007339646</v>
      </c>
      <c r="C4" s="17">
        <v>0.48122979301535301</v>
      </c>
      <c r="D4" s="17">
        <v>1</v>
      </c>
      <c r="J4" s="4" t="s">
        <v>1177</v>
      </c>
      <c r="K4" s="4" t="s">
        <v>1178</v>
      </c>
      <c r="L4" s="4" t="s">
        <v>1179</v>
      </c>
      <c r="M4" s="4" t="s">
        <v>1180</v>
      </c>
    </row>
    <row r="5" spans="1:13" x14ac:dyDescent="0.25">
      <c r="I5" t="s">
        <v>1181</v>
      </c>
      <c r="J5">
        <v>0.256114127865335</v>
      </c>
      <c r="K5">
        <v>240</v>
      </c>
      <c r="L5">
        <f>J5*SQRT(K5-2)/SQRT(1-J5^2)</f>
        <v>4.0874674656929022</v>
      </c>
      <c r="M5">
        <f>_xlfn.T.DIST.2T(L5,K5-2)</f>
        <v>5.966200229314137E-5</v>
      </c>
    </row>
    <row r="6" spans="1:13" x14ac:dyDescent="0.25">
      <c r="I6" t="s">
        <v>1182</v>
      </c>
      <c r="J6">
        <v>0.38589677007339601</v>
      </c>
      <c r="K6">
        <v>240</v>
      </c>
      <c r="L6">
        <f>J6*SQRT(K6-2)/SQRT(1-J6^2)</f>
        <v>6.4531757034894177</v>
      </c>
      <c r="M6">
        <f>_xlfn.T.DIST.2T(L6,K6-2)</f>
        <v>6.0761806127454456E-10</v>
      </c>
    </row>
    <row r="7" spans="1:13" x14ac:dyDescent="0.25">
      <c r="I7" t="s">
        <v>1183</v>
      </c>
      <c r="J7">
        <v>0.48122979301535301</v>
      </c>
      <c r="K7">
        <v>240</v>
      </c>
      <c r="L7">
        <f>J7*SQRT(K7-2)/SQRT(1-J7^2)</f>
        <v>8.4691973435517927</v>
      </c>
      <c r="M7">
        <f>_xlfn.T.DIST.2T(L7,K7-2)</f>
        <v>2.5770913275584428E-15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2CF4-6E3F-4589-8784-756C1449473D}">
  <dimension ref="A3:H7"/>
  <sheetViews>
    <sheetView workbookViewId="0">
      <selection activeCell="A3" sqref="A3"/>
    </sheetView>
  </sheetViews>
  <sheetFormatPr defaultRowHeight="15" x14ac:dyDescent="0.25"/>
  <cols>
    <col min="1" max="1" width="18.7109375" bestFit="1" customWidth="1"/>
    <col min="2" max="2" width="16.28515625" bestFit="1" customWidth="1"/>
    <col min="3" max="3" width="5.140625" bestFit="1" customWidth="1"/>
    <col min="4" max="4" width="11.28515625" bestFit="1" customWidth="1"/>
    <col min="5" max="5" width="20.7109375" bestFit="1" customWidth="1"/>
    <col min="6" max="6" width="23.7109375" bestFit="1" customWidth="1"/>
    <col min="7" max="7" width="25.85546875" bestFit="1" customWidth="1"/>
  </cols>
  <sheetData>
    <row r="3" spans="1:8" x14ac:dyDescent="0.25">
      <c r="A3" s="14" t="s">
        <v>1189</v>
      </c>
      <c r="B3" s="14" t="s">
        <v>1188</v>
      </c>
    </row>
    <row r="4" spans="1:8" x14ac:dyDescent="0.25">
      <c r="A4" s="14" t="s">
        <v>1186</v>
      </c>
      <c r="B4" t="s">
        <v>1174</v>
      </c>
      <c r="C4" t="s">
        <v>1175</v>
      </c>
      <c r="D4" t="s">
        <v>1187</v>
      </c>
      <c r="F4" t="s">
        <v>1174</v>
      </c>
      <c r="G4" t="s">
        <v>1175</v>
      </c>
    </row>
    <row r="5" spans="1:8" x14ac:dyDescent="0.25">
      <c r="A5" s="20" t="s">
        <v>1174</v>
      </c>
      <c r="B5">
        <v>116</v>
      </c>
      <c r="C5">
        <v>19</v>
      </c>
      <c r="D5">
        <v>135</v>
      </c>
      <c r="F5">
        <f>142*135/184</f>
        <v>104.18478260869566</v>
      </c>
      <c r="G5">
        <f>135*42/184</f>
        <v>30.815217391304348</v>
      </c>
      <c r="H5">
        <f>SUM(F5+G5)</f>
        <v>135</v>
      </c>
    </row>
    <row r="6" spans="1:8" x14ac:dyDescent="0.25">
      <c r="A6" s="20" t="s">
        <v>1175</v>
      </c>
      <c r="B6">
        <v>26</v>
      </c>
      <c r="C6">
        <v>23</v>
      </c>
      <c r="D6">
        <v>49</v>
      </c>
      <c r="F6">
        <f>49*142/184</f>
        <v>37.815217391304351</v>
      </c>
      <c r="G6">
        <f>49*42/184</f>
        <v>11.184782608695652</v>
      </c>
      <c r="H6">
        <f>SUM(F6+G6)</f>
        <v>49</v>
      </c>
    </row>
    <row r="7" spans="1:8" x14ac:dyDescent="0.25">
      <c r="A7" s="20" t="s">
        <v>1187</v>
      </c>
      <c r="B7">
        <v>142</v>
      </c>
      <c r="C7">
        <v>42</v>
      </c>
      <c r="D7">
        <v>184</v>
      </c>
      <c r="F7">
        <f>SUM(F5+F6)</f>
        <v>142</v>
      </c>
      <c r="G7">
        <f>SUM(G5+G6)</f>
        <v>42</v>
      </c>
      <c r="H7">
        <f>SUM(H5+H6)</f>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5D7CA-6A33-42A4-9BE9-A68B1D2773BD}">
  <dimension ref="C7:O18"/>
  <sheetViews>
    <sheetView workbookViewId="0">
      <selection activeCell="M5" sqref="M5"/>
    </sheetView>
  </sheetViews>
  <sheetFormatPr defaultRowHeight="15" x14ac:dyDescent="0.25"/>
  <cols>
    <col min="14" max="14" width="12" bestFit="1" customWidth="1"/>
  </cols>
  <sheetData>
    <row r="7" spans="3:15" x14ac:dyDescent="0.25">
      <c r="D7" t="s">
        <v>1195</v>
      </c>
      <c r="I7" t="s">
        <v>1196</v>
      </c>
    </row>
    <row r="8" spans="3:15" x14ac:dyDescent="0.25">
      <c r="D8" t="s">
        <v>1192</v>
      </c>
      <c r="E8" t="s">
        <v>1193</v>
      </c>
      <c r="F8" t="s">
        <v>1187</v>
      </c>
      <c r="I8" t="s">
        <v>1192</v>
      </c>
      <c r="J8" t="s">
        <v>1193</v>
      </c>
      <c r="K8" t="s">
        <v>1194</v>
      </c>
      <c r="N8" t="s">
        <v>1192</v>
      </c>
      <c r="O8" t="s">
        <v>1193</v>
      </c>
    </row>
    <row r="9" spans="3:15" x14ac:dyDescent="0.25">
      <c r="C9" t="s">
        <v>1190</v>
      </c>
      <c r="D9">
        <v>116</v>
      </c>
      <c r="E9">
        <v>19</v>
      </c>
      <c r="F9">
        <v>135</v>
      </c>
      <c r="H9" t="s">
        <v>1190</v>
      </c>
      <c r="I9">
        <v>104.18478260869566</v>
      </c>
      <c r="J9">
        <v>30.815217391304348</v>
      </c>
      <c r="K9">
        <v>135</v>
      </c>
      <c r="M9" t="s">
        <v>1190</v>
      </c>
      <c r="N9">
        <f>(D9-I9)^2/I9</f>
        <v>1.339920845524029</v>
      </c>
      <c r="O9">
        <f>(E9-J9)^2/J9</f>
        <v>4.5302085729621968</v>
      </c>
    </row>
    <row r="10" spans="3:15" x14ac:dyDescent="0.25">
      <c r="C10" t="s">
        <v>1191</v>
      </c>
      <c r="D10">
        <v>26</v>
      </c>
      <c r="E10">
        <v>23</v>
      </c>
      <c r="F10">
        <v>49</v>
      </c>
      <c r="H10" t="s">
        <v>1191</v>
      </c>
      <c r="I10">
        <v>37.815217391304351</v>
      </c>
      <c r="J10">
        <v>11.184782608695652</v>
      </c>
      <c r="K10">
        <v>49</v>
      </c>
      <c r="M10" t="s">
        <v>1191</v>
      </c>
      <c r="N10">
        <f>(D10-I10)^2/I10</f>
        <v>3.6916186560355944</v>
      </c>
      <c r="O10">
        <f>(E10-J10)^2/J10</f>
        <v>12.481186884691766</v>
      </c>
    </row>
    <row r="11" spans="3:15" x14ac:dyDescent="0.25">
      <c r="C11" t="s">
        <v>1187</v>
      </c>
      <c r="D11">
        <v>142</v>
      </c>
      <c r="E11">
        <v>42</v>
      </c>
      <c r="F11">
        <v>184</v>
      </c>
      <c r="I11">
        <v>142</v>
      </c>
      <c r="J11">
        <v>42</v>
      </c>
      <c r="K11">
        <v>184</v>
      </c>
    </row>
    <row r="14" spans="3:15" x14ac:dyDescent="0.25">
      <c r="L14" t="s">
        <v>1197</v>
      </c>
      <c r="N14">
        <f>SUM(N9:O10)</f>
        <v>22.042934959213586</v>
      </c>
    </row>
    <row r="15" spans="3:15" x14ac:dyDescent="0.25">
      <c r="L15" t="s">
        <v>1198</v>
      </c>
      <c r="N15">
        <v>1</v>
      </c>
    </row>
    <row r="16" spans="3:15" x14ac:dyDescent="0.25">
      <c r="L16" t="s">
        <v>1199</v>
      </c>
      <c r="N16">
        <f>_xlfn.CHISQ.DIST.RT(N14,N15)</f>
        <v>2.6661923082139305E-6</v>
      </c>
    </row>
    <row r="18" spans="14:14" x14ac:dyDescent="0.25">
      <c r="N18">
        <f>_xlfn.CHISQ.TEST(D9:E10,I9:J10)</f>
        <v>2.6661923082139305E-6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A77E-EA2E-4EE0-B40A-18F96EF661B1}">
  <dimension ref="A1:F186"/>
  <sheetViews>
    <sheetView topLeftCell="A147" workbookViewId="0">
      <selection activeCell="D180" sqref="D180"/>
    </sheetView>
  </sheetViews>
  <sheetFormatPr defaultRowHeight="15" x14ac:dyDescent="0.25"/>
  <cols>
    <col min="1" max="1" width="21.7109375" customWidth="1"/>
    <col min="2" max="2" width="14.42578125" customWidth="1"/>
    <col min="3" max="3" width="14" customWidth="1"/>
    <col min="4" max="4" width="19.42578125" customWidth="1"/>
  </cols>
  <sheetData>
    <row r="1" spans="1:6" x14ac:dyDescent="0.25">
      <c r="A1" s="19"/>
      <c r="B1" s="19"/>
      <c r="C1" s="19"/>
      <c r="D1" s="19"/>
      <c r="E1" s="19"/>
      <c r="F1" s="19"/>
    </row>
    <row r="2" spans="1:6" x14ac:dyDescent="0.25">
      <c r="A2" t="s">
        <v>1185</v>
      </c>
      <c r="B2" t="s">
        <v>1184</v>
      </c>
    </row>
    <row r="3" spans="1:6" x14ac:dyDescent="0.25">
      <c r="A3" t="s">
        <v>1175</v>
      </c>
      <c r="B3" t="s">
        <v>1174</v>
      </c>
    </row>
    <row r="4" spans="1:6" x14ac:dyDescent="0.25">
      <c r="A4" t="s">
        <v>1175</v>
      </c>
      <c r="B4" t="s">
        <v>1174</v>
      </c>
    </row>
    <row r="5" spans="1:6" x14ac:dyDescent="0.25">
      <c r="A5" t="s">
        <v>1175</v>
      </c>
      <c r="B5" t="s">
        <v>1175</v>
      </c>
    </row>
    <row r="6" spans="1:6" x14ac:dyDescent="0.25">
      <c r="A6" t="s">
        <v>1175</v>
      </c>
      <c r="B6" t="s">
        <v>1175</v>
      </c>
    </row>
    <row r="7" spans="1:6" x14ac:dyDescent="0.25">
      <c r="A7" t="s">
        <v>1175</v>
      </c>
      <c r="B7" t="s">
        <v>1174</v>
      </c>
    </row>
    <row r="8" spans="1:6" x14ac:dyDescent="0.25">
      <c r="A8" t="s">
        <v>1175</v>
      </c>
      <c r="B8" t="s">
        <v>1174</v>
      </c>
    </row>
    <row r="9" spans="1:6" x14ac:dyDescent="0.25">
      <c r="A9" t="s">
        <v>1175</v>
      </c>
      <c r="B9" t="s">
        <v>1174</v>
      </c>
    </row>
    <row r="10" spans="1:6" x14ac:dyDescent="0.25">
      <c r="A10" t="s">
        <v>1175</v>
      </c>
      <c r="B10" t="s">
        <v>1175</v>
      </c>
    </row>
    <row r="11" spans="1:6" x14ac:dyDescent="0.25">
      <c r="A11" t="s">
        <v>1175</v>
      </c>
      <c r="B11" t="s">
        <v>1174</v>
      </c>
    </row>
    <row r="12" spans="1:6" x14ac:dyDescent="0.25">
      <c r="A12" t="s">
        <v>1175</v>
      </c>
      <c r="B12" t="s">
        <v>1175</v>
      </c>
    </row>
    <row r="13" spans="1:6" x14ac:dyDescent="0.25">
      <c r="A13" t="s">
        <v>1175</v>
      </c>
      <c r="B13" t="s">
        <v>1175</v>
      </c>
    </row>
    <row r="14" spans="1:6" x14ac:dyDescent="0.25">
      <c r="A14" t="s">
        <v>1175</v>
      </c>
      <c r="B14" t="s">
        <v>1174</v>
      </c>
    </row>
    <row r="15" spans="1:6" x14ac:dyDescent="0.25">
      <c r="A15" t="s">
        <v>1175</v>
      </c>
      <c r="B15" t="s">
        <v>1174</v>
      </c>
    </row>
    <row r="16" spans="1:6" x14ac:dyDescent="0.25">
      <c r="A16" t="s">
        <v>1175</v>
      </c>
      <c r="B16" t="s">
        <v>1175</v>
      </c>
    </row>
    <row r="17" spans="1:2" x14ac:dyDescent="0.25">
      <c r="A17" t="s">
        <v>1175</v>
      </c>
      <c r="B17" t="s">
        <v>1174</v>
      </c>
    </row>
    <row r="18" spans="1:2" x14ac:dyDescent="0.25">
      <c r="A18" t="s">
        <v>1175</v>
      </c>
      <c r="B18" t="s">
        <v>1175</v>
      </c>
    </row>
    <row r="19" spans="1:2" x14ac:dyDescent="0.25">
      <c r="A19" t="s">
        <v>1175</v>
      </c>
      <c r="B19" t="s">
        <v>1174</v>
      </c>
    </row>
    <row r="20" spans="1:2" x14ac:dyDescent="0.25">
      <c r="A20" t="s">
        <v>1175</v>
      </c>
      <c r="B20" t="s">
        <v>1175</v>
      </c>
    </row>
    <row r="21" spans="1:2" x14ac:dyDescent="0.25">
      <c r="A21" t="s">
        <v>1175</v>
      </c>
      <c r="B21" t="s">
        <v>1174</v>
      </c>
    </row>
    <row r="22" spans="1:2" x14ac:dyDescent="0.25">
      <c r="A22" t="s">
        <v>1175</v>
      </c>
      <c r="B22" t="s">
        <v>1174</v>
      </c>
    </row>
    <row r="23" spans="1:2" x14ac:dyDescent="0.25">
      <c r="A23" t="s">
        <v>1175</v>
      </c>
      <c r="B23" t="s">
        <v>1174</v>
      </c>
    </row>
    <row r="24" spans="1:2" x14ac:dyDescent="0.25">
      <c r="A24" t="s">
        <v>1175</v>
      </c>
      <c r="B24" t="s">
        <v>1175</v>
      </c>
    </row>
    <row r="25" spans="1:2" x14ac:dyDescent="0.25">
      <c r="A25" t="s">
        <v>1175</v>
      </c>
      <c r="B25" t="s">
        <v>1174</v>
      </c>
    </row>
    <row r="26" spans="1:2" x14ac:dyDescent="0.25">
      <c r="A26" t="s">
        <v>1175</v>
      </c>
      <c r="B26" t="s">
        <v>1175</v>
      </c>
    </row>
    <row r="27" spans="1:2" x14ac:dyDescent="0.25">
      <c r="A27" t="s">
        <v>1175</v>
      </c>
      <c r="B27" t="s">
        <v>1175</v>
      </c>
    </row>
    <row r="28" spans="1:2" x14ac:dyDescent="0.25">
      <c r="A28" t="s">
        <v>1175</v>
      </c>
      <c r="B28" t="s">
        <v>1175</v>
      </c>
    </row>
    <row r="29" spans="1:2" x14ac:dyDescent="0.25">
      <c r="A29" t="s">
        <v>1175</v>
      </c>
      <c r="B29" t="s">
        <v>1174</v>
      </c>
    </row>
    <row r="30" spans="1:2" x14ac:dyDescent="0.25">
      <c r="A30" t="s">
        <v>1175</v>
      </c>
      <c r="B30" t="s">
        <v>1174</v>
      </c>
    </row>
    <row r="31" spans="1:2" x14ac:dyDescent="0.25">
      <c r="A31" t="s">
        <v>1175</v>
      </c>
      <c r="B31" t="s">
        <v>1175</v>
      </c>
    </row>
    <row r="32" spans="1:2" x14ac:dyDescent="0.25">
      <c r="A32" t="s">
        <v>1175</v>
      </c>
      <c r="B32" t="s">
        <v>1175</v>
      </c>
    </row>
    <row r="33" spans="1:2" x14ac:dyDescent="0.25">
      <c r="A33" t="s">
        <v>1175</v>
      </c>
      <c r="B33" t="s">
        <v>1175</v>
      </c>
    </row>
    <row r="34" spans="1:2" x14ac:dyDescent="0.25">
      <c r="A34" t="s">
        <v>1175</v>
      </c>
      <c r="B34" t="s">
        <v>1175</v>
      </c>
    </row>
    <row r="35" spans="1:2" x14ac:dyDescent="0.25">
      <c r="A35" t="s">
        <v>1175</v>
      </c>
      <c r="B35" t="s">
        <v>1175</v>
      </c>
    </row>
    <row r="36" spans="1:2" x14ac:dyDescent="0.25">
      <c r="A36" t="s">
        <v>1175</v>
      </c>
      <c r="B36" t="s">
        <v>1174</v>
      </c>
    </row>
    <row r="37" spans="1:2" x14ac:dyDescent="0.25">
      <c r="A37" t="s">
        <v>1175</v>
      </c>
      <c r="B37" t="s">
        <v>1174</v>
      </c>
    </row>
    <row r="38" spans="1:2" x14ac:dyDescent="0.25">
      <c r="A38" t="s">
        <v>1174</v>
      </c>
      <c r="B38" t="s">
        <v>1175</v>
      </c>
    </row>
    <row r="39" spans="1:2" x14ac:dyDescent="0.25">
      <c r="A39" t="s">
        <v>1174</v>
      </c>
      <c r="B39" t="s">
        <v>1174</v>
      </c>
    </row>
    <row r="40" spans="1:2" x14ac:dyDescent="0.25">
      <c r="A40" t="s">
        <v>1174</v>
      </c>
      <c r="B40" t="s">
        <v>1174</v>
      </c>
    </row>
    <row r="41" spans="1:2" x14ac:dyDescent="0.25">
      <c r="A41" t="s">
        <v>1174</v>
      </c>
      <c r="B41" t="s">
        <v>1174</v>
      </c>
    </row>
    <row r="42" spans="1:2" x14ac:dyDescent="0.25">
      <c r="A42" t="s">
        <v>1175</v>
      </c>
      <c r="B42" t="s">
        <v>1174</v>
      </c>
    </row>
    <row r="43" spans="1:2" x14ac:dyDescent="0.25">
      <c r="A43" t="s">
        <v>1174</v>
      </c>
      <c r="B43" t="s">
        <v>1175</v>
      </c>
    </row>
    <row r="44" spans="1:2" x14ac:dyDescent="0.25">
      <c r="A44" t="s">
        <v>1174</v>
      </c>
      <c r="B44" t="s">
        <v>1174</v>
      </c>
    </row>
    <row r="45" spans="1:2" x14ac:dyDescent="0.25">
      <c r="A45" t="s">
        <v>1174</v>
      </c>
      <c r="B45" t="s">
        <v>1174</v>
      </c>
    </row>
    <row r="46" spans="1:2" x14ac:dyDescent="0.25">
      <c r="A46" t="s">
        <v>1174</v>
      </c>
      <c r="B46" t="s">
        <v>1174</v>
      </c>
    </row>
    <row r="47" spans="1:2" x14ac:dyDescent="0.25">
      <c r="A47" t="s">
        <v>1174</v>
      </c>
      <c r="B47" t="s">
        <v>1174</v>
      </c>
    </row>
    <row r="48" spans="1:2" x14ac:dyDescent="0.25">
      <c r="A48" t="s">
        <v>1174</v>
      </c>
      <c r="B48" t="s">
        <v>1174</v>
      </c>
    </row>
    <row r="49" spans="1:2" x14ac:dyDescent="0.25">
      <c r="A49" t="s">
        <v>1174</v>
      </c>
      <c r="B49" t="s">
        <v>1174</v>
      </c>
    </row>
    <row r="50" spans="1:2" x14ac:dyDescent="0.25">
      <c r="A50" t="s">
        <v>1174</v>
      </c>
      <c r="B50" t="s">
        <v>1174</v>
      </c>
    </row>
    <row r="51" spans="1:2" x14ac:dyDescent="0.25">
      <c r="A51" t="s">
        <v>1174</v>
      </c>
      <c r="B51" t="s">
        <v>1174</v>
      </c>
    </row>
    <row r="52" spans="1:2" x14ac:dyDescent="0.25">
      <c r="A52" t="s">
        <v>1174</v>
      </c>
      <c r="B52" t="s">
        <v>1174</v>
      </c>
    </row>
    <row r="53" spans="1:2" x14ac:dyDescent="0.25">
      <c r="A53" t="s">
        <v>1174</v>
      </c>
      <c r="B53" t="s">
        <v>1174</v>
      </c>
    </row>
    <row r="54" spans="1:2" x14ac:dyDescent="0.25">
      <c r="A54" t="s">
        <v>1174</v>
      </c>
      <c r="B54" t="s">
        <v>1174</v>
      </c>
    </row>
    <row r="55" spans="1:2" x14ac:dyDescent="0.25">
      <c r="A55" t="s">
        <v>1174</v>
      </c>
      <c r="B55" t="s">
        <v>1174</v>
      </c>
    </row>
    <row r="56" spans="1:2" x14ac:dyDescent="0.25">
      <c r="A56" t="s">
        <v>1174</v>
      </c>
      <c r="B56" t="s">
        <v>1175</v>
      </c>
    </row>
    <row r="57" spans="1:2" x14ac:dyDescent="0.25">
      <c r="A57" t="s">
        <v>1174</v>
      </c>
      <c r="B57" t="s">
        <v>1174</v>
      </c>
    </row>
    <row r="58" spans="1:2" x14ac:dyDescent="0.25">
      <c r="A58" t="s">
        <v>1174</v>
      </c>
      <c r="B58" t="s">
        <v>1174</v>
      </c>
    </row>
    <row r="59" spans="1:2" x14ac:dyDescent="0.25">
      <c r="A59" t="s">
        <v>1174</v>
      </c>
      <c r="B59" t="s">
        <v>1174</v>
      </c>
    </row>
    <row r="60" spans="1:2" x14ac:dyDescent="0.25">
      <c r="A60" t="s">
        <v>1174</v>
      </c>
      <c r="B60" t="s">
        <v>1174</v>
      </c>
    </row>
    <row r="61" spans="1:2" x14ac:dyDescent="0.25">
      <c r="A61" t="s">
        <v>1174</v>
      </c>
      <c r="B61" t="s">
        <v>1174</v>
      </c>
    </row>
    <row r="62" spans="1:2" x14ac:dyDescent="0.25">
      <c r="A62" t="s">
        <v>1174</v>
      </c>
      <c r="B62" t="s">
        <v>1174</v>
      </c>
    </row>
    <row r="63" spans="1:2" x14ac:dyDescent="0.25">
      <c r="A63" t="s">
        <v>1174</v>
      </c>
      <c r="B63" t="s">
        <v>1174</v>
      </c>
    </row>
    <row r="64" spans="1:2" x14ac:dyDescent="0.25">
      <c r="A64" t="s">
        <v>1174</v>
      </c>
      <c r="B64" t="s">
        <v>1174</v>
      </c>
    </row>
    <row r="65" spans="1:2" x14ac:dyDescent="0.25">
      <c r="A65" t="s">
        <v>1175</v>
      </c>
      <c r="B65" t="s">
        <v>1174</v>
      </c>
    </row>
    <row r="66" spans="1:2" x14ac:dyDescent="0.25">
      <c r="A66" t="s">
        <v>1174</v>
      </c>
      <c r="B66" t="s">
        <v>1174</v>
      </c>
    </row>
    <row r="67" spans="1:2" x14ac:dyDescent="0.25">
      <c r="A67" t="s">
        <v>1174</v>
      </c>
      <c r="B67" t="s">
        <v>1174</v>
      </c>
    </row>
    <row r="68" spans="1:2" x14ac:dyDescent="0.25">
      <c r="A68" t="s">
        <v>1174</v>
      </c>
      <c r="B68" t="s">
        <v>1174</v>
      </c>
    </row>
    <row r="69" spans="1:2" x14ac:dyDescent="0.25">
      <c r="A69" t="s">
        <v>1174</v>
      </c>
      <c r="B69" t="s">
        <v>1174</v>
      </c>
    </row>
    <row r="70" spans="1:2" x14ac:dyDescent="0.25">
      <c r="A70" t="s">
        <v>1174</v>
      </c>
      <c r="B70" t="s">
        <v>1174</v>
      </c>
    </row>
    <row r="71" spans="1:2" x14ac:dyDescent="0.25">
      <c r="A71" t="s">
        <v>1174</v>
      </c>
      <c r="B71" t="s">
        <v>1174</v>
      </c>
    </row>
    <row r="72" spans="1:2" x14ac:dyDescent="0.25">
      <c r="A72" t="s">
        <v>1174</v>
      </c>
      <c r="B72" t="s">
        <v>1174</v>
      </c>
    </row>
    <row r="73" spans="1:2" x14ac:dyDescent="0.25">
      <c r="A73" t="s">
        <v>1174</v>
      </c>
      <c r="B73" t="s">
        <v>1175</v>
      </c>
    </row>
    <row r="74" spans="1:2" x14ac:dyDescent="0.25">
      <c r="A74" t="s">
        <v>1175</v>
      </c>
      <c r="B74" t="s">
        <v>1174</v>
      </c>
    </row>
    <row r="75" spans="1:2" x14ac:dyDescent="0.25">
      <c r="A75" t="s">
        <v>1174</v>
      </c>
      <c r="B75" t="s">
        <v>1174</v>
      </c>
    </row>
    <row r="76" spans="1:2" x14ac:dyDescent="0.25">
      <c r="A76" t="s">
        <v>1174</v>
      </c>
      <c r="B76" t="s">
        <v>1174</v>
      </c>
    </row>
    <row r="77" spans="1:2" x14ac:dyDescent="0.25">
      <c r="A77" t="s">
        <v>1174</v>
      </c>
      <c r="B77" t="s">
        <v>1175</v>
      </c>
    </row>
    <row r="78" spans="1:2" x14ac:dyDescent="0.25">
      <c r="A78" t="s">
        <v>1174</v>
      </c>
      <c r="B78" t="s">
        <v>1174</v>
      </c>
    </row>
    <row r="79" spans="1:2" x14ac:dyDescent="0.25">
      <c r="A79" t="s">
        <v>1174</v>
      </c>
      <c r="B79" t="s">
        <v>1174</v>
      </c>
    </row>
    <row r="80" spans="1:2" x14ac:dyDescent="0.25">
      <c r="A80" t="s">
        <v>1175</v>
      </c>
      <c r="B80" t="s">
        <v>1175</v>
      </c>
    </row>
    <row r="81" spans="1:2" x14ac:dyDescent="0.25">
      <c r="A81" t="s">
        <v>1174</v>
      </c>
      <c r="B81" t="s">
        <v>1174</v>
      </c>
    </row>
    <row r="82" spans="1:2" x14ac:dyDescent="0.25">
      <c r="A82" t="s">
        <v>1174</v>
      </c>
      <c r="B82" t="s">
        <v>1174</v>
      </c>
    </row>
    <row r="83" spans="1:2" x14ac:dyDescent="0.25">
      <c r="A83" t="s">
        <v>1174</v>
      </c>
      <c r="B83" t="s">
        <v>1174</v>
      </c>
    </row>
    <row r="84" spans="1:2" x14ac:dyDescent="0.25">
      <c r="A84" t="s">
        <v>1174</v>
      </c>
      <c r="B84" t="s">
        <v>1174</v>
      </c>
    </row>
    <row r="85" spans="1:2" x14ac:dyDescent="0.25">
      <c r="A85" t="s">
        <v>1174</v>
      </c>
      <c r="B85" t="s">
        <v>1174</v>
      </c>
    </row>
    <row r="86" spans="1:2" x14ac:dyDescent="0.25">
      <c r="A86" t="s">
        <v>1175</v>
      </c>
      <c r="B86" t="s">
        <v>1174</v>
      </c>
    </row>
    <row r="87" spans="1:2" x14ac:dyDescent="0.25">
      <c r="A87" t="s">
        <v>1174</v>
      </c>
      <c r="B87" t="s">
        <v>1174</v>
      </c>
    </row>
    <row r="88" spans="1:2" x14ac:dyDescent="0.25">
      <c r="A88" t="s">
        <v>1174</v>
      </c>
      <c r="B88" t="s">
        <v>1174</v>
      </c>
    </row>
    <row r="89" spans="1:2" x14ac:dyDescent="0.25">
      <c r="A89" t="s">
        <v>1174</v>
      </c>
      <c r="B89" t="s">
        <v>1174</v>
      </c>
    </row>
    <row r="90" spans="1:2" x14ac:dyDescent="0.25">
      <c r="A90" t="s">
        <v>1174</v>
      </c>
      <c r="B90" t="s">
        <v>1174</v>
      </c>
    </row>
    <row r="91" spans="1:2" x14ac:dyDescent="0.25">
      <c r="A91" t="s">
        <v>1174</v>
      </c>
      <c r="B91" t="s">
        <v>1175</v>
      </c>
    </row>
    <row r="92" spans="1:2" x14ac:dyDescent="0.25">
      <c r="A92" t="s">
        <v>1174</v>
      </c>
      <c r="B92" t="s">
        <v>1175</v>
      </c>
    </row>
    <row r="93" spans="1:2" x14ac:dyDescent="0.25">
      <c r="A93" t="s">
        <v>1174</v>
      </c>
      <c r="B93" t="s">
        <v>1174</v>
      </c>
    </row>
    <row r="94" spans="1:2" x14ac:dyDescent="0.25">
      <c r="A94" t="s">
        <v>1174</v>
      </c>
      <c r="B94" t="s">
        <v>1174</v>
      </c>
    </row>
    <row r="95" spans="1:2" x14ac:dyDescent="0.25">
      <c r="A95" t="s">
        <v>1174</v>
      </c>
      <c r="B95" t="s">
        <v>1174</v>
      </c>
    </row>
    <row r="96" spans="1:2" x14ac:dyDescent="0.25">
      <c r="A96" t="s">
        <v>1174</v>
      </c>
      <c r="B96" t="s">
        <v>1174</v>
      </c>
    </row>
    <row r="97" spans="1:2" x14ac:dyDescent="0.25">
      <c r="A97" t="s">
        <v>1174</v>
      </c>
      <c r="B97" t="s">
        <v>1174</v>
      </c>
    </row>
    <row r="98" spans="1:2" x14ac:dyDescent="0.25">
      <c r="A98" t="s">
        <v>1174</v>
      </c>
      <c r="B98" t="s">
        <v>1174</v>
      </c>
    </row>
    <row r="99" spans="1:2" x14ac:dyDescent="0.25">
      <c r="A99" t="s">
        <v>1174</v>
      </c>
      <c r="B99" t="s">
        <v>1174</v>
      </c>
    </row>
    <row r="100" spans="1:2" x14ac:dyDescent="0.25">
      <c r="A100" t="s">
        <v>1174</v>
      </c>
      <c r="B100" t="s">
        <v>1174</v>
      </c>
    </row>
    <row r="101" spans="1:2" x14ac:dyDescent="0.25">
      <c r="A101" t="s">
        <v>1174</v>
      </c>
      <c r="B101" t="s">
        <v>1174</v>
      </c>
    </row>
    <row r="102" spans="1:2" x14ac:dyDescent="0.25">
      <c r="A102" t="s">
        <v>1174</v>
      </c>
      <c r="B102" t="s">
        <v>1174</v>
      </c>
    </row>
    <row r="103" spans="1:2" x14ac:dyDescent="0.25">
      <c r="A103" t="s">
        <v>1174</v>
      </c>
      <c r="B103" t="s">
        <v>1174</v>
      </c>
    </row>
    <row r="104" spans="1:2" x14ac:dyDescent="0.25">
      <c r="A104" t="s">
        <v>1174</v>
      </c>
      <c r="B104" t="s">
        <v>1174</v>
      </c>
    </row>
    <row r="105" spans="1:2" x14ac:dyDescent="0.25">
      <c r="A105" t="s">
        <v>1174</v>
      </c>
      <c r="B105" t="s">
        <v>1174</v>
      </c>
    </row>
    <row r="106" spans="1:2" x14ac:dyDescent="0.25">
      <c r="A106" t="s">
        <v>1174</v>
      </c>
      <c r="B106" t="s">
        <v>1174</v>
      </c>
    </row>
    <row r="107" spans="1:2" x14ac:dyDescent="0.25">
      <c r="A107" t="s">
        <v>1174</v>
      </c>
      <c r="B107" t="s">
        <v>1174</v>
      </c>
    </row>
    <row r="108" spans="1:2" x14ac:dyDescent="0.25">
      <c r="A108" t="s">
        <v>1175</v>
      </c>
      <c r="B108" t="s">
        <v>1174</v>
      </c>
    </row>
    <row r="109" spans="1:2" x14ac:dyDescent="0.25">
      <c r="A109" t="s">
        <v>1174</v>
      </c>
      <c r="B109" t="s">
        <v>1174</v>
      </c>
    </row>
    <row r="110" spans="1:2" x14ac:dyDescent="0.25">
      <c r="A110" t="s">
        <v>1174</v>
      </c>
      <c r="B110" t="s">
        <v>1175</v>
      </c>
    </row>
    <row r="111" spans="1:2" x14ac:dyDescent="0.25">
      <c r="A111" t="s">
        <v>1174</v>
      </c>
      <c r="B111" t="s">
        <v>1174</v>
      </c>
    </row>
    <row r="112" spans="1:2" x14ac:dyDescent="0.25">
      <c r="A112" t="s">
        <v>1174</v>
      </c>
      <c r="B112" t="s">
        <v>1174</v>
      </c>
    </row>
    <row r="113" spans="1:2" x14ac:dyDescent="0.25">
      <c r="A113" t="s">
        <v>1174</v>
      </c>
      <c r="B113" t="s">
        <v>1174</v>
      </c>
    </row>
    <row r="114" spans="1:2" x14ac:dyDescent="0.25">
      <c r="A114" t="s">
        <v>1174</v>
      </c>
      <c r="B114" t="s">
        <v>1174</v>
      </c>
    </row>
    <row r="115" spans="1:2" x14ac:dyDescent="0.25">
      <c r="A115" t="s">
        <v>1174</v>
      </c>
      <c r="B115" t="s">
        <v>1174</v>
      </c>
    </row>
    <row r="116" spans="1:2" x14ac:dyDescent="0.25">
      <c r="A116" t="s">
        <v>1174</v>
      </c>
      <c r="B116" t="s">
        <v>1174</v>
      </c>
    </row>
    <row r="117" spans="1:2" x14ac:dyDescent="0.25">
      <c r="A117" t="s">
        <v>1174</v>
      </c>
      <c r="B117" t="s">
        <v>1174</v>
      </c>
    </row>
    <row r="118" spans="1:2" x14ac:dyDescent="0.25">
      <c r="A118" t="s">
        <v>1174</v>
      </c>
      <c r="B118" t="s">
        <v>1175</v>
      </c>
    </row>
    <row r="119" spans="1:2" x14ac:dyDescent="0.25">
      <c r="A119" t="s">
        <v>1175</v>
      </c>
      <c r="B119" t="s">
        <v>1175</v>
      </c>
    </row>
    <row r="120" spans="1:2" x14ac:dyDescent="0.25">
      <c r="A120" t="s">
        <v>1175</v>
      </c>
      <c r="B120" t="s">
        <v>1175</v>
      </c>
    </row>
    <row r="121" spans="1:2" x14ac:dyDescent="0.25">
      <c r="A121" t="s">
        <v>1174</v>
      </c>
      <c r="B121" t="s">
        <v>1174</v>
      </c>
    </row>
    <row r="122" spans="1:2" x14ac:dyDescent="0.25">
      <c r="A122" t="s">
        <v>1174</v>
      </c>
      <c r="B122" t="s">
        <v>1174</v>
      </c>
    </row>
    <row r="123" spans="1:2" x14ac:dyDescent="0.25">
      <c r="A123" t="s">
        <v>1174</v>
      </c>
      <c r="B123" t="s">
        <v>1175</v>
      </c>
    </row>
    <row r="124" spans="1:2" x14ac:dyDescent="0.25">
      <c r="A124" t="s">
        <v>1175</v>
      </c>
      <c r="B124" t="s">
        <v>1174</v>
      </c>
    </row>
    <row r="125" spans="1:2" x14ac:dyDescent="0.25">
      <c r="A125" t="s">
        <v>1175</v>
      </c>
      <c r="B125" t="s">
        <v>1175</v>
      </c>
    </row>
    <row r="126" spans="1:2" x14ac:dyDescent="0.25">
      <c r="A126" t="s">
        <v>1174</v>
      </c>
      <c r="B126" t="s">
        <v>1174</v>
      </c>
    </row>
    <row r="127" spans="1:2" x14ac:dyDescent="0.25">
      <c r="A127" t="s">
        <v>1174</v>
      </c>
      <c r="B127" t="s">
        <v>1174</v>
      </c>
    </row>
    <row r="128" spans="1:2" x14ac:dyDescent="0.25">
      <c r="A128" t="s">
        <v>1175</v>
      </c>
      <c r="B128" t="s">
        <v>1174</v>
      </c>
    </row>
    <row r="129" spans="1:2" x14ac:dyDescent="0.25">
      <c r="A129" t="s">
        <v>1174</v>
      </c>
      <c r="B129" t="s">
        <v>1175</v>
      </c>
    </row>
    <row r="130" spans="1:2" x14ac:dyDescent="0.25">
      <c r="A130" t="s">
        <v>1174</v>
      </c>
      <c r="B130" t="s">
        <v>1174</v>
      </c>
    </row>
    <row r="131" spans="1:2" x14ac:dyDescent="0.25">
      <c r="A131" t="s">
        <v>1174</v>
      </c>
      <c r="B131" t="s">
        <v>1174</v>
      </c>
    </row>
    <row r="132" spans="1:2" x14ac:dyDescent="0.25">
      <c r="A132" t="s">
        <v>1174</v>
      </c>
      <c r="B132" t="s">
        <v>1175</v>
      </c>
    </row>
    <row r="133" spans="1:2" x14ac:dyDescent="0.25">
      <c r="A133" t="s">
        <v>1175</v>
      </c>
      <c r="B133" t="s">
        <v>1175</v>
      </c>
    </row>
    <row r="134" spans="1:2" x14ac:dyDescent="0.25">
      <c r="A134" t="s">
        <v>1175</v>
      </c>
      <c r="B134" t="s">
        <v>1174</v>
      </c>
    </row>
    <row r="135" spans="1:2" x14ac:dyDescent="0.25">
      <c r="A135" t="s">
        <v>1174</v>
      </c>
      <c r="B135" t="s">
        <v>1174</v>
      </c>
    </row>
    <row r="136" spans="1:2" x14ac:dyDescent="0.25">
      <c r="A136" t="s">
        <v>1174</v>
      </c>
      <c r="B136" t="s">
        <v>1175</v>
      </c>
    </row>
    <row r="137" spans="1:2" x14ac:dyDescent="0.25">
      <c r="A137" t="s">
        <v>1175</v>
      </c>
      <c r="B137" t="s">
        <v>1175</v>
      </c>
    </row>
    <row r="138" spans="1:2" x14ac:dyDescent="0.25">
      <c r="A138" t="s">
        <v>1174</v>
      </c>
      <c r="B138" t="s">
        <v>1174</v>
      </c>
    </row>
    <row r="139" spans="1:2" x14ac:dyDescent="0.25">
      <c r="A139" t="s">
        <v>1174</v>
      </c>
      <c r="B139" t="s">
        <v>1174</v>
      </c>
    </row>
    <row r="140" spans="1:2" x14ac:dyDescent="0.25">
      <c r="A140" t="s">
        <v>1174</v>
      </c>
      <c r="B140" t="s">
        <v>1174</v>
      </c>
    </row>
    <row r="141" spans="1:2" x14ac:dyDescent="0.25">
      <c r="A141" t="s">
        <v>1174</v>
      </c>
      <c r="B141" t="s">
        <v>1174</v>
      </c>
    </row>
    <row r="142" spans="1:2" x14ac:dyDescent="0.25">
      <c r="A142" t="s">
        <v>1174</v>
      </c>
      <c r="B142" t="s">
        <v>1175</v>
      </c>
    </row>
    <row r="143" spans="1:2" x14ac:dyDescent="0.25">
      <c r="A143" t="s">
        <v>1174</v>
      </c>
      <c r="B143" t="s">
        <v>1174</v>
      </c>
    </row>
    <row r="144" spans="1:2" x14ac:dyDescent="0.25">
      <c r="A144" t="s">
        <v>1174</v>
      </c>
      <c r="B144" t="s">
        <v>1174</v>
      </c>
    </row>
    <row r="145" spans="1:2" x14ac:dyDescent="0.25">
      <c r="A145" t="s">
        <v>1174</v>
      </c>
      <c r="B145" t="s">
        <v>1174</v>
      </c>
    </row>
    <row r="146" spans="1:2" x14ac:dyDescent="0.25">
      <c r="A146" t="s">
        <v>1174</v>
      </c>
      <c r="B146" t="s">
        <v>1174</v>
      </c>
    </row>
    <row r="147" spans="1:2" x14ac:dyDescent="0.25">
      <c r="A147" t="s">
        <v>1174</v>
      </c>
      <c r="B147" t="s">
        <v>1174</v>
      </c>
    </row>
    <row r="148" spans="1:2" x14ac:dyDescent="0.25">
      <c r="A148" t="s">
        <v>1174</v>
      </c>
      <c r="B148" t="s">
        <v>1174</v>
      </c>
    </row>
    <row r="149" spans="1:2" x14ac:dyDescent="0.25">
      <c r="A149" t="s">
        <v>1174</v>
      </c>
      <c r="B149" t="s">
        <v>1174</v>
      </c>
    </row>
    <row r="150" spans="1:2" x14ac:dyDescent="0.25">
      <c r="A150" t="s">
        <v>1174</v>
      </c>
      <c r="B150" t="s">
        <v>1174</v>
      </c>
    </row>
    <row r="151" spans="1:2" x14ac:dyDescent="0.25">
      <c r="A151" t="s">
        <v>1174</v>
      </c>
      <c r="B151" t="s">
        <v>1174</v>
      </c>
    </row>
    <row r="152" spans="1:2" x14ac:dyDescent="0.25">
      <c r="A152" t="s">
        <v>1174</v>
      </c>
      <c r="B152" t="s">
        <v>1174</v>
      </c>
    </row>
    <row r="153" spans="1:2" x14ac:dyDescent="0.25">
      <c r="A153" t="s">
        <v>1174</v>
      </c>
      <c r="B153" t="s">
        <v>1174</v>
      </c>
    </row>
    <row r="154" spans="1:2" x14ac:dyDescent="0.25">
      <c r="A154" t="s">
        <v>1174</v>
      </c>
      <c r="B154" t="s">
        <v>1175</v>
      </c>
    </row>
    <row r="155" spans="1:2" x14ac:dyDescent="0.25">
      <c r="A155" t="s">
        <v>1174</v>
      </c>
      <c r="B155" t="s">
        <v>1174</v>
      </c>
    </row>
    <row r="156" spans="1:2" x14ac:dyDescent="0.25">
      <c r="A156" t="s">
        <v>1174</v>
      </c>
      <c r="B156" t="s">
        <v>1174</v>
      </c>
    </row>
    <row r="157" spans="1:2" x14ac:dyDescent="0.25">
      <c r="A157" t="s">
        <v>1174</v>
      </c>
      <c r="B157" t="s">
        <v>1174</v>
      </c>
    </row>
    <row r="158" spans="1:2" x14ac:dyDescent="0.25">
      <c r="A158" t="s">
        <v>1174</v>
      </c>
      <c r="B158" t="s">
        <v>1174</v>
      </c>
    </row>
    <row r="159" spans="1:2" x14ac:dyDescent="0.25">
      <c r="A159" t="s">
        <v>1174</v>
      </c>
      <c r="B159" t="s">
        <v>1174</v>
      </c>
    </row>
    <row r="160" spans="1:2" x14ac:dyDescent="0.25">
      <c r="A160" t="s">
        <v>1174</v>
      </c>
      <c r="B160" t="s">
        <v>1174</v>
      </c>
    </row>
    <row r="161" spans="1:2" x14ac:dyDescent="0.25">
      <c r="A161" t="s">
        <v>1174</v>
      </c>
      <c r="B161" t="s">
        <v>1175</v>
      </c>
    </row>
    <row r="162" spans="1:2" x14ac:dyDescent="0.25">
      <c r="A162" t="s">
        <v>1174</v>
      </c>
      <c r="B162" t="s">
        <v>1174</v>
      </c>
    </row>
    <row r="163" spans="1:2" x14ac:dyDescent="0.25">
      <c r="A163" t="s">
        <v>1174</v>
      </c>
      <c r="B163" t="s">
        <v>1174</v>
      </c>
    </row>
    <row r="164" spans="1:2" x14ac:dyDescent="0.25">
      <c r="A164" t="s">
        <v>1174</v>
      </c>
      <c r="B164" t="s">
        <v>1174</v>
      </c>
    </row>
    <row r="165" spans="1:2" x14ac:dyDescent="0.25">
      <c r="A165" t="s">
        <v>1174</v>
      </c>
      <c r="B165" t="s">
        <v>1174</v>
      </c>
    </row>
    <row r="166" spans="1:2" x14ac:dyDescent="0.25">
      <c r="A166" t="s">
        <v>1174</v>
      </c>
      <c r="B166" t="s">
        <v>1174</v>
      </c>
    </row>
    <row r="167" spans="1:2" x14ac:dyDescent="0.25">
      <c r="A167" t="s">
        <v>1174</v>
      </c>
      <c r="B167" t="s">
        <v>1174</v>
      </c>
    </row>
    <row r="168" spans="1:2" x14ac:dyDescent="0.25">
      <c r="A168" t="s">
        <v>1174</v>
      </c>
      <c r="B168" t="s">
        <v>1174</v>
      </c>
    </row>
    <row r="169" spans="1:2" x14ac:dyDescent="0.25">
      <c r="A169" t="s">
        <v>1174</v>
      </c>
      <c r="B169" t="s">
        <v>1174</v>
      </c>
    </row>
    <row r="170" spans="1:2" x14ac:dyDescent="0.25">
      <c r="A170" t="s">
        <v>1174</v>
      </c>
      <c r="B170" t="s">
        <v>1174</v>
      </c>
    </row>
    <row r="171" spans="1:2" x14ac:dyDescent="0.25">
      <c r="A171" t="s">
        <v>1174</v>
      </c>
      <c r="B171" t="s">
        <v>1174</v>
      </c>
    </row>
    <row r="172" spans="1:2" x14ac:dyDescent="0.25">
      <c r="A172" t="s">
        <v>1174</v>
      </c>
      <c r="B172" t="s">
        <v>1174</v>
      </c>
    </row>
    <row r="173" spans="1:2" x14ac:dyDescent="0.25">
      <c r="A173" t="s">
        <v>1174</v>
      </c>
      <c r="B173" t="s">
        <v>1175</v>
      </c>
    </row>
    <row r="174" spans="1:2" x14ac:dyDescent="0.25">
      <c r="A174" t="s">
        <v>1174</v>
      </c>
      <c r="B174" t="s">
        <v>1174</v>
      </c>
    </row>
    <row r="175" spans="1:2" x14ac:dyDescent="0.25">
      <c r="A175" t="s">
        <v>1174</v>
      </c>
      <c r="B175" t="s">
        <v>1174</v>
      </c>
    </row>
    <row r="176" spans="1:2" x14ac:dyDescent="0.25">
      <c r="A176" t="s">
        <v>1174</v>
      </c>
      <c r="B176" t="s">
        <v>1174</v>
      </c>
    </row>
    <row r="177" spans="1:2" x14ac:dyDescent="0.25">
      <c r="A177" t="s">
        <v>1174</v>
      </c>
      <c r="B177" t="s">
        <v>1175</v>
      </c>
    </row>
    <row r="178" spans="1:2" x14ac:dyDescent="0.25">
      <c r="A178" t="s">
        <v>1174</v>
      </c>
      <c r="B178" t="s">
        <v>1174</v>
      </c>
    </row>
    <row r="179" spans="1:2" x14ac:dyDescent="0.25">
      <c r="A179" t="s">
        <v>1174</v>
      </c>
      <c r="B179" t="s">
        <v>1174</v>
      </c>
    </row>
    <row r="180" spans="1:2" x14ac:dyDescent="0.25">
      <c r="A180" t="s">
        <v>1174</v>
      </c>
      <c r="B180" t="s">
        <v>1174</v>
      </c>
    </row>
    <row r="181" spans="1:2" x14ac:dyDescent="0.25">
      <c r="A181" t="s">
        <v>1174</v>
      </c>
      <c r="B181" t="s">
        <v>1175</v>
      </c>
    </row>
    <row r="182" spans="1:2" x14ac:dyDescent="0.25">
      <c r="A182" t="s">
        <v>1174</v>
      </c>
      <c r="B182" t="s">
        <v>1174</v>
      </c>
    </row>
    <row r="183" spans="1:2" x14ac:dyDescent="0.25">
      <c r="A183" t="s">
        <v>1174</v>
      </c>
      <c r="B183" t="s">
        <v>1174</v>
      </c>
    </row>
    <row r="184" spans="1:2" x14ac:dyDescent="0.25">
      <c r="A184" t="s">
        <v>1174</v>
      </c>
      <c r="B184" t="s">
        <v>1174</v>
      </c>
    </row>
    <row r="185" spans="1:2" x14ac:dyDescent="0.25">
      <c r="A185" t="s">
        <v>1174</v>
      </c>
      <c r="B185" t="s">
        <v>1174</v>
      </c>
    </row>
    <row r="186" spans="1:2" x14ac:dyDescent="0.25">
      <c r="A186" t="s">
        <v>1174</v>
      </c>
      <c r="B186" t="s">
        <v>1174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43B1-7211-4C6F-8B39-915ACA22BEA8}">
  <dimension ref="A1:D241"/>
  <sheetViews>
    <sheetView workbookViewId="0">
      <selection activeCell="G7" sqref="G7"/>
    </sheetView>
  </sheetViews>
  <sheetFormatPr defaultRowHeight="15" x14ac:dyDescent="0.25"/>
  <sheetData>
    <row r="1" spans="1:4" x14ac:dyDescent="0.25">
      <c r="A1" t="s">
        <v>1173</v>
      </c>
      <c r="B1" t="e">
        <f>'Dr Dulari Data Entry_21_feb_202'!#REF!</f>
        <v>#REF!</v>
      </c>
      <c r="C1" t="s">
        <v>773</v>
      </c>
      <c r="D1" t="s">
        <v>734</v>
      </c>
    </row>
    <row r="2" spans="1:4" x14ac:dyDescent="0.25">
      <c r="A2">
        <f>'Dr Dulari Data Entry_21_feb_202'!AF2</f>
        <v>0</v>
      </c>
      <c r="B2">
        <f>'Dr Dulari Data Entry_21_feb_202'!BC2</f>
        <v>3</v>
      </c>
      <c r="C2">
        <f>'Dr Dulari Data Entry_21_feb_202'!BG2</f>
        <v>1</v>
      </c>
      <c r="D2">
        <f>'Dr Dulari Data Entry_21_feb_202'!D2</f>
        <v>22</v>
      </c>
    </row>
    <row r="3" spans="1:4" x14ac:dyDescent="0.25">
      <c r="A3">
        <f>'Dr Dulari Data Entry_21_feb_202'!AF3</f>
        <v>0</v>
      </c>
      <c r="B3">
        <f>'Dr Dulari Data Entry_21_feb_202'!BC3</f>
        <v>7</v>
      </c>
      <c r="C3">
        <f>'Dr Dulari Data Entry_21_feb_202'!BG3</f>
        <v>0</v>
      </c>
      <c r="D3">
        <f>'Dr Dulari Data Entry_21_feb_202'!D3</f>
        <v>3</v>
      </c>
    </row>
    <row r="4" spans="1:4" x14ac:dyDescent="0.25">
      <c r="A4">
        <f>'Dr Dulari Data Entry_21_feb_202'!AF4</f>
        <v>0</v>
      </c>
      <c r="B4">
        <f>'Dr Dulari Data Entry_21_feb_202'!BC4</f>
        <v>3</v>
      </c>
      <c r="C4">
        <f>'Dr Dulari Data Entry_21_feb_202'!BG4</f>
        <v>6</v>
      </c>
      <c r="D4">
        <f>'Dr Dulari Data Entry_21_feb_202'!D4</f>
        <v>22</v>
      </c>
    </row>
    <row r="5" spans="1:4" x14ac:dyDescent="0.25">
      <c r="A5">
        <f>'Dr Dulari Data Entry_21_feb_202'!AF5</f>
        <v>0</v>
      </c>
      <c r="B5">
        <f>'Dr Dulari Data Entry_21_feb_202'!BC5</f>
        <v>7</v>
      </c>
      <c r="C5">
        <f>'Dr Dulari Data Entry_21_feb_202'!BG5</f>
        <v>6</v>
      </c>
      <c r="D5">
        <f>'Dr Dulari Data Entry_21_feb_202'!D5</f>
        <v>0</v>
      </c>
    </row>
    <row r="6" spans="1:4" x14ac:dyDescent="0.25">
      <c r="A6">
        <f>'Dr Dulari Data Entry_21_feb_202'!AF6</f>
        <v>0</v>
      </c>
      <c r="B6">
        <f>'Dr Dulari Data Entry_21_feb_202'!BC6</f>
        <v>9</v>
      </c>
      <c r="C6">
        <f>'Dr Dulari Data Entry_21_feb_202'!BG6</f>
        <v>2</v>
      </c>
      <c r="D6">
        <f>'Dr Dulari Data Entry_21_feb_202'!D6</f>
        <v>16</v>
      </c>
    </row>
    <row r="7" spans="1:4" x14ac:dyDescent="0.25">
      <c r="A7">
        <f>'Dr Dulari Data Entry_21_feb_202'!AF7</f>
        <v>0</v>
      </c>
      <c r="B7">
        <f>'Dr Dulari Data Entry_21_feb_202'!BC7</f>
        <v>8</v>
      </c>
      <c r="C7">
        <f>'Dr Dulari Data Entry_21_feb_202'!BG7</f>
        <v>0</v>
      </c>
      <c r="D7">
        <f>'Dr Dulari Data Entry_21_feb_202'!D7</f>
        <v>3</v>
      </c>
    </row>
    <row r="8" spans="1:4" x14ac:dyDescent="0.25">
      <c r="A8">
        <f>'Dr Dulari Data Entry_21_feb_202'!AF8</f>
        <v>0</v>
      </c>
      <c r="B8">
        <f>'Dr Dulari Data Entry_21_feb_202'!BC8</f>
        <v>9</v>
      </c>
      <c r="C8">
        <f>'Dr Dulari Data Entry_21_feb_202'!BG8</f>
        <v>0</v>
      </c>
      <c r="D8">
        <f>'Dr Dulari Data Entry_21_feb_202'!D8</f>
        <v>0</v>
      </c>
    </row>
    <row r="9" spans="1:4" x14ac:dyDescent="0.25">
      <c r="A9">
        <f>'Dr Dulari Data Entry_21_feb_202'!AF9</f>
        <v>0</v>
      </c>
      <c r="B9">
        <f>'Dr Dulari Data Entry_21_feb_202'!BC9</f>
        <v>9</v>
      </c>
      <c r="C9">
        <f>'Dr Dulari Data Entry_21_feb_202'!BG9</f>
        <v>3</v>
      </c>
      <c r="D9">
        <f>'Dr Dulari Data Entry_21_feb_202'!D9</f>
        <v>20</v>
      </c>
    </row>
    <row r="10" spans="1:4" x14ac:dyDescent="0.25">
      <c r="A10">
        <f>'Dr Dulari Data Entry_21_feb_202'!AF10</f>
        <v>0</v>
      </c>
      <c r="B10">
        <f>'Dr Dulari Data Entry_21_feb_202'!BC10</f>
        <v>7</v>
      </c>
      <c r="C10">
        <f>'Dr Dulari Data Entry_21_feb_202'!BG10</f>
        <v>0</v>
      </c>
      <c r="D10">
        <f>'Dr Dulari Data Entry_21_feb_202'!D10</f>
        <v>3</v>
      </c>
    </row>
    <row r="11" spans="1:4" x14ac:dyDescent="0.25">
      <c r="A11">
        <f>'Dr Dulari Data Entry_21_feb_202'!AF11</f>
        <v>0</v>
      </c>
      <c r="B11">
        <f>'Dr Dulari Data Entry_21_feb_202'!BC11</f>
        <v>9</v>
      </c>
      <c r="C11">
        <f>'Dr Dulari Data Entry_21_feb_202'!BG11</f>
        <v>6</v>
      </c>
      <c r="D11">
        <f>'Dr Dulari Data Entry_21_feb_202'!D11</f>
        <v>7</v>
      </c>
    </row>
    <row r="12" spans="1:4" x14ac:dyDescent="0.25">
      <c r="A12">
        <f>'Dr Dulari Data Entry_21_feb_202'!AF12</f>
        <v>0</v>
      </c>
      <c r="B12">
        <f>'Dr Dulari Data Entry_21_feb_202'!BC12</f>
        <v>8</v>
      </c>
      <c r="C12">
        <f>'Dr Dulari Data Entry_21_feb_202'!BG12</f>
        <v>6</v>
      </c>
      <c r="D12">
        <f>'Dr Dulari Data Entry_21_feb_202'!D12</f>
        <v>12</v>
      </c>
    </row>
    <row r="13" spans="1:4" x14ac:dyDescent="0.25">
      <c r="A13">
        <f>'Dr Dulari Data Entry_21_feb_202'!AF13</f>
        <v>0</v>
      </c>
      <c r="B13">
        <f>'Dr Dulari Data Entry_21_feb_202'!BC13</f>
        <v>6</v>
      </c>
      <c r="C13">
        <f>'Dr Dulari Data Entry_21_feb_202'!BG13</f>
        <v>0</v>
      </c>
      <c r="D13">
        <f>'Dr Dulari Data Entry_21_feb_202'!D13</f>
        <v>9</v>
      </c>
    </row>
    <row r="14" spans="1:4" x14ac:dyDescent="0.25">
      <c r="A14">
        <f>'Dr Dulari Data Entry_21_feb_202'!AF14</f>
        <v>0</v>
      </c>
      <c r="B14">
        <f>'Dr Dulari Data Entry_21_feb_202'!BC14</f>
        <v>5</v>
      </c>
      <c r="C14">
        <f>'Dr Dulari Data Entry_21_feb_202'!BG14</f>
        <v>0</v>
      </c>
      <c r="D14">
        <f>'Dr Dulari Data Entry_21_feb_202'!D14</f>
        <v>7</v>
      </c>
    </row>
    <row r="15" spans="1:4" x14ac:dyDescent="0.25">
      <c r="A15">
        <f>'Dr Dulari Data Entry_21_feb_202'!AF15</f>
        <v>0</v>
      </c>
      <c r="B15">
        <f>'Dr Dulari Data Entry_21_feb_202'!BC15</f>
        <v>7</v>
      </c>
      <c r="C15">
        <f>'Dr Dulari Data Entry_21_feb_202'!BG15</f>
        <v>6</v>
      </c>
      <c r="D15">
        <f>'Dr Dulari Data Entry_21_feb_202'!D15</f>
        <v>23</v>
      </c>
    </row>
    <row r="16" spans="1:4" x14ac:dyDescent="0.25">
      <c r="A16">
        <f>'Dr Dulari Data Entry_21_feb_202'!AF16</f>
        <v>0</v>
      </c>
      <c r="B16">
        <f>'Dr Dulari Data Entry_21_feb_202'!BC16</f>
        <v>9</v>
      </c>
      <c r="C16">
        <f>'Dr Dulari Data Entry_21_feb_202'!BG16</f>
        <v>0</v>
      </c>
      <c r="D16">
        <f>'Dr Dulari Data Entry_21_feb_202'!D16</f>
        <v>1</v>
      </c>
    </row>
    <row r="17" spans="1:4" x14ac:dyDescent="0.25">
      <c r="A17">
        <f>'Dr Dulari Data Entry_21_feb_202'!AF17</f>
        <v>0</v>
      </c>
      <c r="B17">
        <f>'Dr Dulari Data Entry_21_feb_202'!BC17</f>
        <v>8</v>
      </c>
      <c r="C17">
        <f>'Dr Dulari Data Entry_21_feb_202'!BG17</f>
        <v>5</v>
      </c>
      <c r="D17">
        <f>'Dr Dulari Data Entry_21_feb_202'!D17</f>
        <v>17</v>
      </c>
    </row>
    <row r="18" spans="1:4" x14ac:dyDescent="0.25">
      <c r="A18">
        <f>'Dr Dulari Data Entry_21_feb_202'!AF18</f>
        <v>0</v>
      </c>
      <c r="B18">
        <f>'Dr Dulari Data Entry_21_feb_202'!BC18</f>
        <v>6</v>
      </c>
      <c r="C18">
        <f>'Dr Dulari Data Entry_21_feb_202'!BG18</f>
        <v>0</v>
      </c>
      <c r="D18">
        <f>'Dr Dulari Data Entry_21_feb_202'!D18</f>
        <v>0</v>
      </c>
    </row>
    <row r="19" spans="1:4" x14ac:dyDescent="0.25">
      <c r="A19">
        <f>'Dr Dulari Data Entry_21_feb_202'!AF19</f>
        <v>0</v>
      </c>
      <c r="B19">
        <f>'Dr Dulari Data Entry_21_feb_202'!BC19</f>
        <v>6</v>
      </c>
      <c r="C19">
        <f>'Dr Dulari Data Entry_21_feb_202'!BG19</f>
        <v>6</v>
      </c>
      <c r="D19">
        <f>'Dr Dulari Data Entry_21_feb_202'!D19</f>
        <v>19</v>
      </c>
    </row>
    <row r="20" spans="1:4" x14ac:dyDescent="0.25">
      <c r="A20">
        <f>'Dr Dulari Data Entry_21_feb_202'!AF20</f>
        <v>0</v>
      </c>
      <c r="B20">
        <f>'Dr Dulari Data Entry_21_feb_202'!BC20</f>
        <v>9</v>
      </c>
      <c r="C20">
        <f>'Dr Dulari Data Entry_21_feb_202'!BG20</f>
        <v>0</v>
      </c>
      <c r="D20">
        <f>'Dr Dulari Data Entry_21_feb_202'!D20</f>
        <v>20</v>
      </c>
    </row>
    <row r="21" spans="1:4" x14ac:dyDescent="0.25">
      <c r="A21">
        <f>'Dr Dulari Data Entry_21_feb_202'!AF21</f>
        <v>0</v>
      </c>
      <c r="B21">
        <f>'Dr Dulari Data Entry_21_feb_202'!BC21</f>
        <v>7</v>
      </c>
      <c r="C21">
        <f>'Dr Dulari Data Entry_21_feb_202'!BG21</f>
        <v>0</v>
      </c>
      <c r="D21">
        <f>'Dr Dulari Data Entry_21_feb_202'!D21</f>
        <v>14</v>
      </c>
    </row>
    <row r="22" spans="1:4" x14ac:dyDescent="0.25">
      <c r="A22">
        <f>'Dr Dulari Data Entry_21_feb_202'!AF22</f>
        <v>0</v>
      </c>
      <c r="B22">
        <f>'Dr Dulari Data Entry_21_feb_202'!BC22</f>
        <v>8</v>
      </c>
      <c r="C22">
        <f>'Dr Dulari Data Entry_21_feb_202'!BG22</f>
        <v>1</v>
      </c>
      <c r="D22">
        <f>'Dr Dulari Data Entry_21_feb_202'!D22</f>
        <v>17</v>
      </c>
    </row>
    <row r="23" spans="1:4" x14ac:dyDescent="0.25">
      <c r="A23">
        <f>'Dr Dulari Data Entry_21_feb_202'!AF23</f>
        <v>0</v>
      </c>
      <c r="B23">
        <f>'Dr Dulari Data Entry_21_feb_202'!BC23</f>
        <v>1</v>
      </c>
      <c r="C23">
        <f>'Dr Dulari Data Entry_21_feb_202'!BG23</f>
        <v>4</v>
      </c>
      <c r="D23">
        <f>'Dr Dulari Data Entry_21_feb_202'!D23</f>
        <v>24</v>
      </c>
    </row>
    <row r="24" spans="1:4" x14ac:dyDescent="0.25">
      <c r="A24">
        <f>'Dr Dulari Data Entry_21_feb_202'!AF24</f>
        <v>0</v>
      </c>
      <c r="B24">
        <f>'Dr Dulari Data Entry_21_feb_202'!BC24</f>
        <v>4</v>
      </c>
      <c r="C24">
        <f>'Dr Dulari Data Entry_21_feb_202'!BG24</f>
        <v>0</v>
      </c>
      <c r="D24">
        <f>'Dr Dulari Data Entry_21_feb_202'!D24</f>
        <v>13</v>
      </c>
    </row>
    <row r="25" spans="1:4" x14ac:dyDescent="0.25">
      <c r="A25">
        <f>'Dr Dulari Data Entry_21_feb_202'!AF25</f>
        <v>0</v>
      </c>
      <c r="B25">
        <f>'Dr Dulari Data Entry_21_feb_202'!BC25</f>
        <v>8</v>
      </c>
      <c r="C25">
        <f>'Dr Dulari Data Entry_21_feb_202'!BG25</f>
        <v>6</v>
      </c>
      <c r="D25">
        <f>'Dr Dulari Data Entry_21_feb_202'!D25</f>
        <v>11</v>
      </c>
    </row>
    <row r="26" spans="1:4" x14ac:dyDescent="0.25">
      <c r="A26">
        <f>'Dr Dulari Data Entry_21_feb_202'!AF26</f>
        <v>0</v>
      </c>
      <c r="B26">
        <f>'Dr Dulari Data Entry_21_feb_202'!BC26</f>
        <v>3</v>
      </c>
      <c r="C26">
        <f>'Dr Dulari Data Entry_21_feb_202'!BG26</f>
        <v>6</v>
      </c>
      <c r="D26">
        <f>'Dr Dulari Data Entry_21_feb_202'!D26</f>
        <v>21</v>
      </c>
    </row>
    <row r="27" spans="1:4" x14ac:dyDescent="0.25">
      <c r="A27">
        <f>'Dr Dulari Data Entry_21_feb_202'!AF27</f>
        <v>0</v>
      </c>
      <c r="B27">
        <f>'Dr Dulari Data Entry_21_feb_202'!BC27</f>
        <v>9</v>
      </c>
      <c r="C27">
        <f>'Dr Dulari Data Entry_21_feb_202'!BG27</f>
        <v>6</v>
      </c>
      <c r="D27">
        <f>'Dr Dulari Data Entry_21_feb_202'!D27</f>
        <v>22</v>
      </c>
    </row>
    <row r="28" spans="1:4" x14ac:dyDescent="0.25">
      <c r="A28">
        <f>'Dr Dulari Data Entry_21_feb_202'!AF28</f>
        <v>0</v>
      </c>
      <c r="B28">
        <f>'Dr Dulari Data Entry_21_feb_202'!BC28</f>
        <v>10</v>
      </c>
      <c r="C28">
        <f>'Dr Dulari Data Entry_21_feb_202'!BG28</f>
        <v>1</v>
      </c>
      <c r="D28">
        <f>'Dr Dulari Data Entry_21_feb_202'!D28</f>
        <v>20</v>
      </c>
    </row>
    <row r="29" spans="1:4" x14ac:dyDescent="0.25">
      <c r="A29">
        <f>'Dr Dulari Data Entry_21_feb_202'!AF29</f>
        <v>0</v>
      </c>
      <c r="B29">
        <f>'Dr Dulari Data Entry_21_feb_202'!BC29</f>
        <v>10</v>
      </c>
      <c r="C29">
        <f>'Dr Dulari Data Entry_21_feb_202'!BG29</f>
        <v>0</v>
      </c>
      <c r="D29">
        <f>'Dr Dulari Data Entry_21_feb_202'!D29</f>
        <v>9</v>
      </c>
    </row>
    <row r="30" spans="1:4" x14ac:dyDescent="0.25">
      <c r="A30">
        <f>'Dr Dulari Data Entry_21_feb_202'!AF30</f>
        <v>0</v>
      </c>
      <c r="B30">
        <f>'Dr Dulari Data Entry_21_feb_202'!BC30</f>
        <v>8</v>
      </c>
      <c r="C30">
        <f>'Dr Dulari Data Entry_21_feb_202'!BG30</f>
        <v>4</v>
      </c>
      <c r="D30">
        <f>'Dr Dulari Data Entry_21_feb_202'!D30</f>
        <v>18</v>
      </c>
    </row>
    <row r="31" spans="1:4" x14ac:dyDescent="0.25">
      <c r="A31">
        <f>'Dr Dulari Data Entry_21_feb_202'!AF31</f>
        <v>0</v>
      </c>
      <c r="B31">
        <f>'Dr Dulari Data Entry_21_feb_202'!BC31</f>
        <v>3</v>
      </c>
      <c r="C31">
        <f>'Dr Dulari Data Entry_21_feb_202'!BG31</f>
        <v>4</v>
      </c>
      <c r="D31">
        <f>'Dr Dulari Data Entry_21_feb_202'!D31</f>
        <v>12</v>
      </c>
    </row>
    <row r="32" spans="1:4" x14ac:dyDescent="0.25">
      <c r="A32">
        <f>'Dr Dulari Data Entry_21_feb_202'!AF32</f>
        <v>0</v>
      </c>
      <c r="B32">
        <f>'Dr Dulari Data Entry_21_feb_202'!BC32</f>
        <v>9</v>
      </c>
      <c r="C32">
        <f>'Dr Dulari Data Entry_21_feb_202'!BG32</f>
        <v>6</v>
      </c>
      <c r="D32">
        <f>'Dr Dulari Data Entry_21_feb_202'!D32</f>
        <v>21</v>
      </c>
    </row>
    <row r="33" spans="1:4" x14ac:dyDescent="0.25">
      <c r="A33">
        <f>'Dr Dulari Data Entry_21_feb_202'!AF33</f>
        <v>0</v>
      </c>
      <c r="B33">
        <f>'Dr Dulari Data Entry_21_feb_202'!BC33</f>
        <v>3</v>
      </c>
      <c r="C33">
        <f>'Dr Dulari Data Entry_21_feb_202'!BG33</f>
        <v>3</v>
      </c>
      <c r="D33">
        <f>'Dr Dulari Data Entry_21_feb_202'!D33</f>
        <v>22</v>
      </c>
    </row>
    <row r="34" spans="1:4" x14ac:dyDescent="0.25">
      <c r="A34">
        <f>'Dr Dulari Data Entry_21_feb_202'!AF34</f>
        <v>0</v>
      </c>
      <c r="B34">
        <f>'Dr Dulari Data Entry_21_feb_202'!BC34</f>
        <v>6</v>
      </c>
      <c r="C34">
        <f>'Dr Dulari Data Entry_21_feb_202'!BG34</f>
        <v>6</v>
      </c>
      <c r="D34">
        <f>'Dr Dulari Data Entry_21_feb_202'!D34</f>
        <v>20</v>
      </c>
    </row>
    <row r="35" spans="1:4" x14ac:dyDescent="0.25">
      <c r="A35">
        <f>'Dr Dulari Data Entry_21_feb_202'!AF35</f>
        <v>0</v>
      </c>
      <c r="B35">
        <f>'Dr Dulari Data Entry_21_feb_202'!BC35</f>
        <v>9</v>
      </c>
      <c r="C35">
        <f>'Dr Dulari Data Entry_21_feb_202'!BG35</f>
        <v>1</v>
      </c>
      <c r="D35">
        <f>'Dr Dulari Data Entry_21_feb_202'!D35</f>
        <v>14</v>
      </c>
    </row>
    <row r="36" spans="1:4" x14ac:dyDescent="0.25">
      <c r="A36">
        <f>'Dr Dulari Data Entry_21_feb_202'!AF36</f>
        <v>0</v>
      </c>
      <c r="B36">
        <f>'Dr Dulari Data Entry_21_feb_202'!BC36</f>
        <v>10</v>
      </c>
      <c r="C36">
        <f>'Dr Dulari Data Entry_21_feb_202'!BG36</f>
        <v>0</v>
      </c>
      <c r="D36">
        <f>'Dr Dulari Data Entry_21_feb_202'!D36</f>
        <v>10</v>
      </c>
    </row>
    <row r="37" spans="1:4" x14ac:dyDescent="0.25">
      <c r="A37">
        <f>'Dr Dulari Data Entry_21_feb_202'!AF37</f>
        <v>1</v>
      </c>
      <c r="B37">
        <f>'Dr Dulari Data Entry_21_feb_202'!BC37</f>
        <v>7</v>
      </c>
      <c r="C37">
        <f>'Dr Dulari Data Entry_21_feb_202'!BG37</f>
        <v>6</v>
      </c>
      <c r="D37">
        <f>'Dr Dulari Data Entry_21_feb_202'!D37</f>
        <v>13</v>
      </c>
    </row>
    <row r="38" spans="1:4" x14ac:dyDescent="0.25">
      <c r="A38">
        <f>'Dr Dulari Data Entry_21_feb_202'!AF38</f>
        <v>1</v>
      </c>
      <c r="B38">
        <f>'Dr Dulari Data Entry_21_feb_202'!BC38</f>
        <v>8</v>
      </c>
      <c r="C38">
        <f>'Dr Dulari Data Entry_21_feb_202'!BG38</f>
        <v>2</v>
      </c>
      <c r="D38">
        <f>'Dr Dulari Data Entry_21_feb_202'!D38</f>
        <v>0</v>
      </c>
    </row>
    <row r="39" spans="1:4" x14ac:dyDescent="0.25">
      <c r="A39">
        <f>'Dr Dulari Data Entry_21_feb_202'!AF39</f>
        <v>1</v>
      </c>
      <c r="B39">
        <f>'Dr Dulari Data Entry_21_feb_202'!BC39</f>
        <v>9</v>
      </c>
      <c r="C39">
        <f>'Dr Dulari Data Entry_21_feb_202'!BG39</f>
        <v>0</v>
      </c>
      <c r="D39">
        <f>'Dr Dulari Data Entry_21_feb_202'!D39</f>
        <v>3</v>
      </c>
    </row>
    <row r="40" spans="1:4" x14ac:dyDescent="0.25">
      <c r="A40">
        <f>'Dr Dulari Data Entry_21_feb_202'!AF40</f>
        <v>1</v>
      </c>
      <c r="B40">
        <f>'Dr Dulari Data Entry_21_feb_202'!BC40</f>
        <v>10</v>
      </c>
      <c r="C40">
        <f>'Dr Dulari Data Entry_21_feb_202'!BG40</f>
        <v>0</v>
      </c>
      <c r="D40">
        <f>'Dr Dulari Data Entry_21_feb_202'!D40</f>
        <v>2</v>
      </c>
    </row>
    <row r="41" spans="1:4" x14ac:dyDescent="0.25">
      <c r="A41">
        <f>'Dr Dulari Data Entry_21_feb_202'!AF41</f>
        <v>0</v>
      </c>
      <c r="B41">
        <f>'Dr Dulari Data Entry_21_feb_202'!BC41</f>
        <v>10</v>
      </c>
      <c r="C41">
        <f>'Dr Dulari Data Entry_21_feb_202'!BG41</f>
        <v>0</v>
      </c>
      <c r="D41">
        <f>'Dr Dulari Data Entry_21_feb_202'!D41</f>
        <v>24</v>
      </c>
    </row>
    <row r="42" spans="1:4" x14ac:dyDescent="0.25">
      <c r="A42">
        <f>'Dr Dulari Data Entry_21_feb_202'!AF42</f>
        <v>1</v>
      </c>
      <c r="B42">
        <f>'Dr Dulari Data Entry_21_feb_202'!BC42</f>
        <v>10</v>
      </c>
      <c r="C42">
        <f>'Dr Dulari Data Entry_21_feb_202'!BG42</f>
        <v>4</v>
      </c>
      <c r="D42">
        <f>'Dr Dulari Data Entry_21_feb_202'!D42</f>
        <v>0</v>
      </c>
    </row>
    <row r="43" spans="1:4" x14ac:dyDescent="0.25">
      <c r="A43">
        <f>'Dr Dulari Data Entry_21_feb_202'!AF43</f>
        <v>1</v>
      </c>
      <c r="B43">
        <f>'Dr Dulari Data Entry_21_feb_202'!BC43</f>
        <v>9</v>
      </c>
      <c r="C43">
        <f>'Dr Dulari Data Entry_21_feb_202'!BG43</f>
        <v>0</v>
      </c>
      <c r="D43">
        <f>'Dr Dulari Data Entry_21_feb_202'!D43</f>
        <v>0</v>
      </c>
    </row>
    <row r="44" spans="1:4" x14ac:dyDescent="0.25">
      <c r="A44">
        <f>'Dr Dulari Data Entry_21_feb_202'!AF44</f>
        <v>1</v>
      </c>
      <c r="B44">
        <f>'Dr Dulari Data Entry_21_feb_202'!BC44</f>
        <v>8</v>
      </c>
      <c r="C44">
        <f>'Dr Dulari Data Entry_21_feb_202'!BG44</f>
        <v>0</v>
      </c>
      <c r="D44">
        <f>'Dr Dulari Data Entry_21_feb_202'!D44</f>
        <v>0</v>
      </c>
    </row>
    <row r="45" spans="1:4" x14ac:dyDescent="0.25">
      <c r="A45">
        <f>'Dr Dulari Data Entry_21_feb_202'!AF45</f>
        <v>1</v>
      </c>
      <c r="B45">
        <f>'Dr Dulari Data Entry_21_feb_202'!BC45</f>
        <v>8</v>
      </c>
      <c r="C45">
        <f>'Dr Dulari Data Entry_21_feb_202'!BG45</f>
        <v>1</v>
      </c>
      <c r="D45">
        <f>'Dr Dulari Data Entry_21_feb_202'!D45</f>
        <v>11</v>
      </c>
    </row>
    <row r="46" spans="1:4" x14ac:dyDescent="0.25">
      <c r="A46">
        <f>'Dr Dulari Data Entry_21_feb_202'!AF46</f>
        <v>1</v>
      </c>
      <c r="B46">
        <f>'Dr Dulari Data Entry_21_feb_202'!BC46</f>
        <v>9</v>
      </c>
      <c r="C46">
        <f>'Dr Dulari Data Entry_21_feb_202'!BG46</f>
        <v>0</v>
      </c>
      <c r="D46">
        <f>'Dr Dulari Data Entry_21_feb_202'!D46</f>
        <v>1</v>
      </c>
    </row>
    <row r="47" spans="1:4" x14ac:dyDescent="0.25">
      <c r="A47">
        <f>'Dr Dulari Data Entry_21_feb_202'!AF47</f>
        <v>1</v>
      </c>
      <c r="B47">
        <f>'Dr Dulari Data Entry_21_feb_202'!BC47</f>
        <v>10</v>
      </c>
      <c r="C47">
        <f>'Dr Dulari Data Entry_21_feb_202'!BG47</f>
        <v>1</v>
      </c>
      <c r="D47">
        <f>'Dr Dulari Data Entry_21_feb_202'!D47</f>
        <v>1</v>
      </c>
    </row>
    <row r="48" spans="1:4" x14ac:dyDescent="0.25">
      <c r="A48">
        <f>'Dr Dulari Data Entry_21_feb_202'!AF48</f>
        <v>1</v>
      </c>
      <c r="B48">
        <f>'Dr Dulari Data Entry_21_feb_202'!BC48</f>
        <v>10</v>
      </c>
      <c r="C48">
        <f>'Dr Dulari Data Entry_21_feb_202'!BG48</f>
        <v>0</v>
      </c>
      <c r="D48">
        <f>'Dr Dulari Data Entry_21_feb_202'!D48</f>
        <v>2</v>
      </c>
    </row>
    <row r="49" spans="1:4" x14ac:dyDescent="0.25">
      <c r="A49">
        <f>'Dr Dulari Data Entry_21_feb_202'!AF49</f>
        <v>1</v>
      </c>
      <c r="B49">
        <f>'Dr Dulari Data Entry_21_feb_202'!BC49</f>
        <v>10</v>
      </c>
      <c r="C49">
        <f>'Dr Dulari Data Entry_21_feb_202'!BG49</f>
        <v>0</v>
      </c>
      <c r="D49">
        <f>'Dr Dulari Data Entry_21_feb_202'!D49</f>
        <v>1</v>
      </c>
    </row>
    <row r="50" spans="1:4" x14ac:dyDescent="0.25">
      <c r="A50">
        <f>'Dr Dulari Data Entry_21_feb_202'!AF50</f>
        <v>1</v>
      </c>
      <c r="B50">
        <f>'Dr Dulari Data Entry_21_feb_202'!BC50</f>
        <v>10</v>
      </c>
      <c r="C50">
        <f>'Dr Dulari Data Entry_21_feb_202'!BG50</f>
        <v>0</v>
      </c>
      <c r="D50">
        <f>'Dr Dulari Data Entry_21_feb_202'!D50</f>
        <v>3</v>
      </c>
    </row>
    <row r="51" spans="1:4" x14ac:dyDescent="0.25">
      <c r="A51">
        <f>'Dr Dulari Data Entry_21_feb_202'!AF51</f>
        <v>1</v>
      </c>
      <c r="B51">
        <f>'Dr Dulari Data Entry_21_feb_202'!BC51</f>
        <v>10</v>
      </c>
      <c r="C51">
        <f>'Dr Dulari Data Entry_21_feb_202'!BG51</f>
        <v>1</v>
      </c>
      <c r="D51">
        <f>'Dr Dulari Data Entry_21_feb_202'!D51</f>
        <v>3</v>
      </c>
    </row>
    <row r="52" spans="1:4" x14ac:dyDescent="0.25">
      <c r="A52">
        <f>'Dr Dulari Data Entry_21_feb_202'!AF52</f>
        <v>1</v>
      </c>
      <c r="B52">
        <f>'Dr Dulari Data Entry_21_feb_202'!BC52</f>
        <v>10</v>
      </c>
      <c r="C52">
        <f>'Dr Dulari Data Entry_21_feb_202'!BG52</f>
        <v>0</v>
      </c>
      <c r="D52">
        <f>'Dr Dulari Data Entry_21_feb_202'!D52</f>
        <v>2</v>
      </c>
    </row>
    <row r="53" spans="1:4" x14ac:dyDescent="0.25">
      <c r="A53">
        <f>'Dr Dulari Data Entry_21_feb_202'!AF53</f>
        <v>1</v>
      </c>
      <c r="B53">
        <f>'Dr Dulari Data Entry_21_feb_202'!BC53</f>
        <v>10</v>
      </c>
      <c r="C53">
        <f>'Dr Dulari Data Entry_21_feb_202'!BG53</f>
        <v>0</v>
      </c>
      <c r="D53">
        <f>'Dr Dulari Data Entry_21_feb_202'!D53</f>
        <v>1</v>
      </c>
    </row>
    <row r="54" spans="1:4" x14ac:dyDescent="0.25">
      <c r="A54">
        <f>'Dr Dulari Data Entry_21_feb_202'!AF54</f>
        <v>1</v>
      </c>
      <c r="B54">
        <f>'Dr Dulari Data Entry_21_feb_202'!BC54</f>
        <v>9</v>
      </c>
      <c r="C54">
        <f>'Dr Dulari Data Entry_21_feb_202'!BG54</f>
        <v>1</v>
      </c>
      <c r="D54">
        <f>'Dr Dulari Data Entry_21_feb_202'!D54</f>
        <v>2</v>
      </c>
    </row>
    <row r="55" spans="1:4" x14ac:dyDescent="0.25">
      <c r="A55">
        <f>'Dr Dulari Data Entry_21_feb_202'!AF55</f>
        <v>1</v>
      </c>
      <c r="B55">
        <f>'Dr Dulari Data Entry_21_feb_202'!BC55</f>
        <v>10</v>
      </c>
      <c r="C55">
        <f>'Dr Dulari Data Entry_21_feb_202'!BG55</f>
        <v>3</v>
      </c>
      <c r="D55">
        <f>'Dr Dulari Data Entry_21_feb_202'!D55</f>
        <v>3</v>
      </c>
    </row>
    <row r="56" spans="1:4" x14ac:dyDescent="0.25">
      <c r="A56">
        <f>'Dr Dulari Data Entry_21_feb_202'!AF56</f>
        <v>1</v>
      </c>
      <c r="B56">
        <f>'Dr Dulari Data Entry_21_feb_202'!BC56</f>
        <v>9</v>
      </c>
      <c r="C56">
        <f>'Dr Dulari Data Entry_21_feb_202'!BG56</f>
        <v>1</v>
      </c>
      <c r="D56">
        <f>'Dr Dulari Data Entry_21_feb_202'!D56</f>
        <v>4</v>
      </c>
    </row>
    <row r="57" spans="1:4" x14ac:dyDescent="0.25">
      <c r="A57">
        <f>'Dr Dulari Data Entry_21_feb_202'!AF57</f>
        <v>1</v>
      </c>
      <c r="B57">
        <f>'Dr Dulari Data Entry_21_feb_202'!BC57</f>
        <v>8</v>
      </c>
      <c r="C57">
        <f>'Dr Dulari Data Entry_21_feb_202'!BG57</f>
        <v>0</v>
      </c>
      <c r="D57">
        <f>'Dr Dulari Data Entry_21_feb_202'!D57</f>
        <v>3</v>
      </c>
    </row>
    <row r="58" spans="1:4" x14ac:dyDescent="0.25">
      <c r="A58">
        <f>'Dr Dulari Data Entry_21_feb_202'!AF58</f>
        <v>1</v>
      </c>
      <c r="B58">
        <f>'Dr Dulari Data Entry_21_feb_202'!BC58</f>
        <v>8</v>
      </c>
      <c r="C58">
        <f>'Dr Dulari Data Entry_21_feb_202'!BG58</f>
        <v>2</v>
      </c>
      <c r="D58">
        <f>'Dr Dulari Data Entry_21_feb_202'!D58</f>
        <v>10</v>
      </c>
    </row>
    <row r="59" spans="1:4" x14ac:dyDescent="0.25">
      <c r="A59">
        <f>'Dr Dulari Data Entry_21_feb_202'!AF59</f>
        <v>1</v>
      </c>
      <c r="B59">
        <f>'Dr Dulari Data Entry_21_feb_202'!BC59</f>
        <v>10</v>
      </c>
      <c r="C59">
        <f>'Dr Dulari Data Entry_21_feb_202'!BG59</f>
        <v>0</v>
      </c>
      <c r="D59">
        <f>'Dr Dulari Data Entry_21_feb_202'!D59</f>
        <v>4</v>
      </c>
    </row>
    <row r="60" spans="1:4" x14ac:dyDescent="0.25">
      <c r="A60">
        <f>'Dr Dulari Data Entry_21_feb_202'!AF60</f>
        <v>1</v>
      </c>
      <c r="B60">
        <f>'Dr Dulari Data Entry_21_feb_202'!BC60</f>
        <v>10</v>
      </c>
      <c r="C60">
        <f>'Dr Dulari Data Entry_21_feb_202'!BG60</f>
        <v>0</v>
      </c>
      <c r="D60">
        <f>'Dr Dulari Data Entry_21_feb_202'!D60</f>
        <v>5</v>
      </c>
    </row>
    <row r="61" spans="1:4" x14ac:dyDescent="0.25">
      <c r="A61">
        <f>'Dr Dulari Data Entry_21_feb_202'!AF61</f>
        <v>1</v>
      </c>
      <c r="B61">
        <f>'Dr Dulari Data Entry_21_feb_202'!BC61</f>
        <v>9</v>
      </c>
      <c r="C61">
        <f>'Dr Dulari Data Entry_21_feb_202'!BG61</f>
        <v>0</v>
      </c>
      <c r="D61">
        <f>'Dr Dulari Data Entry_21_feb_202'!D61</f>
        <v>0</v>
      </c>
    </row>
    <row r="62" spans="1:4" x14ac:dyDescent="0.25">
      <c r="A62">
        <f>'Dr Dulari Data Entry_21_feb_202'!AF62</f>
        <v>1</v>
      </c>
      <c r="B62">
        <f>'Dr Dulari Data Entry_21_feb_202'!BC62</f>
        <v>10</v>
      </c>
      <c r="C62">
        <f>'Dr Dulari Data Entry_21_feb_202'!BG62</f>
        <v>0</v>
      </c>
      <c r="D62">
        <f>'Dr Dulari Data Entry_21_feb_202'!D62</f>
        <v>3</v>
      </c>
    </row>
    <row r="63" spans="1:4" x14ac:dyDescent="0.25">
      <c r="A63">
        <f>'Dr Dulari Data Entry_21_feb_202'!AF63</f>
        <v>1</v>
      </c>
      <c r="B63">
        <f>'Dr Dulari Data Entry_21_feb_202'!BC63</f>
        <v>10</v>
      </c>
      <c r="C63">
        <f>'Dr Dulari Data Entry_21_feb_202'!BG63</f>
        <v>1</v>
      </c>
      <c r="D63">
        <f>'Dr Dulari Data Entry_21_feb_202'!D63</f>
        <v>4</v>
      </c>
    </row>
    <row r="64" spans="1:4" x14ac:dyDescent="0.25">
      <c r="A64">
        <f>'Dr Dulari Data Entry_21_feb_202'!AF64</f>
        <v>0</v>
      </c>
      <c r="B64">
        <f>'Dr Dulari Data Entry_21_feb_202'!BC64</f>
        <v>10</v>
      </c>
      <c r="C64">
        <f>'Dr Dulari Data Entry_21_feb_202'!BG64</f>
        <v>1</v>
      </c>
      <c r="D64">
        <f>'Dr Dulari Data Entry_21_feb_202'!D64</f>
        <v>8</v>
      </c>
    </row>
    <row r="65" spans="1:4" x14ac:dyDescent="0.25">
      <c r="A65">
        <f>'Dr Dulari Data Entry_21_feb_202'!AF65</f>
        <v>1</v>
      </c>
      <c r="B65">
        <f>'Dr Dulari Data Entry_21_feb_202'!BC65</f>
        <v>10</v>
      </c>
      <c r="C65">
        <f>'Dr Dulari Data Entry_21_feb_202'!BG65</f>
        <v>1</v>
      </c>
      <c r="D65">
        <f>'Dr Dulari Data Entry_21_feb_202'!D65</f>
        <v>5</v>
      </c>
    </row>
    <row r="66" spans="1:4" x14ac:dyDescent="0.25">
      <c r="A66">
        <f>'Dr Dulari Data Entry_21_feb_202'!AF66</f>
        <v>1</v>
      </c>
      <c r="B66">
        <f>'Dr Dulari Data Entry_21_feb_202'!BC66</f>
        <v>10</v>
      </c>
      <c r="C66">
        <f>'Dr Dulari Data Entry_21_feb_202'!BG66</f>
        <v>1</v>
      </c>
      <c r="D66">
        <f>'Dr Dulari Data Entry_21_feb_202'!D66</f>
        <v>10</v>
      </c>
    </row>
    <row r="67" spans="1:4" x14ac:dyDescent="0.25">
      <c r="A67">
        <f>'Dr Dulari Data Entry_21_feb_202'!AF67</f>
        <v>1</v>
      </c>
      <c r="B67">
        <f>'Dr Dulari Data Entry_21_feb_202'!BC67</f>
        <v>10</v>
      </c>
      <c r="C67">
        <f>'Dr Dulari Data Entry_21_feb_202'!BG67</f>
        <v>0</v>
      </c>
      <c r="D67">
        <f>'Dr Dulari Data Entry_21_feb_202'!D67</f>
        <v>3</v>
      </c>
    </row>
    <row r="68" spans="1:4" x14ac:dyDescent="0.25">
      <c r="A68">
        <f>'Dr Dulari Data Entry_21_feb_202'!AF68</f>
        <v>1</v>
      </c>
      <c r="B68">
        <f>'Dr Dulari Data Entry_21_feb_202'!BC68</f>
        <v>10</v>
      </c>
      <c r="C68">
        <f>'Dr Dulari Data Entry_21_feb_202'!BG68</f>
        <v>0</v>
      </c>
      <c r="D68">
        <f>'Dr Dulari Data Entry_21_feb_202'!D68</f>
        <v>2</v>
      </c>
    </row>
    <row r="69" spans="1:4" x14ac:dyDescent="0.25">
      <c r="A69">
        <f>'Dr Dulari Data Entry_21_feb_202'!AF69</f>
        <v>1</v>
      </c>
      <c r="B69">
        <f>'Dr Dulari Data Entry_21_feb_202'!BC69</f>
        <v>10</v>
      </c>
      <c r="C69">
        <f>'Dr Dulari Data Entry_21_feb_202'!BG69</f>
        <v>2</v>
      </c>
      <c r="D69">
        <f>'Dr Dulari Data Entry_21_feb_202'!D69</f>
        <v>2</v>
      </c>
    </row>
    <row r="70" spans="1:4" x14ac:dyDescent="0.25">
      <c r="A70">
        <f>'Dr Dulari Data Entry_21_feb_202'!AF70</f>
        <v>1</v>
      </c>
      <c r="B70">
        <f>'Dr Dulari Data Entry_21_feb_202'!BC70</f>
        <v>10</v>
      </c>
      <c r="C70">
        <f>'Dr Dulari Data Entry_21_feb_202'!BG70</f>
        <v>2</v>
      </c>
      <c r="D70">
        <f>'Dr Dulari Data Entry_21_feb_202'!D70</f>
        <v>11</v>
      </c>
    </row>
    <row r="71" spans="1:4" x14ac:dyDescent="0.25">
      <c r="A71">
        <f>'Dr Dulari Data Entry_21_feb_202'!AF71</f>
        <v>1</v>
      </c>
      <c r="B71">
        <f>'Dr Dulari Data Entry_21_feb_202'!BC71</f>
        <v>9</v>
      </c>
      <c r="C71">
        <f>'Dr Dulari Data Entry_21_feb_202'!BG71</f>
        <v>1</v>
      </c>
      <c r="D71">
        <f>'Dr Dulari Data Entry_21_feb_202'!D71</f>
        <v>8</v>
      </c>
    </row>
    <row r="72" spans="1:4" x14ac:dyDescent="0.25">
      <c r="A72">
        <f>'Dr Dulari Data Entry_21_feb_202'!AF72</f>
        <v>1</v>
      </c>
      <c r="B72">
        <f>'Dr Dulari Data Entry_21_feb_202'!BC72</f>
        <v>10</v>
      </c>
      <c r="C72">
        <f>'Dr Dulari Data Entry_21_feb_202'!BG72</f>
        <v>4</v>
      </c>
      <c r="D72">
        <f>'Dr Dulari Data Entry_21_feb_202'!D72</f>
        <v>3</v>
      </c>
    </row>
    <row r="73" spans="1:4" x14ac:dyDescent="0.25">
      <c r="A73">
        <f>'Dr Dulari Data Entry_21_feb_202'!AF73</f>
        <v>0</v>
      </c>
      <c r="B73">
        <f>'Dr Dulari Data Entry_21_feb_202'!BC73</f>
        <v>10</v>
      </c>
      <c r="C73">
        <f>'Dr Dulari Data Entry_21_feb_202'!BG73</f>
        <v>0</v>
      </c>
      <c r="D73">
        <f>'Dr Dulari Data Entry_21_feb_202'!D73</f>
        <v>4</v>
      </c>
    </row>
    <row r="74" spans="1:4" x14ac:dyDescent="0.25">
      <c r="A74">
        <f>'Dr Dulari Data Entry_21_feb_202'!AF74</f>
        <v>1</v>
      </c>
      <c r="B74">
        <f>'Dr Dulari Data Entry_21_feb_202'!BC74</f>
        <v>10</v>
      </c>
      <c r="C74">
        <f>'Dr Dulari Data Entry_21_feb_202'!BG74</f>
        <v>1</v>
      </c>
      <c r="D74">
        <f>'Dr Dulari Data Entry_21_feb_202'!D74</f>
        <v>6</v>
      </c>
    </row>
    <row r="75" spans="1:4" x14ac:dyDescent="0.25">
      <c r="A75">
        <f>'Dr Dulari Data Entry_21_feb_202'!AF75</f>
        <v>1</v>
      </c>
      <c r="B75">
        <f>'Dr Dulari Data Entry_21_feb_202'!BC75</f>
        <v>10</v>
      </c>
      <c r="C75">
        <f>'Dr Dulari Data Entry_21_feb_202'!BG75</f>
        <v>2</v>
      </c>
      <c r="D75">
        <f>'Dr Dulari Data Entry_21_feb_202'!D75</f>
        <v>8</v>
      </c>
    </row>
    <row r="76" spans="1:4" x14ac:dyDescent="0.25">
      <c r="A76">
        <f>'Dr Dulari Data Entry_21_feb_202'!AF76</f>
        <v>1</v>
      </c>
      <c r="B76">
        <f>'Dr Dulari Data Entry_21_feb_202'!BC76</f>
        <v>8</v>
      </c>
      <c r="C76">
        <f>'Dr Dulari Data Entry_21_feb_202'!BG76</f>
        <v>6</v>
      </c>
      <c r="D76">
        <f>'Dr Dulari Data Entry_21_feb_202'!D76</f>
        <v>11</v>
      </c>
    </row>
    <row r="77" spans="1:4" x14ac:dyDescent="0.25">
      <c r="A77">
        <f>'Dr Dulari Data Entry_21_feb_202'!AF77</f>
        <v>1</v>
      </c>
      <c r="B77">
        <f>'Dr Dulari Data Entry_21_feb_202'!BC77</f>
        <v>10</v>
      </c>
      <c r="C77">
        <f>'Dr Dulari Data Entry_21_feb_202'!BG77</f>
        <v>0</v>
      </c>
      <c r="D77">
        <f>'Dr Dulari Data Entry_21_feb_202'!D77</f>
        <v>3</v>
      </c>
    </row>
    <row r="78" spans="1:4" x14ac:dyDescent="0.25">
      <c r="A78">
        <f>'Dr Dulari Data Entry_21_feb_202'!AF78</f>
        <v>1</v>
      </c>
      <c r="B78">
        <f>'Dr Dulari Data Entry_21_feb_202'!BC78</f>
        <v>10</v>
      </c>
      <c r="C78">
        <f>'Dr Dulari Data Entry_21_feb_202'!BG78</f>
        <v>0</v>
      </c>
      <c r="D78">
        <f>'Dr Dulari Data Entry_21_feb_202'!D78</f>
        <v>2</v>
      </c>
    </row>
    <row r="79" spans="1:4" x14ac:dyDescent="0.25">
      <c r="A79">
        <f>'Dr Dulari Data Entry_21_feb_202'!AF79</f>
        <v>0</v>
      </c>
      <c r="B79">
        <f>'Dr Dulari Data Entry_21_feb_202'!BC79</f>
        <v>8</v>
      </c>
      <c r="C79">
        <f>'Dr Dulari Data Entry_21_feb_202'!BG79</f>
        <v>4</v>
      </c>
      <c r="D79">
        <f>'Dr Dulari Data Entry_21_feb_202'!D79</f>
        <v>8</v>
      </c>
    </row>
    <row r="80" spans="1:4" x14ac:dyDescent="0.25">
      <c r="A80">
        <f>'Dr Dulari Data Entry_21_feb_202'!AF80</f>
        <v>1</v>
      </c>
      <c r="B80">
        <f>'Dr Dulari Data Entry_21_feb_202'!BC80</f>
        <v>9</v>
      </c>
      <c r="C80">
        <f>'Dr Dulari Data Entry_21_feb_202'!BG80</f>
        <v>0</v>
      </c>
      <c r="D80">
        <f>'Dr Dulari Data Entry_21_feb_202'!D80</f>
        <v>6</v>
      </c>
    </row>
    <row r="81" spans="1:4" x14ac:dyDescent="0.25">
      <c r="A81">
        <f>'Dr Dulari Data Entry_21_feb_202'!AF81</f>
        <v>1</v>
      </c>
      <c r="B81">
        <f>'Dr Dulari Data Entry_21_feb_202'!BC81</f>
        <v>10</v>
      </c>
      <c r="C81">
        <f>'Dr Dulari Data Entry_21_feb_202'!BG81</f>
        <v>1</v>
      </c>
      <c r="D81">
        <f>'Dr Dulari Data Entry_21_feb_202'!D81</f>
        <v>9</v>
      </c>
    </row>
    <row r="82" spans="1:4" x14ac:dyDescent="0.25">
      <c r="A82">
        <f>'Dr Dulari Data Entry_21_feb_202'!AF82</f>
        <v>1</v>
      </c>
      <c r="B82">
        <f>'Dr Dulari Data Entry_21_feb_202'!BC82</f>
        <v>10</v>
      </c>
      <c r="C82">
        <f>'Dr Dulari Data Entry_21_feb_202'!BG82</f>
        <v>0</v>
      </c>
      <c r="D82">
        <f>'Dr Dulari Data Entry_21_feb_202'!D82</f>
        <v>2</v>
      </c>
    </row>
    <row r="83" spans="1:4" x14ac:dyDescent="0.25">
      <c r="A83">
        <f>'Dr Dulari Data Entry_21_feb_202'!AF83</f>
        <v>1</v>
      </c>
      <c r="B83">
        <f>'Dr Dulari Data Entry_21_feb_202'!BC83</f>
        <v>9</v>
      </c>
      <c r="C83">
        <f>'Dr Dulari Data Entry_21_feb_202'!BG83</f>
        <v>1</v>
      </c>
      <c r="D83">
        <f>'Dr Dulari Data Entry_21_feb_202'!D83</f>
        <v>2</v>
      </c>
    </row>
    <row r="84" spans="1:4" x14ac:dyDescent="0.25">
      <c r="A84">
        <f>'Dr Dulari Data Entry_21_feb_202'!AF84</f>
        <v>1</v>
      </c>
      <c r="B84">
        <f>'Dr Dulari Data Entry_21_feb_202'!BC84</f>
        <v>10</v>
      </c>
      <c r="C84">
        <f>'Dr Dulari Data Entry_21_feb_202'!BG84</f>
        <v>1</v>
      </c>
      <c r="D84">
        <f>'Dr Dulari Data Entry_21_feb_202'!D84</f>
        <v>2</v>
      </c>
    </row>
    <row r="85" spans="1:4" x14ac:dyDescent="0.25">
      <c r="A85">
        <f>'Dr Dulari Data Entry_21_feb_202'!AF85</f>
        <v>0</v>
      </c>
      <c r="B85">
        <f>'Dr Dulari Data Entry_21_feb_202'!BC85</f>
        <v>9</v>
      </c>
      <c r="C85">
        <f>'Dr Dulari Data Entry_21_feb_202'!BG85</f>
        <v>0</v>
      </c>
      <c r="D85">
        <f>'Dr Dulari Data Entry_21_feb_202'!D85</f>
        <v>10</v>
      </c>
    </row>
    <row r="86" spans="1:4" x14ac:dyDescent="0.25">
      <c r="A86">
        <f>'Dr Dulari Data Entry_21_feb_202'!AF86</f>
        <v>1</v>
      </c>
      <c r="B86">
        <f>'Dr Dulari Data Entry_21_feb_202'!BC86</f>
        <v>7</v>
      </c>
      <c r="C86">
        <f>'Dr Dulari Data Entry_21_feb_202'!BG86</f>
        <v>0</v>
      </c>
      <c r="D86">
        <f>'Dr Dulari Data Entry_21_feb_202'!D86</f>
        <v>1</v>
      </c>
    </row>
    <row r="87" spans="1:4" x14ac:dyDescent="0.25">
      <c r="A87">
        <f>'Dr Dulari Data Entry_21_feb_202'!AF87</f>
        <v>1</v>
      </c>
      <c r="B87">
        <f>'Dr Dulari Data Entry_21_feb_202'!BC87</f>
        <v>10</v>
      </c>
      <c r="C87">
        <f>'Dr Dulari Data Entry_21_feb_202'!BG87</f>
        <v>1</v>
      </c>
      <c r="D87">
        <f>'Dr Dulari Data Entry_21_feb_202'!D87</f>
        <v>12</v>
      </c>
    </row>
    <row r="88" spans="1:4" x14ac:dyDescent="0.25">
      <c r="A88">
        <f>'Dr Dulari Data Entry_21_feb_202'!AF88</f>
        <v>1</v>
      </c>
      <c r="B88">
        <f>'Dr Dulari Data Entry_21_feb_202'!BC88</f>
        <v>10</v>
      </c>
      <c r="C88">
        <f>'Dr Dulari Data Entry_21_feb_202'!BG88</f>
        <v>0</v>
      </c>
      <c r="D88">
        <f>'Dr Dulari Data Entry_21_feb_202'!D88</f>
        <v>10</v>
      </c>
    </row>
    <row r="89" spans="1:4" x14ac:dyDescent="0.25">
      <c r="A89">
        <f>'Dr Dulari Data Entry_21_feb_202'!AF89</f>
        <v>1</v>
      </c>
      <c r="B89">
        <f>'Dr Dulari Data Entry_21_feb_202'!BC89</f>
        <v>10</v>
      </c>
      <c r="C89">
        <f>'Dr Dulari Data Entry_21_feb_202'!BG89</f>
        <v>0</v>
      </c>
      <c r="D89">
        <f>'Dr Dulari Data Entry_21_feb_202'!D89</f>
        <v>5</v>
      </c>
    </row>
    <row r="90" spans="1:4" x14ac:dyDescent="0.25">
      <c r="A90">
        <f>'Dr Dulari Data Entry_21_feb_202'!AF90</f>
        <v>1</v>
      </c>
      <c r="B90">
        <f>'Dr Dulari Data Entry_21_feb_202'!BC90</f>
        <v>10</v>
      </c>
      <c r="C90">
        <f>'Dr Dulari Data Entry_21_feb_202'!BG90</f>
        <v>3</v>
      </c>
      <c r="D90">
        <f>'Dr Dulari Data Entry_21_feb_202'!D90</f>
        <v>7</v>
      </c>
    </row>
    <row r="91" spans="1:4" x14ac:dyDescent="0.25">
      <c r="A91">
        <f>'Dr Dulari Data Entry_21_feb_202'!AF91</f>
        <v>1</v>
      </c>
      <c r="B91">
        <f>'Dr Dulari Data Entry_21_feb_202'!BC91</f>
        <v>10</v>
      </c>
      <c r="C91">
        <f>'Dr Dulari Data Entry_21_feb_202'!BG91</f>
        <v>6</v>
      </c>
      <c r="D91">
        <f>'Dr Dulari Data Entry_21_feb_202'!D91</f>
        <v>25</v>
      </c>
    </row>
    <row r="92" spans="1:4" x14ac:dyDescent="0.25">
      <c r="A92">
        <f>'Dr Dulari Data Entry_21_feb_202'!AF92</f>
        <v>1</v>
      </c>
      <c r="B92">
        <f>'Dr Dulari Data Entry_21_feb_202'!BC92</f>
        <v>8</v>
      </c>
      <c r="C92">
        <f>'Dr Dulari Data Entry_21_feb_202'!BG92</f>
        <v>0</v>
      </c>
      <c r="D92">
        <f>'Dr Dulari Data Entry_21_feb_202'!D92</f>
        <v>15</v>
      </c>
    </row>
    <row r="93" spans="1:4" x14ac:dyDescent="0.25">
      <c r="A93">
        <f>'Dr Dulari Data Entry_21_feb_202'!AF93</f>
        <v>1</v>
      </c>
      <c r="B93">
        <f>'Dr Dulari Data Entry_21_feb_202'!BC93</f>
        <v>9</v>
      </c>
      <c r="C93">
        <f>'Dr Dulari Data Entry_21_feb_202'!BG93</f>
        <v>1</v>
      </c>
      <c r="D93">
        <f>'Dr Dulari Data Entry_21_feb_202'!D93</f>
        <v>7</v>
      </c>
    </row>
    <row r="94" spans="1:4" x14ac:dyDescent="0.25">
      <c r="A94">
        <f>'Dr Dulari Data Entry_21_feb_202'!AF94</f>
        <v>1</v>
      </c>
      <c r="B94">
        <f>'Dr Dulari Data Entry_21_feb_202'!BC94</f>
        <v>8</v>
      </c>
      <c r="C94">
        <f>'Dr Dulari Data Entry_21_feb_202'!BG94</f>
        <v>1</v>
      </c>
      <c r="D94">
        <f>'Dr Dulari Data Entry_21_feb_202'!D94</f>
        <v>6</v>
      </c>
    </row>
    <row r="95" spans="1:4" x14ac:dyDescent="0.25">
      <c r="A95">
        <f>'Dr Dulari Data Entry_21_feb_202'!AF95</f>
        <v>1</v>
      </c>
      <c r="B95">
        <f>'Dr Dulari Data Entry_21_feb_202'!BC95</f>
        <v>10</v>
      </c>
      <c r="C95">
        <f>'Dr Dulari Data Entry_21_feb_202'!BG95</f>
        <v>0</v>
      </c>
      <c r="D95">
        <f>'Dr Dulari Data Entry_21_feb_202'!D95</f>
        <v>3</v>
      </c>
    </row>
    <row r="96" spans="1:4" x14ac:dyDescent="0.25">
      <c r="A96">
        <f>'Dr Dulari Data Entry_21_feb_202'!AF96</f>
        <v>1</v>
      </c>
      <c r="B96">
        <f>'Dr Dulari Data Entry_21_feb_202'!BC96</f>
        <v>9</v>
      </c>
      <c r="C96">
        <f>'Dr Dulari Data Entry_21_feb_202'!BG96</f>
        <v>1</v>
      </c>
      <c r="D96">
        <f>'Dr Dulari Data Entry_21_feb_202'!D96</f>
        <v>2</v>
      </c>
    </row>
    <row r="97" spans="1:4" x14ac:dyDescent="0.25">
      <c r="A97">
        <f>'Dr Dulari Data Entry_21_feb_202'!AF97</f>
        <v>1</v>
      </c>
      <c r="B97">
        <f>'Dr Dulari Data Entry_21_feb_202'!BC97</f>
        <v>7</v>
      </c>
      <c r="C97">
        <f>'Dr Dulari Data Entry_21_feb_202'!BG97</f>
        <v>0</v>
      </c>
      <c r="D97">
        <f>'Dr Dulari Data Entry_21_feb_202'!D97</f>
        <v>3</v>
      </c>
    </row>
    <row r="98" spans="1:4" x14ac:dyDescent="0.25">
      <c r="A98">
        <f>'Dr Dulari Data Entry_21_feb_202'!AF98</f>
        <v>1</v>
      </c>
      <c r="B98">
        <f>'Dr Dulari Data Entry_21_feb_202'!BC98</f>
        <v>9</v>
      </c>
      <c r="C98">
        <f>'Dr Dulari Data Entry_21_feb_202'!BG98</f>
        <v>0</v>
      </c>
      <c r="D98">
        <f>'Dr Dulari Data Entry_21_feb_202'!D98</f>
        <v>9</v>
      </c>
    </row>
    <row r="99" spans="1:4" x14ac:dyDescent="0.25">
      <c r="A99">
        <f>'Dr Dulari Data Entry_21_feb_202'!AF99</f>
        <v>1</v>
      </c>
      <c r="B99">
        <f>'Dr Dulari Data Entry_21_feb_202'!BC99</f>
        <v>0</v>
      </c>
      <c r="C99">
        <f>'Dr Dulari Data Entry_21_feb_202'!BG99</f>
        <v>0</v>
      </c>
      <c r="D99">
        <f>'Dr Dulari Data Entry_21_feb_202'!D99</f>
        <v>8</v>
      </c>
    </row>
    <row r="100" spans="1:4" x14ac:dyDescent="0.25">
      <c r="A100">
        <f>'Dr Dulari Data Entry_21_feb_202'!AF100</f>
        <v>1</v>
      </c>
      <c r="B100">
        <f>'Dr Dulari Data Entry_21_feb_202'!BC100</f>
        <v>9</v>
      </c>
      <c r="C100">
        <f>'Dr Dulari Data Entry_21_feb_202'!BG100</f>
        <v>1</v>
      </c>
      <c r="D100">
        <f>'Dr Dulari Data Entry_21_feb_202'!D100</f>
        <v>9</v>
      </c>
    </row>
    <row r="101" spans="1:4" x14ac:dyDescent="0.25">
      <c r="A101">
        <f>'Dr Dulari Data Entry_21_feb_202'!AF101</f>
        <v>1</v>
      </c>
      <c r="B101">
        <f>'Dr Dulari Data Entry_21_feb_202'!BC101</f>
        <v>9</v>
      </c>
      <c r="C101">
        <f>'Dr Dulari Data Entry_21_feb_202'!BG101</f>
        <v>0</v>
      </c>
      <c r="D101">
        <f>'Dr Dulari Data Entry_21_feb_202'!D101</f>
        <v>5</v>
      </c>
    </row>
    <row r="102" spans="1:4" x14ac:dyDescent="0.25">
      <c r="A102">
        <f>'Dr Dulari Data Entry_21_feb_202'!AF102</f>
        <v>1</v>
      </c>
      <c r="B102">
        <f>'Dr Dulari Data Entry_21_feb_202'!BC102</f>
        <v>8</v>
      </c>
      <c r="C102">
        <f>'Dr Dulari Data Entry_21_feb_202'!BG102</f>
        <v>0</v>
      </c>
      <c r="D102">
        <f>'Dr Dulari Data Entry_21_feb_202'!D102</f>
        <v>0</v>
      </c>
    </row>
    <row r="103" spans="1:4" x14ac:dyDescent="0.25">
      <c r="A103">
        <f>'Dr Dulari Data Entry_21_feb_202'!AF103</f>
        <v>1</v>
      </c>
      <c r="B103">
        <f>'Dr Dulari Data Entry_21_feb_202'!BC103</f>
        <v>10</v>
      </c>
      <c r="C103">
        <f>'Dr Dulari Data Entry_21_feb_202'!BG103</f>
        <v>0</v>
      </c>
      <c r="D103">
        <f>'Dr Dulari Data Entry_21_feb_202'!D103</f>
        <v>6</v>
      </c>
    </row>
    <row r="104" spans="1:4" x14ac:dyDescent="0.25">
      <c r="A104">
        <f>'Dr Dulari Data Entry_21_feb_202'!AF104</f>
        <v>1</v>
      </c>
      <c r="B104">
        <f>'Dr Dulari Data Entry_21_feb_202'!BC104</f>
        <v>10</v>
      </c>
      <c r="C104">
        <f>'Dr Dulari Data Entry_21_feb_202'!BG104</f>
        <v>0</v>
      </c>
      <c r="D104">
        <f>'Dr Dulari Data Entry_21_feb_202'!D104</f>
        <v>4</v>
      </c>
    </row>
    <row r="105" spans="1:4" x14ac:dyDescent="0.25">
      <c r="A105">
        <f>'Dr Dulari Data Entry_21_feb_202'!AF105</f>
        <v>1</v>
      </c>
      <c r="B105">
        <f>'Dr Dulari Data Entry_21_feb_202'!BC105</f>
        <v>8</v>
      </c>
      <c r="C105">
        <f>'Dr Dulari Data Entry_21_feb_202'!BG105</f>
        <v>2</v>
      </c>
      <c r="D105">
        <f>'Dr Dulari Data Entry_21_feb_202'!D105</f>
        <v>11</v>
      </c>
    </row>
    <row r="106" spans="1:4" x14ac:dyDescent="0.25">
      <c r="A106">
        <f>'Dr Dulari Data Entry_21_feb_202'!AF106</f>
        <v>1</v>
      </c>
      <c r="B106">
        <f>'Dr Dulari Data Entry_21_feb_202'!BC106</f>
        <v>10</v>
      </c>
      <c r="C106">
        <f>'Dr Dulari Data Entry_21_feb_202'!BG106</f>
        <v>0</v>
      </c>
      <c r="D106">
        <f>'Dr Dulari Data Entry_21_feb_202'!D106</f>
        <v>1</v>
      </c>
    </row>
    <row r="107" spans="1:4" x14ac:dyDescent="0.25">
      <c r="A107">
        <f>'Dr Dulari Data Entry_21_feb_202'!AF107</f>
        <v>0</v>
      </c>
      <c r="B107">
        <f>'Dr Dulari Data Entry_21_feb_202'!BC107</f>
        <v>3</v>
      </c>
      <c r="C107">
        <f>'Dr Dulari Data Entry_21_feb_202'!BG107</f>
        <v>0</v>
      </c>
      <c r="D107">
        <f>'Dr Dulari Data Entry_21_feb_202'!D107</f>
        <v>17</v>
      </c>
    </row>
    <row r="108" spans="1:4" x14ac:dyDescent="0.25">
      <c r="A108">
        <f>'Dr Dulari Data Entry_21_feb_202'!AF108</f>
        <v>1</v>
      </c>
      <c r="B108">
        <f>'Dr Dulari Data Entry_21_feb_202'!BC108</f>
        <v>10</v>
      </c>
      <c r="C108">
        <f>'Dr Dulari Data Entry_21_feb_202'!BG108</f>
        <v>0</v>
      </c>
      <c r="D108">
        <f>'Dr Dulari Data Entry_21_feb_202'!D108</f>
        <v>4</v>
      </c>
    </row>
    <row r="109" spans="1:4" x14ac:dyDescent="0.25">
      <c r="A109">
        <f>'Dr Dulari Data Entry_21_feb_202'!AF109</f>
        <v>1</v>
      </c>
      <c r="B109">
        <f>'Dr Dulari Data Entry_21_feb_202'!BC109</f>
        <v>8</v>
      </c>
      <c r="C109">
        <f>'Dr Dulari Data Entry_21_feb_202'!BG109</f>
        <v>4</v>
      </c>
      <c r="D109">
        <f>'Dr Dulari Data Entry_21_feb_202'!D109</f>
        <v>14</v>
      </c>
    </row>
    <row r="110" spans="1:4" x14ac:dyDescent="0.25">
      <c r="A110">
        <f>'Dr Dulari Data Entry_21_feb_202'!AF110</f>
        <v>1</v>
      </c>
      <c r="B110">
        <f>'Dr Dulari Data Entry_21_feb_202'!BC110</f>
        <v>9</v>
      </c>
      <c r="C110">
        <f>'Dr Dulari Data Entry_21_feb_202'!BG110</f>
        <v>1</v>
      </c>
      <c r="D110">
        <f>'Dr Dulari Data Entry_21_feb_202'!D110</f>
        <v>18</v>
      </c>
    </row>
    <row r="111" spans="1:4" x14ac:dyDescent="0.25">
      <c r="A111">
        <f>'Dr Dulari Data Entry_21_feb_202'!AF111</f>
        <v>1</v>
      </c>
      <c r="B111">
        <f>'Dr Dulari Data Entry_21_feb_202'!BC111</f>
        <v>8</v>
      </c>
      <c r="C111">
        <f>'Dr Dulari Data Entry_21_feb_202'!BG111</f>
        <v>0</v>
      </c>
      <c r="D111">
        <f>'Dr Dulari Data Entry_21_feb_202'!D111</f>
        <v>10</v>
      </c>
    </row>
    <row r="112" spans="1:4" x14ac:dyDescent="0.25">
      <c r="A112">
        <f>'Dr Dulari Data Entry_21_feb_202'!AF112</f>
        <v>1</v>
      </c>
      <c r="B112">
        <f>'Dr Dulari Data Entry_21_feb_202'!BC112</f>
        <v>8</v>
      </c>
      <c r="C112">
        <f>'Dr Dulari Data Entry_21_feb_202'!BG112</f>
        <v>1</v>
      </c>
      <c r="D112">
        <f>'Dr Dulari Data Entry_21_feb_202'!D112</f>
        <v>16</v>
      </c>
    </row>
    <row r="113" spans="1:4" x14ac:dyDescent="0.25">
      <c r="A113">
        <f>'Dr Dulari Data Entry_21_feb_202'!AF113</f>
        <v>1</v>
      </c>
      <c r="B113">
        <f>'Dr Dulari Data Entry_21_feb_202'!BC113</f>
        <v>9</v>
      </c>
      <c r="C113">
        <f>'Dr Dulari Data Entry_21_feb_202'!BG113</f>
        <v>0</v>
      </c>
      <c r="D113">
        <f>'Dr Dulari Data Entry_21_feb_202'!D113</f>
        <v>6</v>
      </c>
    </row>
    <row r="114" spans="1:4" x14ac:dyDescent="0.25">
      <c r="A114">
        <f>'Dr Dulari Data Entry_21_feb_202'!AF114</f>
        <v>1</v>
      </c>
      <c r="B114">
        <f>'Dr Dulari Data Entry_21_feb_202'!BC114</f>
        <v>8</v>
      </c>
      <c r="C114">
        <f>'Dr Dulari Data Entry_21_feb_202'!BG114</f>
        <v>1</v>
      </c>
      <c r="D114">
        <f>'Dr Dulari Data Entry_21_feb_202'!D114</f>
        <v>5</v>
      </c>
    </row>
    <row r="115" spans="1:4" x14ac:dyDescent="0.25">
      <c r="A115">
        <f>'Dr Dulari Data Entry_21_feb_202'!AF115</f>
        <v>1</v>
      </c>
      <c r="B115">
        <f>'Dr Dulari Data Entry_21_feb_202'!BC115</f>
        <v>10</v>
      </c>
      <c r="C115">
        <f>'Dr Dulari Data Entry_21_feb_202'!BG115</f>
        <v>0</v>
      </c>
      <c r="D115">
        <f>'Dr Dulari Data Entry_21_feb_202'!D115</f>
        <v>1</v>
      </c>
    </row>
    <row r="116" spans="1:4" x14ac:dyDescent="0.25">
      <c r="A116">
        <f>'Dr Dulari Data Entry_21_feb_202'!AF116</f>
        <v>1</v>
      </c>
      <c r="B116">
        <f>'Dr Dulari Data Entry_21_feb_202'!BC116</f>
        <v>9</v>
      </c>
      <c r="C116">
        <f>'Dr Dulari Data Entry_21_feb_202'!BG116</f>
        <v>2</v>
      </c>
      <c r="D116">
        <f>'Dr Dulari Data Entry_21_feb_202'!D116</f>
        <v>7</v>
      </c>
    </row>
    <row r="117" spans="1:4" x14ac:dyDescent="0.25">
      <c r="A117">
        <f>'Dr Dulari Data Entry_21_feb_202'!AF117</f>
        <v>1</v>
      </c>
      <c r="B117">
        <f>'Dr Dulari Data Entry_21_feb_202'!BC117</f>
        <v>7</v>
      </c>
      <c r="C117">
        <f>'Dr Dulari Data Entry_21_feb_202'!BG117</f>
        <v>3</v>
      </c>
      <c r="D117">
        <f>'Dr Dulari Data Entry_21_feb_202'!D117</f>
        <v>4</v>
      </c>
    </row>
    <row r="118" spans="1:4" x14ac:dyDescent="0.25">
      <c r="A118">
        <f>'Dr Dulari Data Entry_21_feb_202'!AF118</f>
        <v>0</v>
      </c>
      <c r="B118">
        <f>'Dr Dulari Data Entry_21_feb_202'!BC118</f>
        <v>8</v>
      </c>
      <c r="C118">
        <f>'Dr Dulari Data Entry_21_feb_202'!BG118</f>
        <v>6</v>
      </c>
      <c r="D118">
        <f>'Dr Dulari Data Entry_21_feb_202'!D118</f>
        <v>24</v>
      </c>
    </row>
    <row r="119" spans="1:4" x14ac:dyDescent="0.25">
      <c r="A119">
        <f>'Dr Dulari Data Entry_21_feb_202'!AF119</f>
        <v>0</v>
      </c>
      <c r="B119">
        <f>'Dr Dulari Data Entry_21_feb_202'!BC119</f>
        <v>4</v>
      </c>
      <c r="C119">
        <f>'Dr Dulari Data Entry_21_feb_202'!BG119</f>
        <v>3</v>
      </c>
      <c r="D119">
        <f>'Dr Dulari Data Entry_21_feb_202'!D119</f>
        <v>24</v>
      </c>
    </row>
    <row r="120" spans="1:4" x14ac:dyDescent="0.25">
      <c r="A120">
        <f>'Dr Dulari Data Entry_21_feb_202'!AF120</f>
        <v>1</v>
      </c>
      <c r="B120">
        <f>'Dr Dulari Data Entry_21_feb_202'!BC120</f>
        <v>7</v>
      </c>
      <c r="C120">
        <f>'Dr Dulari Data Entry_21_feb_202'!BG120</f>
        <v>1</v>
      </c>
      <c r="D120">
        <f>'Dr Dulari Data Entry_21_feb_202'!D120</f>
        <v>16</v>
      </c>
    </row>
    <row r="121" spans="1:4" x14ac:dyDescent="0.25">
      <c r="A121">
        <f>'Dr Dulari Data Entry_21_feb_202'!AF121</f>
        <v>1</v>
      </c>
      <c r="B121">
        <f>'Dr Dulari Data Entry_21_feb_202'!BC121</f>
        <v>6</v>
      </c>
      <c r="C121">
        <f>'Dr Dulari Data Entry_21_feb_202'!BG121</f>
        <v>0</v>
      </c>
      <c r="D121">
        <f>'Dr Dulari Data Entry_21_feb_202'!D121</f>
        <v>12</v>
      </c>
    </row>
    <row r="122" spans="1:4" x14ac:dyDescent="0.25">
      <c r="A122">
        <f>'Dr Dulari Data Entry_21_feb_202'!AF122</f>
        <v>1</v>
      </c>
      <c r="B122">
        <f>'Dr Dulari Data Entry_21_feb_202'!BC122</f>
        <v>6</v>
      </c>
      <c r="C122">
        <f>'Dr Dulari Data Entry_21_feb_202'!BG122</f>
        <v>4</v>
      </c>
      <c r="D122">
        <f>'Dr Dulari Data Entry_21_feb_202'!D122</f>
        <v>12</v>
      </c>
    </row>
    <row r="123" spans="1:4" x14ac:dyDescent="0.25">
      <c r="A123">
        <f>'Dr Dulari Data Entry_21_feb_202'!AF123</f>
        <v>0</v>
      </c>
      <c r="B123">
        <f>'Dr Dulari Data Entry_21_feb_202'!BC123</f>
        <v>9</v>
      </c>
      <c r="C123">
        <f>'Dr Dulari Data Entry_21_feb_202'!BG123</f>
        <v>1</v>
      </c>
      <c r="D123">
        <f>'Dr Dulari Data Entry_21_feb_202'!D123</f>
        <v>22</v>
      </c>
    </row>
    <row r="124" spans="1:4" x14ac:dyDescent="0.25">
      <c r="A124">
        <f>'Dr Dulari Data Entry_21_feb_202'!AF124</f>
        <v>0</v>
      </c>
      <c r="B124">
        <f>'Dr Dulari Data Entry_21_feb_202'!BC124</f>
        <v>9</v>
      </c>
      <c r="C124">
        <f>'Dr Dulari Data Entry_21_feb_202'!BG124</f>
        <v>6</v>
      </c>
      <c r="D124">
        <f>'Dr Dulari Data Entry_21_feb_202'!D124</f>
        <v>17</v>
      </c>
    </row>
    <row r="125" spans="1:4" x14ac:dyDescent="0.25">
      <c r="A125">
        <f>'Dr Dulari Data Entry_21_feb_202'!AF125</f>
        <v>1</v>
      </c>
      <c r="B125">
        <f>'Dr Dulari Data Entry_21_feb_202'!BC125</f>
        <v>7</v>
      </c>
      <c r="C125">
        <f>'Dr Dulari Data Entry_21_feb_202'!BG125</f>
        <v>0</v>
      </c>
      <c r="D125">
        <f>'Dr Dulari Data Entry_21_feb_202'!D125</f>
        <v>8</v>
      </c>
    </row>
    <row r="126" spans="1:4" x14ac:dyDescent="0.25">
      <c r="A126">
        <f>'Dr Dulari Data Entry_21_feb_202'!AF126</f>
        <v>1</v>
      </c>
      <c r="B126">
        <f>'Dr Dulari Data Entry_21_feb_202'!BC126</f>
        <v>9</v>
      </c>
      <c r="C126">
        <f>'Dr Dulari Data Entry_21_feb_202'!BG126</f>
        <v>1</v>
      </c>
      <c r="D126">
        <f>'Dr Dulari Data Entry_21_feb_202'!D126</f>
        <v>7</v>
      </c>
    </row>
    <row r="127" spans="1:4" x14ac:dyDescent="0.25">
      <c r="A127">
        <f>'Dr Dulari Data Entry_21_feb_202'!AF127</f>
        <v>0</v>
      </c>
      <c r="B127">
        <f>'Dr Dulari Data Entry_21_feb_202'!BC127</f>
        <v>10</v>
      </c>
      <c r="C127">
        <f>'Dr Dulari Data Entry_21_feb_202'!BG127</f>
        <v>0</v>
      </c>
      <c r="D127">
        <f>'Dr Dulari Data Entry_21_feb_202'!D127</f>
        <v>17</v>
      </c>
    </row>
    <row r="128" spans="1:4" x14ac:dyDescent="0.25">
      <c r="A128">
        <f>'Dr Dulari Data Entry_21_feb_202'!AF128</f>
        <v>1</v>
      </c>
      <c r="B128">
        <f>'Dr Dulari Data Entry_21_feb_202'!BC128</f>
        <v>10</v>
      </c>
      <c r="C128">
        <f>'Dr Dulari Data Entry_21_feb_202'!BG128</f>
        <v>4</v>
      </c>
      <c r="D128">
        <f>'Dr Dulari Data Entry_21_feb_202'!D128</f>
        <v>17</v>
      </c>
    </row>
    <row r="129" spans="1:4" x14ac:dyDescent="0.25">
      <c r="A129">
        <f>'Dr Dulari Data Entry_21_feb_202'!AF129</f>
        <v>1</v>
      </c>
      <c r="B129">
        <f>'Dr Dulari Data Entry_21_feb_202'!BC129</f>
        <v>8</v>
      </c>
      <c r="C129">
        <f>'Dr Dulari Data Entry_21_feb_202'!BG129</f>
        <v>2</v>
      </c>
      <c r="D129">
        <f>'Dr Dulari Data Entry_21_feb_202'!D129</f>
        <v>19</v>
      </c>
    </row>
    <row r="130" spans="1:4" x14ac:dyDescent="0.25">
      <c r="A130">
        <f>'Dr Dulari Data Entry_21_feb_202'!AF130</f>
        <v>1</v>
      </c>
      <c r="B130">
        <f>'Dr Dulari Data Entry_21_feb_202'!BC130</f>
        <v>10</v>
      </c>
      <c r="C130">
        <f>'Dr Dulari Data Entry_21_feb_202'!BG130</f>
        <v>0</v>
      </c>
      <c r="D130">
        <f>'Dr Dulari Data Entry_21_feb_202'!D130</f>
        <v>2</v>
      </c>
    </row>
    <row r="131" spans="1:4" x14ac:dyDescent="0.25">
      <c r="A131">
        <f>'Dr Dulari Data Entry_21_feb_202'!AF131</f>
        <v>1</v>
      </c>
      <c r="B131">
        <f>'Dr Dulari Data Entry_21_feb_202'!BC131</f>
        <v>9</v>
      </c>
      <c r="C131">
        <f>'Dr Dulari Data Entry_21_feb_202'!BG131</f>
        <v>6</v>
      </c>
      <c r="D131">
        <f>'Dr Dulari Data Entry_21_feb_202'!D131</f>
        <v>26</v>
      </c>
    </row>
    <row r="132" spans="1:4" x14ac:dyDescent="0.25">
      <c r="A132">
        <f>'Dr Dulari Data Entry_21_feb_202'!AF132</f>
        <v>0</v>
      </c>
      <c r="B132">
        <f>'Dr Dulari Data Entry_21_feb_202'!BC132</f>
        <v>3</v>
      </c>
      <c r="C132">
        <f>'Dr Dulari Data Entry_21_feb_202'!BG132</f>
        <v>4</v>
      </c>
      <c r="D132">
        <f>'Dr Dulari Data Entry_21_feb_202'!D132</f>
        <v>17</v>
      </c>
    </row>
    <row r="133" spans="1:4" x14ac:dyDescent="0.25">
      <c r="A133">
        <f>'Dr Dulari Data Entry_21_feb_202'!AF133</f>
        <v>0</v>
      </c>
      <c r="B133">
        <f>'Dr Dulari Data Entry_21_feb_202'!BC133</f>
        <v>9</v>
      </c>
      <c r="C133">
        <f>'Dr Dulari Data Entry_21_feb_202'!BG133</f>
        <v>1</v>
      </c>
      <c r="D133">
        <f>'Dr Dulari Data Entry_21_feb_202'!D133</f>
        <v>14</v>
      </c>
    </row>
    <row r="134" spans="1:4" x14ac:dyDescent="0.25">
      <c r="A134">
        <f>'Dr Dulari Data Entry_21_feb_202'!AF134</f>
        <v>1</v>
      </c>
      <c r="B134">
        <f>'Dr Dulari Data Entry_21_feb_202'!BC134</f>
        <v>10</v>
      </c>
      <c r="C134">
        <f>'Dr Dulari Data Entry_21_feb_202'!BG134</f>
        <v>0</v>
      </c>
      <c r="D134">
        <f>'Dr Dulari Data Entry_21_feb_202'!D134</f>
        <v>1</v>
      </c>
    </row>
    <row r="135" spans="1:4" x14ac:dyDescent="0.25">
      <c r="A135">
        <f>'Dr Dulari Data Entry_21_feb_202'!AF135</f>
        <v>1</v>
      </c>
      <c r="B135">
        <f>'Dr Dulari Data Entry_21_feb_202'!BC135</f>
        <v>7</v>
      </c>
      <c r="C135">
        <f>'Dr Dulari Data Entry_21_feb_202'!BG135</f>
        <v>6</v>
      </c>
      <c r="D135">
        <f>'Dr Dulari Data Entry_21_feb_202'!D135</f>
        <v>13</v>
      </c>
    </row>
    <row r="136" spans="1:4" x14ac:dyDescent="0.25">
      <c r="A136">
        <f>'Dr Dulari Data Entry_21_feb_202'!AF136</f>
        <v>0</v>
      </c>
      <c r="B136">
        <f>'Dr Dulari Data Entry_21_feb_202'!BC136</f>
        <v>9</v>
      </c>
      <c r="C136">
        <f>'Dr Dulari Data Entry_21_feb_202'!BG136</f>
        <v>4</v>
      </c>
      <c r="D136">
        <f>'Dr Dulari Data Entry_21_feb_202'!D136</f>
        <v>0</v>
      </c>
    </row>
    <row r="137" spans="1:4" x14ac:dyDescent="0.25">
      <c r="A137">
        <f>'Dr Dulari Data Entry_21_feb_202'!AF137</f>
        <v>1</v>
      </c>
      <c r="B137">
        <f>'Dr Dulari Data Entry_21_feb_202'!BC137</f>
        <v>9</v>
      </c>
      <c r="C137">
        <f>'Dr Dulari Data Entry_21_feb_202'!BG137</f>
        <v>0</v>
      </c>
      <c r="D137">
        <f>'Dr Dulari Data Entry_21_feb_202'!D137</f>
        <v>1</v>
      </c>
    </row>
    <row r="138" spans="1:4" x14ac:dyDescent="0.25">
      <c r="A138">
        <f>'Dr Dulari Data Entry_21_feb_202'!AF138</f>
        <v>1</v>
      </c>
      <c r="B138">
        <f>'Dr Dulari Data Entry_21_feb_202'!BC138</f>
        <v>10</v>
      </c>
      <c r="C138">
        <f>'Dr Dulari Data Entry_21_feb_202'!BG138</f>
        <v>0</v>
      </c>
      <c r="D138">
        <f>'Dr Dulari Data Entry_21_feb_202'!D138</f>
        <v>6</v>
      </c>
    </row>
    <row r="139" spans="1:4" x14ac:dyDescent="0.25">
      <c r="A139">
        <f>'Dr Dulari Data Entry_21_feb_202'!AF139</f>
        <v>1</v>
      </c>
      <c r="B139">
        <f>'Dr Dulari Data Entry_21_feb_202'!BC139</f>
        <v>10</v>
      </c>
      <c r="C139">
        <f>'Dr Dulari Data Entry_21_feb_202'!BG139</f>
        <v>1</v>
      </c>
      <c r="D139">
        <f>'Dr Dulari Data Entry_21_feb_202'!D139</f>
        <v>0</v>
      </c>
    </row>
    <row r="140" spans="1:4" x14ac:dyDescent="0.25">
      <c r="A140">
        <f>'Dr Dulari Data Entry_21_feb_202'!AF140</f>
        <v>1</v>
      </c>
      <c r="B140">
        <f>'Dr Dulari Data Entry_21_feb_202'!BC140</f>
        <v>10</v>
      </c>
      <c r="C140">
        <f>'Dr Dulari Data Entry_21_feb_202'!BG140</f>
        <v>0</v>
      </c>
      <c r="D140">
        <f>'Dr Dulari Data Entry_21_feb_202'!D140</f>
        <v>4</v>
      </c>
    </row>
    <row r="141" spans="1:4" x14ac:dyDescent="0.25">
      <c r="A141">
        <f>'Dr Dulari Data Entry_21_feb_202'!AF141</f>
        <v>1</v>
      </c>
      <c r="B141">
        <f>'Dr Dulari Data Entry_21_feb_202'!BC141</f>
        <v>0</v>
      </c>
      <c r="C141">
        <f>'Dr Dulari Data Entry_21_feb_202'!BG141</f>
        <v>4</v>
      </c>
      <c r="D141">
        <f>'Dr Dulari Data Entry_21_feb_202'!D141</f>
        <v>19</v>
      </c>
    </row>
    <row r="142" spans="1:4" x14ac:dyDescent="0.25">
      <c r="A142">
        <f>'Dr Dulari Data Entry_21_feb_202'!AF142</f>
        <v>1</v>
      </c>
      <c r="B142">
        <f>'Dr Dulari Data Entry_21_feb_202'!BC142</f>
        <v>8</v>
      </c>
      <c r="C142">
        <f>'Dr Dulari Data Entry_21_feb_202'!BG142</f>
        <v>2</v>
      </c>
      <c r="D142">
        <f>'Dr Dulari Data Entry_21_feb_202'!D142</f>
        <v>0</v>
      </c>
    </row>
    <row r="143" spans="1:4" x14ac:dyDescent="0.25">
      <c r="A143">
        <f>'Dr Dulari Data Entry_21_feb_202'!AF143</f>
        <v>1</v>
      </c>
      <c r="B143">
        <f>'Dr Dulari Data Entry_21_feb_202'!BC143</f>
        <v>10</v>
      </c>
      <c r="C143">
        <f>'Dr Dulari Data Entry_21_feb_202'!BG143</f>
        <v>0</v>
      </c>
      <c r="D143">
        <f>'Dr Dulari Data Entry_21_feb_202'!D143</f>
        <v>0</v>
      </c>
    </row>
    <row r="144" spans="1:4" x14ac:dyDescent="0.25">
      <c r="A144">
        <f>'Dr Dulari Data Entry_21_feb_202'!AF144</f>
        <v>1</v>
      </c>
      <c r="B144">
        <f>'Dr Dulari Data Entry_21_feb_202'!BC144</f>
        <v>8</v>
      </c>
      <c r="C144">
        <f>'Dr Dulari Data Entry_21_feb_202'!BG144</f>
        <v>2</v>
      </c>
      <c r="D144">
        <f>'Dr Dulari Data Entry_21_feb_202'!D144</f>
        <v>6</v>
      </c>
    </row>
    <row r="145" spans="1:4" x14ac:dyDescent="0.25">
      <c r="A145">
        <f>'Dr Dulari Data Entry_21_feb_202'!AF145</f>
        <v>1</v>
      </c>
      <c r="B145">
        <f>'Dr Dulari Data Entry_21_feb_202'!BC145</f>
        <v>10</v>
      </c>
      <c r="C145">
        <f>'Dr Dulari Data Entry_21_feb_202'!BG145</f>
        <v>0</v>
      </c>
      <c r="D145">
        <f>'Dr Dulari Data Entry_21_feb_202'!D145</f>
        <v>3</v>
      </c>
    </row>
    <row r="146" spans="1:4" x14ac:dyDescent="0.25">
      <c r="A146">
        <f>'Dr Dulari Data Entry_21_feb_202'!AF146</f>
        <v>1</v>
      </c>
      <c r="B146">
        <f>'Dr Dulari Data Entry_21_feb_202'!BC146</f>
        <v>10</v>
      </c>
      <c r="C146">
        <f>'Dr Dulari Data Entry_21_feb_202'!BG146</f>
        <v>1</v>
      </c>
      <c r="D146">
        <f>'Dr Dulari Data Entry_21_feb_202'!D146</f>
        <v>5</v>
      </c>
    </row>
    <row r="147" spans="1:4" x14ac:dyDescent="0.25">
      <c r="A147">
        <f>'Dr Dulari Data Entry_21_feb_202'!AF147</f>
        <v>1</v>
      </c>
      <c r="B147">
        <f>'Dr Dulari Data Entry_21_feb_202'!BC147</f>
        <v>10</v>
      </c>
      <c r="C147">
        <f>'Dr Dulari Data Entry_21_feb_202'!BG147</f>
        <v>1</v>
      </c>
      <c r="D147">
        <f>'Dr Dulari Data Entry_21_feb_202'!D147</f>
        <v>4</v>
      </c>
    </row>
    <row r="148" spans="1:4" x14ac:dyDescent="0.25">
      <c r="A148">
        <f>'Dr Dulari Data Entry_21_feb_202'!AF148</f>
        <v>1</v>
      </c>
      <c r="B148">
        <f>'Dr Dulari Data Entry_21_feb_202'!BC148</f>
        <v>10</v>
      </c>
      <c r="C148">
        <f>'Dr Dulari Data Entry_21_feb_202'!BG148</f>
        <v>1</v>
      </c>
      <c r="D148">
        <f>'Dr Dulari Data Entry_21_feb_202'!D148</f>
        <v>5</v>
      </c>
    </row>
    <row r="149" spans="1:4" x14ac:dyDescent="0.25">
      <c r="A149">
        <f>'Dr Dulari Data Entry_21_feb_202'!AF149</f>
        <v>1</v>
      </c>
      <c r="B149">
        <f>'Dr Dulari Data Entry_21_feb_202'!BC149</f>
        <v>10</v>
      </c>
      <c r="C149">
        <f>'Dr Dulari Data Entry_21_feb_202'!BG149</f>
        <v>0</v>
      </c>
      <c r="D149">
        <f>'Dr Dulari Data Entry_21_feb_202'!D149</f>
        <v>0</v>
      </c>
    </row>
    <row r="150" spans="1:4" x14ac:dyDescent="0.25">
      <c r="A150">
        <f>'Dr Dulari Data Entry_21_feb_202'!AF150</f>
        <v>1</v>
      </c>
      <c r="B150">
        <f>'Dr Dulari Data Entry_21_feb_202'!BC150</f>
        <v>9</v>
      </c>
      <c r="C150">
        <f>'Dr Dulari Data Entry_21_feb_202'!BG150</f>
        <v>1</v>
      </c>
      <c r="D150">
        <f>'Dr Dulari Data Entry_21_feb_202'!D150</f>
        <v>4</v>
      </c>
    </row>
    <row r="151" spans="1:4" x14ac:dyDescent="0.25">
      <c r="A151">
        <f>'Dr Dulari Data Entry_21_feb_202'!AF151</f>
        <v>1</v>
      </c>
      <c r="B151">
        <f>'Dr Dulari Data Entry_21_feb_202'!BC151</f>
        <v>10</v>
      </c>
      <c r="C151">
        <f>'Dr Dulari Data Entry_21_feb_202'!BG151</f>
        <v>0</v>
      </c>
      <c r="D151">
        <f>'Dr Dulari Data Entry_21_feb_202'!D151</f>
        <v>3</v>
      </c>
    </row>
    <row r="152" spans="1:4" x14ac:dyDescent="0.25">
      <c r="A152">
        <f>'Dr Dulari Data Entry_21_feb_202'!AF152</f>
        <v>1</v>
      </c>
      <c r="B152">
        <f>'Dr Dulari Data Entry_21_feb_202'!BC152</f>
        <v>9</v>
      </c>
      <c r="C152">
        <f>'Dr Dulari Data Entry_21_feb_202'!BG152</f>
        <v>0</v>
      </c>
      <c r="D152">
        <f>'Dr Dulari Data Entry_21_feb_202'!D152</f>
        <v>9</v>
      </c>
    </row>
    <row r="153" spans="1:4" x14ac:dyDescent="0.25">
      <c r="A153">
        <f>'Dr Dulari Data Entry_21_feb_202'!AF153</f>
        <v>1</v>
      </c>
      <c r="B153">
        <f>'Dr Dulari Data Entry_21_feb_202'!BC153</f>
        <v>9</v>
      </c>
      <c r="C153">
        <f>'Dr Dulari Data Entry_21_feb_202'!BG153</f>
        <v>6</v>
      </c>
      <c r="D153">
        <f>'Dr Dulari Data Entry_21_feb_202'!D153</f>
        <v>16</v>
      </c>
    </row>
    <row r="154" spans="1:4" x14ac:dyDescent="0.25">
      <c r="A154">
        <f>'Dr Dulari Data Entry_21_feb_202'!AF154</f>
        <v>1</v>
      </c>
      <c r="B154">
        <f>'Dr Dulari Data Entry_21_feb_202'!BC154</f>
        <v>9</v>
      </c>
      <c r="C154">
        <f>'Dr Dulari Data Entry_21_feb_202'!BG154</f>
        <v>0</v>
      </c>
      <c r="D154">
        <f>'Dr Dulari Data Entry_21_feb_202'!D154</f>
        <v>3</v>
      </c>
    </row>
    <row r="155" spans="1:4" x14ac:dyDescent="0.25">
      <c r="A155">
        <f>'Dr Dulari Data Entry_21_feb_202'!AF155</f>
        <v>1</v>
      </c>
      <c r="B155">
        <f>'Dr Dulari Data Entry_21_feb_202'!BC155</f>
        <v>9</v>
      </c>
      <c r="C155">
        <f>'Dr Dulari Data Entry_21_feb_202'!BG155</f>
        <v>0</v>
      </c>
      <c r="D155">
        <f>'Dr Dulari Data Entry_21_feb_202'!D155</f>
        <v>2</v>
      </c>
    </row>
    <row r="156" spans="1:4" x14ac:dyDescent="0.25">
      <c r="A156">
        <f>'Dr Dulari Data Entry_21_feb_202'!AF156</f>
        <v>1</v>
      </c>
      <c r="B156">
        <f>'Dr Dulari Data Entry_21_feb_202'!BC156</f>
        <v>9</v>
      </c>
      <c r="C156">
        <f>'Dr Dulari Data Entry_21_feb_202'!BG156</f>
        <v>0</v>
      </c>
      <c r="D156">
        <f>'Dr Dulari Data Entry_21_feb_202'!D156</f>
        <v>5</v>
      </c>
    </row>
    <row r="157" spans="1:4" x14ac:dyDescent="0.25">
      <c r="A157">
        <f>'Dr Dulari Data Entry_21_feb_202'!AF157</f>
        <v>1</v>
      </c>
      <c r="B157">
        <f>'Dr Dulari Data Entry_21_feb_202'!BC157</f>
        <v>9</v>
      </c>
      <c r="C157">
        <f>'Dr Dulari Data Entry_21_feb_202'!BG157</f>
        <v>0</v>
      </c>
      <c r="D157">
        <f>'Dr Dulari Data Entry_21_feb_202'!D157</f>
        <v>1</v>
      </c>
    </row>
    <row r="158" spans="1:4" x14ac:dyDescent="0.25">
      <c r="A158">
        <f>'Dr Dulari Data Entry_21_feb_202'!AF158</f>
        <v>1</v>
      </c>
      <c r="B158">
        <f>'Dr Dulari Data Entry_21_feb_202'!BC158</f>
        <v>9</v>
      </c>
      <c r="C158">
        <f>'Dr Dulari Data Entry_21_feb_202'!BG158</f>
        <v>0</v>
      </c>
      <c r="D158">
        <f>'Dr Dulari Data Entry_21_feb_202'!D158</f>
        <v>6</v>
      </c>
    </row>
    <row r="159" spans="1:4" x14ac:dyDescent="0.25">
      <c r="A159">
        <f>'Dr Dulari Data Entry_21_feb_202'!AF159</f>
        <v>1</v>
      </c>
      <c r="B159">
        <f>'Dr Dulari Data Entry_21_feb_202'!BC159</f>
        <v>9</v>
      </c>
      <c r="C159">
        <f>'Dr Dulari Data Entry_21_feb_202'!BG159</f>
        <v>1</v>
      </c>
      <c r="D159">
        <f>'Dr Dulari Data Entry_21_feb_202'!D159</f>
        <v>16</v>
      </c>
    </row>
    <row r="160" spans="1:4" x14ac:dyDescent="0.25">
      <c r="A160">
        <f>'Dr Dulari Data Entry_21_feb_202'!AF160</f>
        <v>1</v>
      </c>
      <c r="B160">
        <f>'Dr Dulari Data Entry_21_feb_202'!BC160</f>
        <v>10</v>
      </c>
      <c r="C160">
        <f>'Dr Dulari Data Entry_21_feb_202'!BG160</f>
        <v>4</v>
      </c>
      <c r="D160">
        <f>'Dr Dulari Data Entry_21_feb_202'!D160</f>
        <v>3</v>
      </c>
    </row>
    <row r="161" spans="1:4" x14ac:dyDescent="0.25">
      <c r="A161">
        <f>'Dr Dulari Data Entry_21_feb_202'!AF161</f>
        <v>1</v>
      </c>
      <c r="B161">
        <f>'Dr Dulari Data Entry_21_feb_202'!BC161</f>
        <v>10</v>
      </c>
      <c r="C161">
        <f>'Dr Dulari Data Entry_21_feb_202'!BG161</f>
        <v>0</v>
      </c>
      <c r="D161">
        <f>'Dr Dulari Data Entry_21_feb_202'!D161</f>
        <v>4</v>
      </c>
    </row>
    <row r="162" spans="1:4" x14ac:dyDescent="0.25">
      <c r="A162">
        <f>'Dr Dulari Data Entry_21_feb_202'!AF162</f>
        <v>1</v>
      </c>
      <c r="B162">
        <f>'Dr Dulari Data Entry_21_feb_202'!BC162</f>
        <v>10</v>
      </c>
      <c r="C162">
        <f>'Dr Dulari Data Entry_21_feb_202'!BG162</f>
        <v>0</v>
      </c>
      <c r="D162">
        <f>'Dr Dulari Data Entry_21_feb_202'!D162</f>
        <v>8</v>
      </c>
    </row>
    <row r="163" spans="1:4" x14ac:dyDescent="0.25">
      <c r="A163">
        <f>'Dr Dulari Data Entry_21_feb_202'!AF163</f>
        <v>1</v>
      </c>
      <c r="B163">
        <f>'Dr Dulari Data Entry_21_feb_202'!BC163</f>
        <v>9</v>
      </c>
      <c r="C163">
        <f>'Dr Dulari Data Entry_21_feb_202'!BG163</f>
        <v>0</v>
      </c>
      <c r="D163">
        <f>'Dr Dulari Data Entry_21_feb_202'!D163</f>
        <v>2</v>
      </c>
    </row>
    <row r="164" spans="1:4" x14ac:dyDescent="0.25">
      <c r="A164">
        <f>'Dr Dulari Data Entry_21_feb_202'!AF164</f>
        <v>1</v>
      </c>
      <c r="B164">
        <f>'Dr Dulari Data Entry_21_feb_202'!BC164</f>
        <v>10</v>
      </c>
      <c r="C164">
        <f>'Dr Dulari Data Entry_21_feb_202'!BG164</f>
        <v>0</v>
      </c>
      <c r="D164">
        <f>'Dr Dulari Data Entry_21_feb_202'!D164</f>
        <v>4</v>
      </c>
    </row>
    <row r="165" spans="1:4" x14ac:dyDescent="0.25">
      <c r="A165">
        <f>'Dr Dulari Data Entry_21_feb_202'!AF165</f>
        <v>1</v>
      </c>
      <c r="B165">
        <f>'Dr Dulari Data Entry_21_feb_202'!BC165</f>
        <v>8</v>
      </c>
      <c r="C165">
        <f>'Dr Dulari Data Entry_21_feb_202'!BG165</f>
        <v>2</v>
      </c>
      <c r="D165">
        <f>'Dr Dulari Data Entry_21_feb_202'!D165</f>
        <v>0</v>
      </c>
    </row>
    <row r="166" spans="1:4" x14ac:dyDescent="0.25">
      <c r="A166">
        <f>'Dr Dulari Data Entry_21_feb_202'!AF166</f>
        <v>1</v>
      </c>
      <c r="B166">
        <f>'Dr Dulari Data Entry_21_feb_202'!BC166</f>
        <v>10</v>
      </c>
      <c r="C166">
        <f>'Dr Dulari Data Entry_21_feb_202'!BG166</f>
        <v>0</v>
      </c>
      <c r="D166">
        <f>'Dr Dulari Data Entry_21_feb_202'!D166</f>
        <v>2</v>
      </c>
    </row>
    <row r="167" spans="1:4" x14ac:dyDescent="0.25">
      <c r="A167">
        <f>'Dr Dulari Data Entry_21_feb_202'!AF167</f>
        <v>1</v>
      </c>
      <c r="B167">
        <f>'Dr Dulari Data Entry_21_feb_202'!BC167</f>
        <v>10</v>
      </c>
      <c r="C167">
        <f>'Dr Dulari Data Entry_21_feb_202'!BG167</f>
        <v>1</v>
      </c>
      <c r="D167">
        <f>'Dr Dulari Data Entry_21_feb_202'!D167</f>
        <v>3</v>
      </c>
    </row>
    <row r="168" spans="1:4" x14ac:dyDescent="0.25">
      <c r="A168">
        <f>'Dr Dulari Data Entry_21_feb_202'!AF168</f>
        <v>1</v>
      </c>
      <c r="B168">
        <f>'Dr Dulari Data Entry_21_feb_202'!BC168</f>
        <v>10</v>
      </c>
      <c r="C168">
        <f>'Dr Dulari Data Entry_21_feb_202'!BG168</f>
        <v>0</v>
      </c>
      <c r="D168">
        <f>'Dr Dulari Data Entry_21_feb_202'!D168</f>
        <v>8</v>
      </c>
    </row>
    <row r="169" spans="1:4" x14ac:dyDescent="0.25">
      <c r="A169">
        <f>'Dr Dulari Data Entry_21_feb_202'!AF169</f>
        <v>1</v>
      </c>
      <c r="B169">
        <f>'Dr Dulari Data Entry_21_feb_202'!BC169</f>
        <v>10</v>
      </c>
      <c r="C169">
        <f>'Dr Dulari Data Entry_21_feb_202'!BG169</f>
        <v>2</v>
      </c>
      <c r="D169">
        <f>'Dr Dulari Data Entry_21_feb_202'!D169</f>
        <v>5</v>
      </c>
    </row>
    <row r="170" spans="1:4" x14ac:dyDescent="0.25">
      <c r="A170">
        <f>'Dr Dulari Data Entry_21_feb_202'!AF170</f>
        <v>1</v>
      </c>
      <c r="B170">
        <f>'Dr Dulari Data Entry_21_feb_202'!BC170</f>
        <v>9</v>
      </c>
      <c r="C170">
        <f>'Dr Dulari Data Entry_21_feb_202'!BG170</f>
        <v>0</v>
      </c>
      <c r="D170">
        <f>'Dr Dulari Data Entry_21_feb_202'!D170</f>
        <v>7</v>
      </c>
    </row>
    <row r="171" spans="1:4" x14ac:dyDescent="0.25">
      <c r="A171">
        <f>'Dr Dulari Data Entry_21_feb_202'!AF171</f>
        <v>1</v>
      </c>
      <c r="B171">
        <f>'Dr Dulari Data Entry_21_feb_202'!BC171</f>
        <v>10</v>
      </c>
      <c r="C171">
        <f>'Dr Dulari Data Entry_21_feb_202'!BG171</f>
        <v>0</v>
      </c>
      <c r="D171">
        <f>'Dr Dulari Data Entry_21_feb_202'!D171</f>
        <v>6</v>
      </c>
    </row>
    <row r="172" spans="1:4" x14ac:dyDescent="0.25">
      <c r="A172">
        <f>'Dr Dulari Data Entry_21_feb_202'!AF172</f>
        <v>1</v>
      </c>
      <c r="B172">
        <f>'Dr Dulari Data Entry_21_feb_202'!BC172</f>
        <v>9</v>
      </c>
      <c r="C172">
        <f>'Dr Dulari Data Entry_21_feb_202'!BG172</f>
        <v>6</v>
      </c>
      <c r="D172">
        <f>'Dr Dulari Data Entry_21_feb_202'!D172</f>
        <v>20</v>
      </c>
    </row>
    <row r="173" spans="1:4" x14ac:dyDescent="0.25">
      <c r="A173">
        <f>'Dr Dulari Data Entry_21_feb_202'!AF173</f>
        <v>1</v>
      </c>
      <c r="B173">
        <f>'Dr Dulari Data Entry_21_feb_202'!BC173</f>
        <v>10</v>
      </c>
      <c r="C173">
        <f>'Dr Dulari Data Entry_21_feb_202'!BG173</f>
        <v>0</v>
      </c>
      <c r="D173">
        <f>'Dr Dulari Data Entry_21_feb_202'!D173</f>
        <v>4</v>
      </c>
    </row>
    <row r="174" spans="1:4" x14ac:dyDescent="0.25">
      <c r="A174">
        <f>'Dr Dulari Data Entry_21_feb_202'!AF174</f>
        <v>1</v>
      </c>
      <c r="B174">
        <f>'Dr Dulari Data Entry_21_feb_202'!BC174</f>
        <v>4</v>
      </c>
      <c r="C174">
        <f>'Dr Dulari Data Entry_21_feb_202'!BG174</f>
        <v>0</v>
      </c>
      <c r="D174">
        <f>'Dr Dulari Data Entry_21_feb_202'!D174</f>
        <v>11</v>
      </c>
    </row>
    <row r="175" spans="1:4" x14ac:dyDescent="0.25">
      <c r="A175">
        <f>'Dr Dulari Data Entry_21_feb_202'!AF175</f>
        <v>1</v>
      </c>
      <c r="B175">
        <f>'Dr Dulari Data Entry_21_feb_202'!BC175</f>
        <v>10</v>
      </c>
      <c r="C175">
        <f>'Dr Dulari Data Entry_21_feb_202'!BG175</f>
        <v>0</v>
      </c>
      <c r="D175">
        <f>'Dr Dulari Data Entry_21_feb_202'!D175</f>
        <v>1</v>
      </c>
    </row>
    <row r="176" spans="1:4" x14ac:dyDescent="0.25">
      <c r="A176">
        <f>'Dr Dulari Data Entry_21_feb_202'!AF176</f>
        <v>1</v>
      </c>
      <c r="B176">
        <f>'Dr Dulari Data Entry_21_feb_202'!BC176</f>
        <v>8</v>
      </c>
      <c r="C176">
        <f>'Dr Dulari Data Entry_21_feb_202'!BG176</f>
        <v>6</v>
      </c>
      <c r="D176">
        <f>'Dr Dulari Data Entry_21_feb_202'!D176</f>
        <v>4</v>
      </c>
    </row>
    <row r="177" spans="1:4" x14ac:dyDescent="0.25">
      <c r="A177">
        <f>'Dr Dulari Data Entry_21_feb_202'!AF177</f>
        <v>1</v>
      </c>
      <c r="B177">
        <f>'Dr Dulari Data Entry_21_feb_202'!BC177</f>
        <v>9</v>
      </c>
      <c r="C177">
        <f>'Dr Dulari Data Entry_21_feb_202'!BG177</f>
        <v>0</v>
      </c>
      <c r="D177">
        <f>'Dr Dulari Data Entry_21_feb_202'!D177</f>
        <v>1</v>
      </c>
    </row>
    <row r="178" spans="1:4" x14ac:dyDescent="0.25">
      <c r="A178">
        <f>'Dr Dulari Data Entry_21_feb_202'!AF178</f>
        <v>1</v>
      </c>
      <c r="B178">
        <f>'Dr Dulari Data Entry_21_feb_202'!BC178</f>
        <v>9</v>
      </c>
      <c r="C178">
        <f>'Dr Dulari Data Entry_21_feb_202'!BG178</f>
        <v>0</v>
      </c>
      <c r="D178">
        <f>'Dr Dulari Data Entry_21_feb_202'!D178</f>
        <v>9</v>
      </c>
    </row>
    <row r="179" spans="1:4" x14ac:dyDescent="0.25">
      <c r="A179">
        <f>'Dr Dulari Data Entry_21_feb_202'!AF179</f>
        <v>1</v>
      </c>
      <c r="B179">
        <f>'Dr Dulari Data Entry_21_feb_202'!BC179</f>
        <v>9</v>
      </c>
      <c r="C179">
        <f>'Dr Dulari Data Entry_21_feb_202'!BG179</f>
        <v>1</v>
      </c>
      <c r="D179">
        <f>'Dr Dulari Data Entry_21_feb_202'!D179</f>
        <v>0</v>
      </c>
    </row>
    <row r="180" spans="1:4" x14ac:dyDescent="0.25">
      <c r="A180">
        <f>'Dr Dulari Data Entry_21_feb_202'!AF180</f>
        <v>1</v>
      </c>
      <c r="B180">
        <f>'Dr Dulari Data Entry_21_feb_202'!BC180</f>
        <v>9</v>
      </c>
      <c r="C180">
        <f>'Dr Dulari Data Entry_21_feb_202'!BG180</f>
        <v>5</v>
      </c>
      <c r="D180">
        <f>'Dr Dulari Data Entry_21_feb_202'!D180</f>
        <v>17</v>
      </c>
    </row>
    <row r="181" spans="1:4" x14ac:dyDescent="0.25">
      <c r="A181">
        <f>'Dr Dulari Data Entry_21_feb_202'!AF181</f>
        <v>1</v>
      </c>
      <c r="B181">
        <f>'Dr Dulari Data Entry_21_feb_202'!BC181</f>
        <v>6</v>
      </c>
      <c r="C181">
        <f>'Dr Dulari Data Entry_21_feb_202'!BG181</f>
        <v>0</v>
      </c>
      <c r="D181">
        <f>'Dr Dulari Data Entry_21_feb_202'!D181</f>
        <v>5</v>
      </c>
    </row>
    <row r="182" spans="1:4" x14ac:dyDescent="0.25">
      <c r="A182">
        <f>'Dr Dulari Data Entry_21_feb_202'!AF182</f>
        <v>1</v>
      </c>
      <c r="B182">
        <f>'Dr Dulari Data Entry_21_feb_202'!BC182</f>
        <v>9</v>
      </c>
      <c r="C182">
        <f>'Dr Dulari Data Entry_21_feb_202'!BG182</f>
        <v>0</v>
      </c>
      <c r="D182">
        <f>'Dr Dulari Data Entry_21_feb_202'!D182</f>
        <v>2</v>
      </c>
    </row>
    <row r="183" spans="1:4" x14ac:dyDescent="0.25">
      <c r="A183">
        <f>'Dr Dulari Data Entry_21_feb_202'!AF183</f>
        <v>1</v>
      </c>
      <c r="B183">
        <f>'Dr Dulari Data Entry_21_feb_202'!BC183</f>
        <v>9</v>
      </c>
      <c r="C183">
        <f>'Dr Dulari Data Entry_21_feb_202'!BG183</f>
        <v>1</v>
      </c>
      <c r="D183">
        <f>'Dr Dulari Data Entry_21_feb_202'!D183</f>
        <v>11</v>
      </c>
    </row>
    <row r="184" spans="1:4" x14ac:dyDescent="0.25">
      <c r="A184">
        <f>'Dr Dulari Data Entry_21_feb_202'!AF184</f>
        <v>1</v>
      </c>
      <c r="B184">
        <f>'Dr Dulari Data Entry_21_feb_202'!BC184</f>
        <v>4</v>
      </c>
      <c r="C184">
        <f>'Dr Dulari Data Entry_21_feb_202'!BG184</f>
        <v>0</v>
      </c>
      <c r="D184">
        <f>'Dr Dulari Data Entry_21_feb_202'!D184</f>
        <v>11</v>
      </c>
    </row>
    <row r="185" spans="1:4" x14ac:dyDescent="0.25">
      <c r="A185">
        <f>'Dr Dulari Data Entry_21_feb_202'!AF185</f>
        <v>1</v>
      </c>
      <c r="B185">
        <f>'Dr Dulari Data Entry_21_feb_202'!BC185</f>
        <v>9</v>
      </c>
      <c r="C185">
        <f>'Dr Dulari Data Entry_21_feb_202'!BG185</f>
        <v>0</v>
      </c>
      <c r="D185">
        <f>'Dr Dulari Data Entry_21_feb_202'!D185</f>
        <v>2</v>
      </c>
    </row>
    <row r="186" spans="1:4" x14ac:dyDescent="0.25">
      <c r="A186">
        <f>'Dr Dulari Data Entry_21_feb_202'!AF186</f>
        <v>0</v>
      </c>
      <c r="B186">
        <f>'Dr Dulari Data Entry_21_feb_202'!BC186</f>
        <v>9</v>
      </c>
      <c r="C186">
        <f>'Dr Dulari Data Entry_21_feb_202'!BG186</f>
        <v>1</v>
      </c>
      <c r="D186">
        <f>'Dr Dulari Data Entry_21_feb_202'!D186</f>
        <v>0</v>
      </c>
    </row>
    <row r="187" spans="1:4" x14ac:dyDescent="0.25">
      <c r="A187">
        <f>'Dr Dulari Data Entry_21_feb_202'!AF187</f>
        <v>0</v>
      </c>
      <c r="B187">
        <f>'Dr Dulari Data Entry_21_feb_202'!BC187</f>
        <v>10</v>
      </c>
      <c r="C187">
        <f>'Dr Dulari Data Entry_21_feb_202'!BG187</f>
        <v>0</v>
      </c>
      <c r="D187">
        <f>'Dr Dulari Data Entry_21_feb_202'!D187</f>
        <v>4</v>
      </c>
    </row>
    <row r="188" spans="1:4" x14ac:dyDescent="0.25">
      <c r="A188">
        <f>'Dr Dulari Data Entry_21_feb_202'!AF188</f>
        <v>0</v>
      </c>
      <c r="B188">
        <f>'Dr Dulari Data Entry_21_feb_202'!BC188</f>
        <v>9</v>
      </c>
      <c r="C188">
        <f>'Dr Dulari Data Entry_21_feb_202'!BG188</f>
        <v>0</v>
      </c>
      <c r="D188">
        <f>'Dr Dulari Data Entry_21_feb_202'!D188</f>
        <v>0</v>
      </c>
    </row>
    <row r="189" spans="1:4" x14ac:dyDescent="0.25">
      <c r="A189">
        <f>'Dr Dulari Data Entry_21_feb_202'!AF189</f>
        <v>0</v>
      </c>
      <c r="B189">
        <f>'Dr Dulari Data Entry_21_feb_202'!BC189</f>
        <v>10</v>
      </c>
      <c r="C189">
        <f>'Dr Dulari Data Entry_21_feb_202'!BG189</f>
        <v>0</v>
      </c>
      <c r="D189">
        <f>'Dr Dulari Data Entry_21_feb_202'!D189</f>
        <v>3</v>
      </c>
    </row>
    <row r="190" spans="1:4" x14ac:dyDescent="0.25">
      <c r="A190">
        <f>'Dr Dulari Data Entry_21_feb_202'!AF190</f>
        <v>0</v>
      </c>
      <c r="B190">
        <f>'Dr Dulari Data Entry_21_feb_202'!BC190</f>
        <v>10</v>
      </c>
      <c r="C190">
        <f>'Dr Dulari Data Entry_21_feb_202'!BG190</f>
        <v>1</v>
      </c>
      <c r="D190">
        <f>'Dr Dulari Data Entry_21_feb_202'!D190</f>
        <v>0</v>
      </c>
    </row>
    <row r="191" spans="1:4" x14ac:dyDescent="0.25">
      <c r="A191">
        <f>'Dr Dulari Data Entry_21_feb_202'!AF191</f>
        <v>0</v>
      </c>
      <c r="B191">
        <f>'Dr Dulari Data Entry_21_feb_202'!BC191</f>
        <v>9</v>
      </c>
      <c r="C191">
        <f>'Dr Dulari Data Entry_21_feb_202'!BG191</f>
        <v>3</v>
      </c>
      <c r="D191">
        <f>'Dr Dulari Data Entry_21_feb_202'!D191</f>
        <v>9</v>
      </c>
    </row>
    <row r="192" spans="1:4" x14ac:dyDescent="0.25">
      <c r="A192">
        <f>'Dr Dulari Data Entry_21_feb_202'!AF192</f>
        <v>0</v>
      </c>
      <c r="B192">
        <f>'Dr Dulari Data Entry_21_feb_202'!BC192</f>
        <v>10</v>
      </c>
      <c r="C192">
        <f>'Dr Dulari Data Entry_21_feb_202'!BG192</f>
        <v>2</v>
      </c>
      <c r="D192">
        <f>'Dr Dulari Data Entry_21_feb_202'!D192</f>
        <v>13</v>
      </c>
    </row>
    <row r="193" spans="1:4" x14ac:dyDescent="0.25">
      <c r="A193">
        <f>'Dr Dulari Data Entry_21_feb_202'!AF193</f>
        <v>0</v>
      </c>
      <c r="B193">
        <f>'Dr Dulari Data Entry_21_feb_202'!BC193</f>
        <v>10</v>
      </c>
      <c r="C193">
        <f>'Dr Dulari Data Entry_21_feb_202'!BG193</f>
        <v>2</v>
      </c>
      <c r="D193">
        <f>'Dr Dulari Data Entry_21_feb_202'!D193</f>
        <v>0</v>
      </c>
    </row>
    <row r="194" spans="1:4" x14ac:dyDescent="0.25">
      <c r="A194">
        <f>'Dr Dulari Data Entry_21_feb_202'!AF194</f>
        <v>0</v>
      </c>
      <c r="B194">
        <f>'Dr Dulari Data Entry_21_feb_202'!BC194</f>
        <v>10</v>
      </c>
      <c r="C194">
        <f>'Dr Dulari Data Entry_21_feb_202'!BG194</f>
        <v>6</v>
      </c>
      <c r="D194">
        <f>'Dr Dulari Data Entry_21_feb_202'!D194</f>
        <v>11</v>
      </c>
    </row>
    <row r="195" spans="1:4" x14ac:dyDescent="0.25">
      <c r="A195">
        <f>'Dr Dulari Data Entry_21_feb_202'!AF195</f>
        <v>0</v>
      </c>
      <c r="B195">
        <f>'Dr Dulari Data Entry_21_feb_202'!BC195</f>
        <v>10</v>
      </c>
      <c r="C195">
        <f>'Dr Dulari Data Entry_21_feb_202'!BG195</f>
        <v>1</v>
      </c>
      <c r="D195">
        <f>'Dr Dulari Data Entry_21_feb_202'!D195</f>
        <v>0</v>
      </c>
    </row>
    <row r="196" spans="1:4" x14ac:dyDescent="0.25">
      <c r="A196">
        <f>'Dr Dulari Data Entry_21_feb_202'!AF196</f>
        <v>0</v>
      </c>
      <c r="B196">
        <f>'Dr Dulari Data Entry_21_feb_202'!BC196</f>
        <v>9</v>
      </c>
      <c r="C196">
        <f>'Dr Dulari Data Entry_21_feb_202'!BG196</f>
        <v>1</v>
      </c>
      <c r="D196">
        <f>'Dr Dulari Data Entry_21_feb_202'!D196</f>
        <v>2</v>
      </c>
    </row>
    <row r="197" spans="1:4" x14ac:dyDescent="0.25">
      <c r="A197">
        <f>'Dr Dulari Data Entry_21_feb_202'!AF197</f>
        <v>0</v>
      </c>
      <c r="B197">
        <f>'Dr Dulari Data Entry_21_feb_202'!BC197</f>
        <v>9</v>
      </c>
      <c r="C197">
        <f>'Dr Dulari Data Entry_21_feb_202'!BG197</f>
        <v>0</v>
      </c>
      <c r="D197">
        <f>'Dr Dulari Data Entry_21_feb_202'!D197</f>
        <v>3</v>
      </c>
    </row>
    <row r="198" spans="1:4" x14ac:dyDescent="0.25">
      <c r="A198">
        <f>'Dr Dulari Data Entry_21_feb_202'!AF198</f>
        <v>0</v>
      </c>
      <c r="B198">
        <f>'Dr Dulari Data Entry_21_feb_202'!BC198</f>
        <v>10</v>
      </c>
      <c r="C198">
        <f>'Dr Dulari Data Entry_21_feb_202'!BG198</f>
        <v>4</v>
      </c>
      <c r="D198">
        <f>'Dr Dulari Data Entry_21_feb_202'!D198</f>
        <v>9</v>
      </c>
    </row>
    <row r="199" spans="1:4" x14ac:dyDescent="0.25">
      <c r="A199">
        <f>'Dr Dulari Data Entry_21_feb_202'!AF199</f>
        <v>0</v>
      </c>
      <c r="B199">
        <f>'Dr Dulari Data Entry_21_feb_202'!BC199</f>
        <v>5</v>
      </c>
      <c r="C199">
        <f>'Dr Dulari Data Entry_21_feb_202'!BG199</f>
        <v>1</v>
      </c>
      <c r="D199">
        <f>'Dr Dulari Data Entry_21_feb_202'!D199</f>
        <v>0</v>
      </c>
    </row>
    <row r="200" spans="1:4" x14ac:dyDescent="0.25">
      <c r="A200">
        <f>'Dr Dulari Data Entry_21_feb_202'!AF200</f>
        <v>0</v>
      </c>
      <c r="B200">
        <f>'Dr Dulari Data Entry_21_feb_202'!BC200</f>
        <v>10</v>
      </c>
      <c r="C200">
        <f>'Dr Dulari Data Entry_21_feb_202'!BG200</f>
        <v>4</v>
      </c>
      <c r="D200">
        <f>'Dr Dulari Data Entry_21_feb_202'!D200</f>
        <v>10</v>
      </c>
    </row>
    <row r="201" spans="1:4" x14ac:dyDescent="0.25">
      <c r="A201">
        <f>'Dr Dulari Data Entry_21_feb_202'!AF201</f>
        <v>0</v>
      </c>
      <c r="B201">
        <f>'Dr Dulari Data Entry_21_feb_202'!BC201</f>
        <v>9</v>
      </c>
      <c r="C201">
        <f>'Dr Dulari Data Entry_21_feb_202'!BG201</f>
        <v>1</v>
      </c>
      <c r="D201">
        <f>'Dr Dulari Data Entry_21_feb_202'!D201</f>
        <v>4</v>
      </c>
    </row>
    <row r="202" spans="1:4" x14ac:dyDescent="0.25">
      <c r="A202">
        <f>'Dr Dulari Data Entry_21_feb_202'!AF202</f>
        <v>0</v>
      </c>
      <c r="B202">
        <f>'Dr Dulari Data Entry_21_feb_202'!BC202</f>
        <v>10</v>
      </c>
      <c r="C202">
        <f>'Dr Dulari Data Entry_21_feb_202'!BG202</f>
        <v>0</v>
      </c>
      <c r="D202">
        <f>'Dr Dulari Data Entry_21_feb_202'!D202</f>
        <v>2</v>
      </c>
    </row>
    <row r="203" spans="1:4" x14ac:dyDescent="0.25">
      <c r="A203">
        <f>'Dr Dulari Data Entry_21_feb_202'!AF203</f>
        <v>0</v>
      </c>
      <c r="B203">
        <f>'Dr Dulari Data Entry_21_feb_202'!BC203</f>
        <v>10</v>
      </c>
      <c r="C203">
        <f>'Dr Dulari Data Entry_21_feb_202'!BG203</f>
        <v>0</v>
      </c>
      <c r="D203">
        <f>'Dr Dulari Data Entry_21_feb_202'!D203</f>
        <v>6</v>
      </c>
    </row>
    <row r="204" spans="1:4" x14ac:dyDescent="0.25">
      <c r="A204">
        <f>'Dr Dulari Data Entry_21_feb_202'!AF204</f>
        <v>0</v>
      </c>
      <c r="B204">
        <f>'Dr Dulari Data Entry_21_feb_202'!BC204</f>
        <v>10</v>
      </c>
      <c r="C204">
        <f>'Dr Dulari Data Entry_21_feb_202'!BG204</f>
        <v>0</v>
      </c>
      <c r="D204">
        <f>'Dr Dulari Data Entry_21_feb_202'!D204</f>
        <v>1</v>
      </c>
    </row>
    <row r="205" spans="1:4" x14ac:dyDescent="0.25">
      <c r="A205">
        <f>'Dr Dulari Data Entry_21_feb_202'!AF205</f>
        <v>0</v>
      </c>
      <c r="B205">
        <f>'Dr Dulari Data Entry_21_feb_202'!BC205</f>
        <v>10</v>
      </c>
      <c r="C205">
        <f>'Dr Dulari Data Entry_21_feb_202'!BG205</f>
        <v>6</v>
      </c>
      <c r="D205">
        <f>'Dr Dulari Data Entry_21_feb_202'!D205</f>
        <v>0</v>
      </c>
    </row>
    <row r="206" spans="1:4" x14ac:dyDescent="0.25">
      <c r="A206">
        <f>'Dr Dulari Data Entry_21_feb_202'!AF206</f>
        <v>0</v>
      </c>
      <c r="B206">
        <f>'Dr Dulari Data Entry_21_feb_202'!BC206</f>
        <v>9</v>
      </c>
      <c r="C206">
        <f>'Dr Dulari Data Entry_21_feb_202'!BG206</f>
        <v>1</v>
      </c>
      <c r="D206">
        <f>'Dr Dulari Data Entry_21_feb_202'!D206</f>
        <v>2</v>
      </c>
    </row>
    <row r="207" spans="1:4" x14ac:dyDescent="0.25">
      <c r="A207">
        <f>'Dr Dulari Data Entry_21_feb_202'!AF207</f>
        <v>0</v>
      </c>
      <c r="B207">
        <f>'Dr Dulari Data Entry_21_feb_202'!BC207</f>
        <v>8</v>
      </c>
      <c r="C207">
        <f>'Dr Dulari Data Entry_21_feb_202'!BG207</f>
        <v>4</v>
      </c>
      <c r="D207">
        <f>'Dr Dulari Data Entry_21_feb_202'!D207</f>
        <v>0</v>
      </c>
    </row>
    <row r="208" spans="1:4" x14ac:dyDescent="0.25">
      <c r="A208">
        <f>'Dr Dulari Data Entry_21_feb_202'!AF208</f>
        <v>0</v>
      </c>
      <c r="B208">
        <f>'Dr Dulari Data Entry_21_feb_202'!BC208</f>
        <v>9</v>
      </c>
      <c r="C208">
        <f>'Dr Dulari Data Entry_21_feb_202'!BG208</f>
        <v>1</v>
      </c>
      <c r="D208">
        <f>'Dr Dulari Data Entry_21_feb_202'!D208</f>
        <v>0</v>
      </c>
    </row>
    <row r="209" spans="1:4" x14ac:dyDescent="0.25">
      <c r="A209">
        <f>'Dr Dulari Data Entry_21_feb_202'!AF209</f>
        <v>0</v>
      </c>
      <c r="B209">
        <f>'Dr Dulari Data Entry_21_feb_202'!BC209</f>
        <v>10</v>
      </c>
      <c r="C209">
        <f>'Dr Dulari Data Entry_21_feb_202'!BG209</f>
        <v>0</v>
      </c>
      <c r="D209">
        <f>'Dr Dulari Data Entry_21_feb_202'!D209</f>
        <v>0</v>
      </c>
    </row>
    <row r="210" spans="1:4" x14ac:dyDescent="0.25">
      <c r="A210">
        <f>'Dr Dulari Data Entry_21_feb_202'!AF210</f>
        <v>0</v>
      </c>
      <c r="B210">
        <f>'Dr Dulari Data Entry_21_feb_202'!BC210</f>
        <v>10</v>
      </c>
      <c r="C210">
        <f>'Dr Dulari Data Entry_21_feb_202'!BG210</f>
        <v>1</v>
      </c>
      <c r="D210">
        <f>'Dr Dulari Data Entry_21_feb_202'!D210</f>
        <v>0</v>
      </c>
    </row>
    <row r="211" spans="1:4" x14ac:dyDescent="0.25">
      <c r="A211">
        <f>'Dr Dulari Data Entry_21_feb_202'!AF211</f>
        <v>0</v>
      </c>
      <c r="B211">
        <f>'Dr Dulari Data Entry_21_feb_202'!BC211</f>
        <v>10</v>
      </c>
      <c r="C211">
        <f>'Dr Dulari Data Entry_21_feb_202'!BG211</f>
        <v>0</v>
      </c>
      <c r="D211">
        <f>'Dr Dulari Data Entry_21_feb_202'!D211</f>
        <v>6</v>
      </c>
    </row>
    <row r="212" spans="1:4" x14ac:dyDescent="0.25">
      <c r="A212">
        <f>'Dr Dulari Data Entry_21_feb_202'!AF212</f>
        <v>0</v>
      </c>
      <c r="B212">
        <f>'Dr Dulari Data Entry_21_feb_202'!BC212</f>
        <v>9</v>
      </c>
      <c r="C212">
        <f>'Dr Dulari Data Entry_21_feb_202'!BG212</f>
        <v>0</v>
      </c>
      <c r="D212">
        <f>'Dr Dulari Data Entry_21_feb_202'!D212</f>
        <v>5</v>
      </c>
    </row>
    <row r="213" spans="1:4" x14ac:dyDescent="0.25">
      <c r="A213">
        <f>'Dr Dulari Data Entry_21_feb_202'!AF213</f>
        <v>0</v>
      </c>
      <c r="B213">
        <f>'Dr Dulari Data Entry_21_feb_202'!BC213</f>
        <v>9</v>
      </c>
      <c r="C213">
        <f>'Dr Dulari Data Entry_21_feb_202'!BG213</f>
        <v>0</v>
      </c>
      <c r="D213">
        <f>'Dr Dulari Data Entry_21_feb_202'!D213</f>
        <v>8</v>
      </c>
    </row>
    <row r="214" spans="1:4" x14ac:dyDescent="0.25">
      <c r="A214">
        <f>'Dr Dulari Data Entry_21_feb_202'!AF214</f>
        <v>0</v>
      </c>
      <c r="B214">
        <f>'Dr Dulari Data Entry_21_feb_202'!BC214</f>
        <v>9</v>
      </c>
      <c r="C214">
        <f>'Dr Dulari Data Entry_21_feb_202'!BG214</f>
        <v>1</v>
      </c>
      <c r="D214">
        <f>'Dr Dulari Data Entry_21_feb_202'!D214</f>
        <v>10</v>
      </c>
    </row>
    <row r="215" spans="1:4" x14ac:dyDescent="0.25">
      <c r="A215">
        <f>'Dr Dulari Data Entry_21_feb_202'!AF215</f>
        <v>0</v>
      </c>
      <c r="B215">
        <f>'Dr Dulari Data Entry_21_feb_202'!BC215</f>
        <v>10</v>
      </c>
      <c r="C215">
        <f>'Dr Dulari Data Entry_21_feb_202'!BG215</f>
        <v>1</v>
      </c>
      <c r="D215">
        <f>'Dr Dulari Data Entry_21_feb_202'!D215</f>
        <v>2</v>
      </c>
    </row>
    <row r="216" spans="1:4" x14ac:dyDescent="0.25">
      <c r="A216">
        <f>'Dr Dulari Data Entry_21_feb_202'!AF216</f>
        <v>0</v>
      </c>
      <c r="B216">
        <f>'Dr Dulari Data Entry_21_feb_202'!BC216</f>
        <v>8</v>
      </c>
      <c r="C216">
        <f>'Dr Dulari Data Entry_21_feb_202'!BG216</f>
        <v>6</v>
      </c>
      <c r="D216">
        <f>'Dr Dulari Data Entry_21_feb_202'!D216</f>
        <v>27</v>
      </c>
    </row>
    <row r="217" spans="1:4" x14ac:dyDescent="0.25">
      <c r="A217">
        <f>'Dr Dulari Data Entry_21_feb_202'!AF217</f>
        <v>0</v>
      </c>
      <c r="B217">
        <f>'Dr Dulari Data Entry_21_feb_202'!BC217</f>
        <v>6</v>
      </c>
      <c r="C217">
        <f>'Dr Dulari Data Entry_21_feb_202'!BG217</f>
        <v>0</v>
      </c>
      <c r="D217">
        <f>'Dr Dulari Data Entry_21_feb_202'!D217</f>
        <v>0</v>
      </c>
    </row>
    <row r="218" spans="1:4" x14ac:dyDescent="0.25">
      <c r="A218">
        <f>'Dr Dulari Data Entry_21_feb_202'!AF218</f>
        <v>0</v>
      </c>
      <c r="B218">
        <f>'Dr Dulari Data Entry_21_feb_202'!BC218</f>
        <v>9</v>
      </c>
      <c r="C218">
        <f>'Dr Dulari Data Entry_21_feb_202'!BG218</f>
        <v>1</v>
      </c>
      <c r="D218">
        <f>'Dr Dulari Data Entry_21_feb_202'!D218</f>
        <v>0</v>
      </c>
    </row>
    <row r="219" spans="1:4" x14ac:dyDescent="0.25">
      <c r="A219">
        <f>'Dr Dulari Data Entry_21_feb_202'!AF219</f>
        <v>0</v>
      </c>
      <c r="B219">
        <f>'Dr Dulari Data Entry_21_feb_202'!BC219</f>
        <v>8</v>
      </c>
      <c r="C219">
        <f>'Dr Dulari Data Entry_21_feb_202'!BG219</f>
        <v>4</v>
      </c>
      <c r="D219">
        <f>'Dr Dulari Data Entry_21_feb_202'!D219</f>
        <v>7</v>
      </c>
    </row>
    <row r="220" spans="1:4" x14ac:dyDescent="0.25">
      <c r="A220">
        <f>'Dr Dulari Data Entry_21_feb_202'!AF220</f>
        <v>0</v>
      </c>
      <c r="B220">
        <f>'Dr Dulari Data Entry_21_feb_202'!BC220</f>
        <v>6</v>
      </c>
      <c r="C220">
        <f>'Dr Dulari Data Entry_21_feb_202'!BG220</f>
        <v>1</v>
      </c>
      <c r="D220">
        <f>'Dr Dulari Data Entry_21_feb_202'!D220</f>
        <v>10</v>
      </c>
    </row>
    <row r="221" spans="1:4" x14ac:dyDescent="0.25">
      <c r="A221">
        <f>'Dr Dulari Data Entry_21_feb_202'!AF221</f>
        <v>0</v>
      </c>
      <c r="B221">
        <f>'Dr Dulari Data Entry_21_feb_202'!BC221</f>
        <v>9</v>
      </c>
      <c r="C221">
        <f>'Dr Dulari Data Entry_21_feb_202'!BG221</f>
        <v>6</v>
      </c>
      <c r="D221">
        <f>'Dr Dulari Data Entry_21_feb_202'!D221</f>
        <v>10</v>
      </c>
    </row>
    <row r="222" spans="1:4" x14ac:dyDescent="0.25">
      <c r="A222">
        <f>'Dr Dulari Data Entry_21_feb_202'!AF222</f>
        <v>0</v>
      </c>
      <c r="B222">
        <f>'Dr Dulari Data Entry_21_feb_202'!BC222</f>
        <v>9</v>
      </c>
      <c r="C222">
        <f>'Dr Dulari Data Entry_21_feb_202'!BG222</f>
        <v>4</v>
      </c>
      <c r="D222">
        <f>'Dr Dulari Data Entry_21_feb_202'!D222</f>
        <v>11</v>
      </c>
    </row>
    <row r="223" spans="1:4" x14ac:dyDescent="0.25">
      <c r="A223">
        <f>'Dr Dulari Data Entry_21_feb_202'!AF223</f>
        <v>0</v>
      </c>
      <c r="B223">
        <f>'Dr Dulari Data Entry_21_feb_202'!BC223</f>
        <v>9</v>
      </c>
      <c r="C223">
        <f>'Dr Dulari Data Entry_21_feb_202'!BG223</f>
        <v>6</v>
      </c>
      <c r="D223">
        <f>'Dr Dulari Data Entry_21_feb_202'!D223</f>
        <v>15</v>
      </c>
    </row>
    <row r="224" spans="1:4" x14ac:dyDescent="0.25">
      <c r="A224">
        <f>'Dr Dulari Data Entry_21_feb_202'!AF224</f>
        <v>0</v>
      </c>
      <c r="B224">
        <f>'Dr Dulari Data Entry_21_feb_202'!BC224</f>
        <v>9</v>
      </c>
      <c r="C224">
        <f>'Dr Dulari Data Entry_21_feb_202'!BG224</f>
        <v>6</v>
      </c>
      <c r="D224">
        <f>'Dr Dulari Data Entry_21_feb_202'!D224</f>
        <v>9</v>
      </c>
    </row>
    <row r="225" spans="1:4" x14ac:dyDescent="0.25">
      <c r="A225">
        <f>'Dr Dulari Data Entry_21_feb_202'!AF225</f>
        <v>0</v>
      </c>
      <c r="B225">
        <f>'Dr Dulari Data Entry_21_feb_202'!BC225</f>
        <v>9</v>
      </c>
      <c r="C225">
        <f>'Dr Dulari Data Entry_21_feb_202'!BG225</f>
        <v>3</v>
      </c>
      <c r="D225">
        <f>'Dr Dulari Data Entry_21_feb_202'!D225</f>
        <v>0</v>
      </c>
    </row>
    <row r="226" spans="1:4" x14ac:dyDescent="0.25">
      <c r="A226">
        <f>'Dr Dulari Data Entry_21_feb_202'!AF226</f>
        <v>0</v>
      </c>
      <c r="B226">
        <f>'Dr Dulari Data Entry_21_feb_202'!BC226</f>
        <v>8</v>
      </c>
      <c r="C226">
        <f>'Dr Dulari Data Entry_21_feb_202'!BG226</f>
        <v>5</v>
      </c>
      <c r="D226">
        <f>'Dr Dulari Data Entry_21_feb_202'!D226</f>
        <v>24</v>
      </c>
    </row>
    <row r="227" spans="1:4" x14ac:dyDescent="0.25">
      <c r="A227">
        <f>'Dr Dulari Data Entry_21_feb_202'!AF227</f>
        <v>0</v>
      </c>
      <c r="B227">
        <f>'Dr Dulari Data Entry_21_feb_202'!BC227</f>
        <v>9</v>
      </c>
      <c r="C227">
        <f>'Dr Dulari Data Entry_21_feb_202'!BG227</f>
        <v>2</v>
      </c>
      <c r="D227">
        <f>'Dr Dulari Data Entry_21_feb_202'!D227</f>
        <v>14</v>
      </c>
    </row>
    <row r="228" spans="1:4" x14ac:dyDescent="0.25">
      <c r="A228">
        <f>'Dr Dulari Data Entry_21_feb_202'!AF228</f>
        <v>0</v>
      </c>
      <c r="B228">
        <f>'Dr Dulari Data Entry_21_feb_202'!BC228</f>
        <v>1</v>
      </c>
      <c r="C228">
        <f>'Dr Dulari Data Entry_21_feb_202'!BG228</f>
        <v>2</v>
      </c>
      <c r="D228">
        <f>'Dr Dulari Data Entry_21_feb_202'!D228</f>
        <v>6</v>
      </c>
    </row>
    <row r="229" spans="1:4" x14ac:dyDescent="0.25">
      <c r="A229">
        <f>'Dr Dulari Data Entry_21_feb_202'!AF229</f>
        <v>0</v>
      </c>
      <c r="B229">
        <f>'Dr Dulari Data Entry_21_feb_202'!BC229</f>
        <v>9</v>
      </c>
      <c r="C229">
        <f>'Dr Dulari Data Entry_21_feb_202'!BG229</f>
        <v>6</v>
      </c>
      <c r="D229">
        <f>'Dr Dulari Data Entry_21_feb_202'!D229</f>
        <v>0</v>
      </c>
    </row>
    <row r="230" spans="1:4" x14ac:dyDescent="0.25">
      <c r="A230">
        <f>'Dr Dulari Data Entry_21_feb_202'!AF230</f>
        <v>0</v>
      </c>
      <c r="B230">
        <f>'Dr Dulari Data Entry_21_feb_202'!BC230</f>
        <v>7</v>
      </c>
      <c r="C230">
        <f>'Dr Dulari Data Entry_21_feb_202'!BG230</f>
        <v>6</v>
      </c>
      <c r="D230">
        <f>'Dr Dulari Data Entry_21_feb_202'!D230</f>
        <v>9</v>
      </c>
    </row>
    <row r="231" spans="1:4" x14ac:dyDescent="0.25">
      <c r="A231">
        <f>'Dr Dulari Data Entry_21_feb_202'!AF231</f>
        <v>0</v>
      </c>
      <c r="B231">
        <f>'Dr Dulari Data Entry_21_feb_202'!BC231</f>
        <v>5</v>
      </c>
      <c r="C231">
        <f>'Dr Dulari Data Entry_21_feb_202'!BG231</f>
        <v>6</v>
      </c>
      <c r="D231">
        <f>'Dr Dulari Data Entry_21_feb_202'!D231</f>
        <v>11</v>
      </c>
    </row>
    <row r="232" spans="1:4" x14ac:dyDescent="0.25">
      <c r="A232">
        <f>'Dr Dulari Data Entry_21_feb_202'!AF232</f>
        <v>0</v>
      </c>
      <c r="B232">
        <f>'Dr Dulari Data Entry_21_feb_202'!BC232</f>
        <v>6</v>
      </c>
      <c r="C232">
        <f>'Dr Dulari Data Entry_21_feb_202'!BG232</f>
        <v>6</v>
      </c>
      <c r="D232">
        <f>'Dr Dulari Data Entry_21_feb_202'!D232</f>
        <v>0</v>
      </c>
    </row>
    <row r="233" spans="1:4" x14ac:dyDescent="0.25">
      <c r="A233">
        <f>'Dr Dulari Data Entry_21_feb_202'!AF233</f>
        <v>0</v>
      </c>
      <c r="B233">
        <f>'Dr Dulari Data Entry_21_feb_202'!BC233</f>
        <v>2</v>
      </c>
      <c r="C233">
        <f>'Dr Dulari Data Entry_21_feb_202'!BG233</f>
        <v>6</v>
      </c>
      <c r="D233">
        <f>'Dr Dulari Data Entry_21_feb_202'!D233</f>
        <v>24</v>
      </c>
    </row>
    <row r="234" spans="1:4" x14ac:dyDescent="0.25">
      <c r="A234">
        <f>'Dr Dulari Data Entry_21_feb_202'!AF234</f>
        <v>0</v>
      </c>
      <c r="B234">
        <f>'Dr Dulari Data Entry_21_feb_202'!BC234</f>
        <v>6</v>
      </c>
      <c r="C234">
        <f>'Dr Dulari Data Entry_21_feb_202'!BG234</f>
        <v>0</v>
      </c>
      <c r="D234">
        <f>'Dr Dulari Data Entry_21_feb_202'!D234</f>
        <v>0</v>
      </c>
    </row>
    <row r="235" spans="1:4" x14ac:dyDescent="0.25">
      <c r="A235">
        <f>'Dr Dulari Data Entry_21_feb_202'!AF235</f>
        <v>0</v>
      </c>
      <c r="B235">
        <f>'Dr Dulari Data Entry_21_feb_202'!BC235</f>
        <v>9</v>
      </c>
      <c r="C235">
        <f>'Dr Dulari Data Entry_21_feb_202'!BG235</f>
        <v>0</v>
      </c>
      <c r="D235">
        <f>'Dr Dulari Data Entry_21_feb_202'!D235</f>
        <v>0</v>
      </c>
    </row>
    <row r="236" spans="1:4" x14ac:dyDescent="0.25">
      <c r="A236">
        <f>'Dr Dulari Data Entry_21_feb_202'!AF236</f>
        <v>0</v>
      </c>
      <c r="B236">
        <f>'Dr Dulari Data Entry_21_feb_202'!BC236</f>
        <v>9</v>
      </c>
      <c r="C236">
        <f>'Dr Dulari Data Entry_21_feb_202'!BG236</f>
        <v>0</v>
      </c>
      <c r="D236">
        <f>'Dr Dulari Data Entry_21_feb_202'!D236</f>
        <v>0</v>
      </c>
    </row>
    <row r="237" spans="1:4" x14ac:dyDescent="0.25">
      <c r="A237">
        <f>'Dr Dulari Data Entry_21_feb_202'!AF237</f>
        <v>0</v>
      </c>
      <c r="B237">
        <f>'Dr Dulari Data Entry_21_feb_202'!BC237</f>
        <v>10</v>
      </c>
      <c r="C237">
        <f>'Dr Dulari Data Entry_21_feb_202'!BG237</f>
        <v>0</v>
      </c>
      <c r="D237">
        <f>'Dr Dulari Data Entry_21_feb_202'!D237</f>
        <v>2</v>
      </c>
    </row>
    <row r="238" spans="1:4" x14ac:dyDescent="0.25">
      <c r="A238">
        <f>'Dr Dulari Data Entry_21_feb_202'!AF238</f>
        <v>0</v>
      </c>
      <c r="B238">
        <f>'Dr Dulari Data Entry_21_feb_202'!BC238</f>
        <v>9</v>
      </c>
      <c r="C238">
        <f>'Dr Dulari Data Entry_21_feb_202'!BG238</f>
        <v>1</v>
      </c>
      <c r="D238">
        <f>'Dr Dulari Data Entry_21_feb_202'!D238</f>
        <v>16</v>
      </c>
    </row>
    <row r="239" spans="1:4" x14ac:dyDescent="0.25">
      <c r="A239">
        <f>'Dr Dulari Data Entry_21_feb_202'!AF239</f>
        <v>0</v>
      </c>
      <c r="B239">
        <f>'Dr Dulari Data Entry_21_feb_202'!BC239</f>
        <v>8</v>
      </c>
      <c r="C239">
        <f>'Dr Dulari Data Entry_21_feb_202'!BG239</f>
        <v>2</v>
      </c>
      <c r="D239">
        <f>'Dr Dulari Data Entry_21_feb_202'!D239</f>
        <v>6</v>
      </c>
    </row>
    <row r="240" spans="1:4" x14ac:dyDescent="0.25">
      <c r="A240">
        <f>'Dr Dulari Data Entry_21_feb_202'!AF240</f>
        <v>0</v>
      </c>
      <c r="B240">
        <f>'Dr Dulari Data Entry_21_feb_202'!BC240</f>
        <v>9</v>
      </c>
      <c r="C240">
        <f>'Dr Dulari Data Entry_21_feb_202'!BG240</f>
        <v>2</v>
      </c>
      <c r="D240">
        <f>'Dr Dulari Data Entry_21_feb_202'!D240</f>
        <v>0</v>
      </c>
    </row>
    <row r="241" spans="1:4" x14ac:dyDescent="0.25">
      <c r="A241">
        <f>'Dr Dulari Data Entry_21_feb_202'!AF241</f>
        <v>0</v>
      </c>
      <c r="B241">
        <f>'Dr Dulari Data Entry_21_feb_202'!BC241</f>
        <v>9</v>
      </c>
      <c r="C241">
        <f>'Dr Dulari Data Entry_21_feb_202'!BG241</f>
        <v>6</v>
      </c>
      <c r="D241">
        <f>'Dr Dulari Data Entry_21_feb_202'!D241</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6AE8-3506-4BDA-BB24-ABED122B53E8}">
  <dimension ref="A1:BY233"/>
  <sheetViews>
    <sheetView zoomScale="66" zoomScaleNormal="66" workbookViewId="0">
      <pane xSplit="2" ySplit="2" topLeftCell="AY209" activePane="bottomRight" state="frozen"/>
      <selection pane="topRight" activeCell="C1" sqref="C1"/>
      <selection pane="bottomLeft" activeCell="A3" sqref="A3"/>
      <selection pane="bottomRight" activeCell="BL217" sqref="BL217"/>
    </sheetView>
  </sheetViews>
  <sheetFormatPr defaultRowHeight="15" x14ac:dyDescent="0.25"/>
  <cols>
    <col min="2" max="2" width="15.140625" customWidth="1"/>
    <col min="6" max="6" width="13.140625" customWidth="1"/>
    <col min="9" max="9" width="12.140625" customWidth="1"/>
    <col min="11" max="11" width="12" customWidth="1"/>
    <col min="12" max="12" width="13.5703125" customWidth="1"/>
  </cols>
  <sheetData>
    <row r="1" spans="1:77" x14ac:dyDescent="0.25">
      <c r="A1">
        <f ca="1">A1:BO1</f>
        <v>0</v>
      </c>
      <c r="B1" t="s">
        <v>724</v>
      </c>
      <c r="F1" s="3" t="s">
        <v>725</v>
      </c>
      <c r="G1" t="s">
        <v>815</v>
      </c>
      <c r="H1" t="s">
        <v>816</v>
      </c>
      <c r="I1" t="s">
        <v>817</v>
      </c>
      <c r="J1" t="s">
        <v>818</v>
      </c>
      <c r="K1" t="s">
        <v>819</v>
      </c>
      <c r="L1" t="s">
        <v>820</v>
      </c>
      <c r="M1" t="s">
        <v>821</v>
      </c>
      <c r="O1" t="s">
        <v>822</v>
      </c>
      <c r="P1" t="s">
        <v>823</v>
      </c>
      <c r="Q1" t="s">
        <v>824</v>
      </c>
      <c r="R1" t="s">
        <v>736</v>
      </c>
      <c r="S1" t="s">
        <v>825</v>
      </c>
      <c r="T1" t="s">
        <v>826</v>
      </c>
      <c r="U1" t="s">
        <v>827</v>
      </c>
      <c r="V1" t="s">
        <v>828</v>
      </c>
      <c r="W1" t="s">
        <v>829</v>
      </c>
      <c r="X1" t="s">
        <v>830</v>
      </c>
      <c r="Y1" t="s">
        <v>831</v>
      </c>
      <c r="Z1" t="s">
        <v>832</v>
      </c>
      <c r="AA1" t="s">
        <v>833</v>
      </c>
      <c r="AB1" t="s">
        <v>745</v>
      </c>
      <c r="AC1" t="s">
        <v>746</v>
      </c>
      <c r="AD1" t="s">
        <v>834</v>
      </c>
      <c r="AE1" t="s">
        <v>748</v>
      </c>
      <c r="AF1" t="s">
        <v>749</v>
      </c>
      <c r="AG1" t="s">
        <v>835</v>
      </c>
      <c r="AH1" t="s">
        <v>836</v>
      </c>
      <c r="AI1" t="s">
        <v>751</v>
      </c>
      <c r="AJ1" t="s">
        <v>837</v>
      </c>
      <c r="AK1" t="s">
        <v>838</v>
      </c>
      <c r="AL1" t="s">
        <v>839</v>
      </c>
      <c r="AM1" t="s">
        <v>840</v>
      </c>
      <c r="AO1" t="s">
        <v>841</v>
      </c>
      <c r="AQ1" t="s">
        <v>842</v>
      </c>
      <c r="AS1" t="s">
        <v>843</v>
      </c>
      <c r="AT1" t="s">
        <v>844</v>
      </c>
      <c r="AU1" t="s">
        <v>761</v>
      </c>
      <c r="AV1" t="s">
        <v>845</v>
      </c>
      <c r="AW1" t="s">
        <v>846</v>
      </c>
      <c r="AY1" t="s">
        <v>847</v>
      </c>
      <c r="AZ1" t="s">
        <v>848</v>
      </c>
      <c r="BA1" t="s">
        <v>849</v>
      </c>
      <c r="BB1" t="s">
        <v>850</v>
      </c>
      <c r="BC1" t="s">
        <v>851</v>
      </c>
      <c r="BD1" t="s">
        <v>852</v>
      </c>
      <c r="BE1" t="s">
        <v>853</v>
      </c>
      <c r="BF1" t="s">
        <v>773</v>
      </c>
      <c r="BG1" t="s">
        <v>854</v>
      </c>
    </row>
    <row r="2" spans="1:77" ht="75" x14ac:dyDescent="0.25">
      <c r="A2" s="4" t="s">
        <v>571</v>
      </c>
      <c r="B2" s="4" t="s">
        <v>724</v>
      </c>
      <c r="C2" s="4" t="s">
        <v>855</v>
      </c>
      <c r="D2" s="5" t="s">
        <v>569</v>
      </c>
      <c r="E2" s="5" t="s">
        <v>570</v>
      </c>
      <c r="F2" s="6" t="s">
        <v>725</v>
      </c>
      <c r="G2" s="4" t="s">
        <v>726</v>
      </c>
      <c r="H2" s="4" t="s">
        <v>727</v>
      </c>
      <c r="I2" s="7" t="s">
        <v>728</v>
      </c>
      <c r="J2" s="4" t="s">
        <v>729</v>
      </c>
      <c r="K2" s="7" t="s">
        <v>730</v>
      </c>
      <c r="L2" s="7" t="s">
        <v>731</v>
      </c>
      <c r="M2" s="4" t="s">
        <v>732</v>
      </c>
      <c r="N2" s="4" t="s">
        <v>733</v>
      </c>
      <c r="O2" s="4" t="s">
        <v>734</v>
      </c>
      <c r="P2" s="4" t="s">
        <v>735</v>
      </c>
      <c r="Q2" s="4" t="s">
        <v>609</v>
      </c>
      <c r="R2" s="4" t="s">
        <v>736</v>
      </c>
      <c r="S2" s="4" t="s">
        <v>738</v>
      </c>
      <c r="T2" s="4" t="s">
        <v>737</v>
      </c>
      <c r="U2" s="4" t="s">
        <v>739</v>
      </c>
      <c r="V2" s="4" t="s">
        <v>740</v>
      </c>
      <c r="W2" s="4" t="s">
        <v>741</v>
      </c>
      <c r="X2" s="4" t="s">
        <v>742</v>
      </c>
      <c r="Y2" s="4" t="s">
        <v>793</v>
      </c>
      <c r="Z2" s="4" t="s">
        <v>743</v>
      </c>
      <c r="AA2" s="4" t="s">
        <v>744</v>
      </c>
      <c r="AB2" s="4" t="s">
        <v>745</v>
      </c>
      <c r="AC2" s="4" t="s">
        <v>746</v>
      </c>
      <c r="AD2" s="4" t="s">
        <v>747</v>
      </c>
      <c r="AE2" s="4" t="s">
        <v>748</v>
      </c>
      <c r="AF2" s="4" t="s">
        <v>749</v>
      </c>
      <c r="AG2" s="4" t="s">
        <v>835</v>
      </c>
      <c r="AH2" s="4" t="s">
        <v>750</v>
      </c>
      <c r="AI2" s="4" t="s">
        <v>751</v>
      </c>
      <c r="AJ2" s="4" t="s">
        <v>752</v>
      </c>
      <c r="AK2" s="4" t="s">
        <v>753</v>
      </c>
      <c r="AL2" s="4" t="s">
        <v>839</v>
      </c>
      <c r="AM2" s="4" t="s">
        <v>754</v>
      </c>
      <c r="AN2" s="5" t="s">
        <v>755</v>
      </c>
      <c r="AO2" s="4" t="s">
        <v>756</v>
      </c>
      <c r="AP2" s="5" t="s">
        <v>757</v>
      </c>
      <c r="AQ2" s="4" t="s">
        <v>758</v>
      </c>
      <c r="AR2" s="5" t="s">
        <v>759</v>
      </c>
      <c r="AS2" s="4" t="s">
        <v>760</v>
      </c>
      <c r="AT2" s="4" t="s">
        <v>761</v>
      </c>
      <c r="AU2" s="4" t="s">
        <v>762</v>
      </c>
      <c r="AV2" s="4" t="s">
        <v>763</v>
      </c>
      <c r="AW2" s="4" t="s">
        <v>764</v>
      </c>
      <c r="AX2" s="4" t="s">
        <v>765</v>
      </c>
      <c r="AY2" s="4" t="s">
        <v>766</v>
      </c>
      <c r="AZ2" s="4" t="s">
        <v>767</v>
      </c>
      <c r="BA2" s="4" t="s">
        <v>768</v>
      </c>
      <c r="BB2" s="4" t="s">
        <v>769</v>
      </c>
      <c r="BC2" s="4" t="s">
        <v>770</v>
      </c>
      <c r="BD2" s="4" t="s">
        <v>771</v>
      </c>
      <c r="BE2" s="4" t="s">
        <v>772</v>
      </c>
      <c r="BF2" s="4" t="s">
        <v>773</v>
      </c>
      <c r="BG2" s="4" t="s">
        <v>774</v>
      </c>
      <c r="BH2" s="5" t="s">
        <v>775</v>
      </c>
      <c r="BI2" s="5" t="s">
        <v>776</v>
      </c>
      <c r="BJ2" s="5" t="s">
        <v>777</v>
      </c>
      <c r="BK2" s="5" t="s">
        <v>778</v>
      </c>
      <c r="BL2" s="5" t="s">
        <v>779</v>
      </c>
      <c r="BM2" s="5" t="s">
        <v>780</v>
      </c>
      <c r="BN2" s="5" t="s">
        <v>781</v>
      </c>
      <c r="BO2" s="5" t="s">
        <v>782</v>
      </c>
      <c r="BP2" s="5" t="s">
        <v>783</v>
      </c>
      <c r="BQ2" s="5" t="s">
        <v>784</v>
      </c>
      <c r="BR2" s="5" t="s">
        <v>785</v>
      </c>
      <c r="BS2" s="5" t="s">
        <v>786</v>
      </c>
      <c r="BT2" s="5" t="s">
        <v>787</v>
      </c>
      <c r="BU2" s="5" t="s">
        <v>788</v>
      </c>
      <c r="BV2" s="5" t="s">
        <v>789</v>
      </c>
      <c r="BW2" s="5" t="s">
        <v>790</v>
      </c>
      <c r="BX2" s="5" t="s">
        <v>791</v>
      </c>
      <c r="BY2" s="5" t="s">
        <v>792</v>
      </c>
    </row>
    <row r="3" spans="1:77" ht="315" x14ac:dyDescent="0.25">
      <c r="A3" t="s">
        <v>715</v>
      </c>
      <c r="B3" t="s">
        <v>517</v>
      </c>
      <c r="C3" t="s">
        <v>1115</v>
      </c>
      <c r="D3">
        <v>0</v>
      </c>
      <c r="E3">
        <v>22.627199999999998</v>
      </c>
      <c r="F3" s="3">
        <v>240000052028</v>
      </c>
      <c r="G3">
        <v>72</v>
      </c>
      <c r="H3">
        <v>1</v>
      </c>
      <c r="I3" s="1">
        <v>45456</v>
      </c>
      <c r="J3" s="2">
        <v>0.70833333333333337</v>
      </c>
      <c r="K3" s="1">
        <v>45456</v>
      </c>
      <c r="L3" s="1">
        <v>45468</v>
      </c>
      <c r="M3">
        <v>9766846207</v>
      </c>
      <c r="O3">
        <v>22</v>
      </c>
      <c r="P3">
        <v>1</v>
      </c>
      <c r="Q3">
        <v>1</v>
      </c>
      <c r="R3">
        <v>2</v>
      </c>
      <c r="S3">
        <v>2</v>
      </c>
      <c r="T3">
        <v>2</v>
      </c>
      <c r="U3">
        <v>2</v>
      </c>
      <c r="V3">
        <v>2</v>
      </c>
      <c r="W3">
        <v>2</v>
      </c>
      <c r="X3">
        <v>2</v>
      </c>
      <c r="Y3">
        <v>2</v>
      </c>
      <c r="AA3">
        <v>14.5</v>
      </c>
      <c r="AB3">
        <v>43.1</v>
      </c>
      <c r="AC3">
        <v>87.6</v>
      </c>
      <c r="AD3">
        <v>19.559999999999999</v>
      </c>
      <c r="AE3">
        <v>5.9</v>
      </c>
      <c r="AK3">
        <v>186</v>
      </c>
      <c r="AO3" s="4" t="s">
        <v>113</v>
      </c>
      <c r="AQ3" s="4" t="s">
        <v>518</v>
      </c>
      <c r="AS3">
        <v>9</v>
      </c>
      <c r="AT3">
        <v>1</v>
      </c>
      <c r="AU3">
        <v>2</v>
      </c>
      <c r="AV3">
        <v>1</v>
      </c>
      <c r="AW3">
        <v>4</v>
      </c>
      <c r="AY3">
        <v>1</v>
      </c>
      <c r="AZ3">
        <v>2</v>
      </c>
      <c r="BA3">
        <v>1</v>
      </c>
      <c r="BB3">
        <v>2</v>
      </c>
      <c r="BD3">
        <v>1</v>
      </c>
      <c r="BE3">
        <v>2</v>
      </c>
      <c r="BF3">
        <v>1</v>
      </c>
      <c r="BG3">
        <v>85</v>
      </c>
      <c r="BH3">
        <v>0</v>
      </c>
      <c r="BI3">
        <v>0</v>
      </c>
      <c r="BJ3">
        <v>0</v>
      </c>
      <c r="BK3">
        <v>0</v>
      </c>
      <c r="BL3">
        <v>0</v>
      </c>
      <c r="BM3">
        <v>0</v>
      </c>
      <c r="BN3">
        <v>0</v>
      </c>
      <c r="BO3">
        <v>0</v>
      </c>
      <c r="BP3">
        <v>0</v>
      </c>
      <c r="BQ3">
        <v>0</v>
      </c>
      <c r="BR3">
        <v>0</v>
      </c>
      <c r="BS3">
        <v>1</v>
      </c>
      <c r="BT3">
        <v>1</v>
      </c>
      <c r="BU3">
        <v>1</v>
      </c>
      <c r="BV3">
        <v>3</v>
      </c>
      <c r="BW3">
        <v>0</v>
      </c>
      <c r="BX3">
        <v>1</v>
      </c>
      <c r="BY3">
        <v>0</v>
      </c>
    </row>
    <row r="4" spans="1:77" ht="345" x14ac:dyDescent="0.25">
      <c r="A4" t="s">
        <v>721</v>
      </c>
      <c r="B4" t="s">
        <v>495</v>
      </c>
      <c r="C4" t="s">
        <v>1107</v>
      </c>
      <c r="D4">
        <v>0</v>
      </c>
      <c r="E4">
        <v>131.59800000000001</v>
      </c>
      <c r="F4" s="3">
        <v>240000050700</v>
      </c>
      <c r="G4">
        <v>82</v>
      </c>
      <c r="H4">
        <v>1</v>
      </c>
      <c r="I4" s="1">
        <v>45452</v>
      </c>
      <c r="J4" s="2">
        <v>0.41666666666666669</v>
      </c>
      <c r="K4" s="1">
        <v>45452</v>
      </c>
      <c r="M4">
        <v>7058587361</v>
      </c>
      <c r="O4">
        <v>22</v>
      </c>
      <c r="P4">
        <v>1</v>
      </c>
      <c r="Q4">
        <v>1</v>
      </c>
      <c r="R4">
        <v>2</v>
      </c>
      <c r="S4">
        <v>2</v>
      </c>
      <c r="T4">
        <v>2</v>
      </c>
      <c r="U4">
        <v>2</v>
      </c>
      <c r="V4">
        <v>2</v>
      </c>
      <c r="W4">
        <v>1</v>
      </c>
      <c r="X4">
        <v>2</v>
      </c>
      <c r="Y4">
        <v>2</v>
      </c>
      <c r="Z4" t="s">
        <v>279</v>
      </c>
      <c r="AA4">
        <v>15.6</v>
      </c>
      <c r="AB4">
        <v>45.9</v>
      </c>
      <c r="AC4">
        <v>89.4</v>
      </c>
      <c r="AD4">
        <v>9.93</v>
      </c>
      <c r="AE4">
        <v>8.1999999999999993</v>
      </c>
      <c r="AK4">
        <v>1335</v>
      </c>
      <c r="AO4" s="4" t="s">
        <v>496</v>
      </c>
      <c r="AQ4" s="4" t="s">
        <v>497</v>
      </c>
      <c r="AS4">
        <v>9</v>
      </c>
      <c r="AT4">
        <v>1</v>
      </c>
      <c r="AU4">
        <v>2</v>
      </c>
      <c r="AV4">
        <v>1</v>
      </c>
      <c r="AW4">
        <v>1</v>
      </c>
      <c r="AY4">
        <v>1</v>
      </c>
      <c r="AZ4">
        <v>2</v>
      </c>
      <c r="BA4">
        <v>1</v>
      </c>
      <c r="BB4">
        <v>2</v>
      </c>
      <c r="BD4">
        <v>2</v>
      </c>
      <c r="BE4">
        <v>2</v>
      </c>
      <c r="BF4">
        <v>6</v>
      </c>
      <c r="BG4">
        <v>0</v>
      </c>
      <c r="BH4">
        <v>0</v>
      </c>
      <c r="BI4">
        <v>0</v>
      </c>
      <c r="BJ4">
        <v>0</v>
      </c>
      <c r="BK4">
        <v>0</v>
      </c>
      <c r="BL4">
        <v>0</v>
      </c>
      <c r="BM4">
        <v>0</v>
      </c>
      <c r="BN4">
        <v>0</v>
      </c>
      <c r="BO4">
        <v>1</v>
      </c>
      <c r="BP4">
        <v>2</v>
      </c>
      <c r="BQ4">
        <v>0</v>
      </c>
      <c r="BR4">
        <v>0</v>
      </c>
      <c r="BS4">
        <v>0</v>
      </c>
      <c r="BT4">
        <v>0</v>
      </c>
      <c r="BU4">
        <v>0</v>
      </c>
      <c r="BV4">
        <v>3</v>
      </c>
      <c r="BW4">
        <v>1</v>
      </c>
      <c r="BX4">
        <v>1</v>
      </c>
      <c r="BY4">
        <v>0</v>
      </c>
    </row>
    <row r="5" spans="1:77" ht="345" x14ac:dyDescent="0.25">
      <c r="A5" t="s">
        <v>718</v>
      </c>
      <c r="B5" t="s">
        <v>505</v>
      </c>
      <c r="C5" t="s">
        <v>505</v>
      </c>
      <c r="D5">
        <v>0</v>
      </c>
      <c r="E5">
        <v>73.494699999999995</v>
      </c>
      <c r="F5" s="3">
        <v>240000049153</v>
      </c>
      <c r="G5">
        <v>46</v>
      </c>
      <c r="H5">
        <v>1</v>
      </c>
      <c r="I5" s="1">
        <v>45446</v>
      </c>
      <c r="J5" s="2">
        <v>0.3125</v>
      </c>
      <c r="K5" s="1">
        <v>45446</v>
      </c>
      <c r="L5" s="1">
        <v>45449</v>
      </c>
      <c r="M5">
        <v>9822757106</v>
      </c>
      <c r="O5">
        <v>3</v>
      </c>
      <c r="P5">
        <v>1</v>
      </c>
      <c r="Q5">
        <v>2</v>
      </c>
      <c r="R5">
        <v>2</v>
      </c>
      <c r="S5">
        <v>2</v>
      </c>
      <c r="T5">
        <v>2</v>
      </c>
      <c r="U5">
        <v>2</v>
      </c>
      <c r="V5">
        <v>2</v>
      </c>
      <c r="W5">
        <v>2</v>
      </c>
      <c r="X5">
        <v>2</v>
      </c>
      <c r="Y5">
        <v>2</v>
      </c>
      <c r="AA5">
        <v>14.2</v>
      </c>
      <c r="AB5">
        <v>43.9</v>
      </c>
      <c r="AC5">
        <v>82.6</v>
      </c>
      <c r="AD5">
        <v>9</v>
      </c>
      <c r="AE5">
        <v>5.5</v>
      </c>
      <c r="AF5">
        <v>161</v>
      </c>
      <c r="AG5">
        <v>88</v>
      </c>
      <c r="AH5">
        <v>46</v>
      </c>
      <c r="AI5">
        <v>132</v>
      </c>
      <c r="AJ5">
        <v>26</v>
      </c>
      <c r="AO5" s="4" t="s">
        <v>506</v>
      </c>
      <c r="AQ5" s="4" t="s">
        <v>507</v>
      </c>
      <c r="AS5">
        <v>6</v>
      </c>
      <c r="AT5">
        <v>1</v>
      </c>
      <c r="AU5">
        <v>2</v>
      </c>
      <c r="AV5">
        <v>2</v>
      </c>
      <c r="AW5">
        <v>2</v>
      </c>
      <c r="AY5">
        <v>1</v>
      </c>
      <c r="AZ5">
        <v>1</v>
      </c>
      <c r="BA5">
        <v>2</v>
      </c>
      <c r="BC5">
        <v>3</v>
      </c>
      <c r="BD5">
        <v>2</v>
      </c>
      <c r="BE5">
        <v>2</v>
      </c>
      <c r="BF5">
        <v>0</v>
      </c>
      <c r="BG5">
        <v>100</v>
      </c>
      <c r="BH5">
        <v>0</v>
      </c>
      <c r="BI5">
        <v>0</v>
      </c>
      <c r="BJ5">
        <v>0</v>
      </c>
      <c r="BK5">
        <v>0</v>
      </c>
      <c r="BL5">
        <v>0</v>
      </c>
      <c r="BM5">
        <v>0</v>
      </c>
      <c r="BN5">
        <v>0</v>
      </c>
      <c r="BO5">
        <v>0</v>
      </c>
      <c r="BP5">
        <v>0</v>
      </c>
      <c r="BQ5">
        <v>2</v>
      </c>
      <c r="BR5">
        <v>2</v>
      </c>
      <c r="BS5">
        <v>1</v>
      </c>
      <c r="BT5">
        <v>1</v>
      </c>
      <c r="BU5">
        <v>1</v>
      </c>
      <c r="BV5">
        <v>7</v>
      </c>
      <c r="BW5">
        <v>1</v>
      </c>
      <c r="BX5">
        <v>1</v>
      </c>
      <c r="BY5">
        <v>0</v>
      </c>
    </row>
    <row r="6" spans="1:77" x14ac:dyDescent="0.25">
      <c r="A6" t="s">
        <v>921</v>
      </c>
      <c r="B6" t="s">
        <v>862</v>
      </c>
      <c r="C6" t="s">
        <v>1134</v>
      </c>
      <c r="D6">
        <v>0</v>
      </c>
      <c r="E6">
        <v>194.16800000000001</v>
      </c>
      <c r="F6" s="3">
        <v>240000079901</v>
      </c>
      <c r="G6">
        <v>83</v>
      </c>
      <c r="H6">
        <v>1</v>
      </c>
      <c r="I6" s="1">
        <v>45549</v>
      </c>
      <c r="J6" s="2">
        <v>0.76388888888888884</v>
      </c>
      <c r="K6" s="1">
        <v>45549</v>
      </c>
      <c r="L6" s="1">
        <v>45552</v>
      </c>
      <c r="M6">
        <v>9766054422</v>
      </c>
      <c r="P6">
        <v>1</v>
      </c>
      <c r="Q6">
        <v>1</v>
      </c>
      <c r="R6">
        <v>2</v>
      </c>
      <c r="S6">
        <v>2</v>
      </c>
      <c r="T6">
        <v>2</v>
      </c>
      <c r="U6">
        <v>2</v>
      </c>
      <c r="V6">
        <v>1</v>
      </c>
      <c r="W6">
        <v>2</v>
      </c>
      <c r="X6">
        <v>2</v>
      </c>
      <c r="Y6">
        <v>1</v>
      </c>
      <c r="Z6" t="s">
        <v>863</v>
      </c>
      <c r="AA6">
        <v>11.8</v>
      </c>
      <c r="AB6">
        <v>42</v>
      </c>
      <c r="AE6">
        <v>9.1</v>
      </c>
      <c r="AF6">
        <v>120</v>
      </c>
      <c r="AG6">
        <v>62</v>
      </c>
      <c r="AH6">
        <v>25</v>
      </c>
      <c r="AI6">
        <v>165</v>
      </c>
      <c r="AJ6">
        <v>33</v>
      </c>
      <c r="AO6" t="s">
        <v>864</v>
      </c>
      <c r="AQ6" t="s">
        <v>865</v>
      </c>
      <c r="AS6">
        <v>7</v>
      </c>
      <c r="AT6">
        <v>1</v>
      </c>
      <c r="AU6">
        <v>2</v>
      </c>
      <c r="AV6">
        <v>1</v>
      </c>
      <c r="AW6">
        <v>1</v>
      </c>
      <c r="AY6">
        <v>1</v>
      </c>
      <c r="AZ6">
        <v>2</v>
      </c>
      <c r="BA6">
        <v>2</v>
      </c>
      <c r="BC6">
        <v>4</v>
      </c>
      <c r="BD6">
        <v>2</v>
      </c>
      <c r="BE6">
        <v>2</v>
      </c>
      <c r="BF6">
        <v>6</v>
      </c>
      <c r="BG6">
        <v>0</v>
      </c>
      <c r="BH6">
        <v>0</v>
      </c>
      <c r="BI6">
        <v>2</v>
      </c>
      <c r="BJ6">
        <v>2</v>
      </c>
      <c r="BK6">
        <v>0</v>
      </c>
      <c r="BL6">
        <v>1</v>
      </c>
      <c r="BM6">
        <v>1</v>
      </c>
      <c r="BN6">
        <v>1</v>
      </c>
      <c r="BO6">
        <v>0</v>
      </c>
      <c r="BP6">
        <v>0</v>
      </c>
      <c r="BQ6">
        <v>0</v>
      </c>
      <c r="BR6">
        <v>0</v>
      </c>
      <c r="BS6">
        <v>0</v>
      </c>
      <c r="BT6">
        <v>0</v>
      </c>
      <c r="BU6">
        <v>0</v>
      </c>
      <c r="BV6">
        <v>7</v>
      </c>
      <c r="BW6">
        <v>1</v>
      </c>
      <c r="BX6">
        <v>1</v>
      </c>
      <c r="BY6" t="s">
        <v>1110</v>
      </c>
    </row>
    <row r="7" spans="1:77" x14ac:dyDescent="0.25">
      <c r="A7" t="s">
        <v>968</v>
      </c>
      <c r="B7" t="s">
        <v>349</v>
      </c>
      <c r="C7" t="s">
        <v>1066</v>
      </c>
      <c r="D7">
        <v>1</v>
      </c>
      <c r="E7">
        <v>53.894500000000001</v>
      </c>
      <c r="F7" s="3">
        <v>24000001332</v>
      </c>
      <c r="G7">
        <v>50</v>
      </c>
      <c r="H7">
        <v>1</v>
      </c>
      <c r="I7" s="1">
        <v>45294</v>
      </c>
      <c r="J7" s="2">
        <v>0.26041666666666669</v>
      </c>
      <c r="K7" s="1">
        <v>45294</v>
      </c>
      <c r="L7" s="1">
        <v>45306</v>
      </c>
      <c r="M7">
        <v>7822843581</v>
      </c>
      <c r="O7">
        <v>24</v>
      </c>
      <c r="P7">
        <v>1</v>
      </c>
      <c r="Q7">
        <v>2</v>
      </c>
      <c r="R7">
        <v>2</v>
      </c>
      <c r="S7">
        <v>1</v>
      </c>
      <c r="T7">
        <v>2</v>
      </c>
      <c r="U7">
        <v>2</v>
      </c>
      <c r="V7">
        <v>2</v>
      </c>
      <c r="W7">
        <v>2</v>
      </c>
      <c r="X7">
        <v>2</v>
      </c>
      <c r="Y7">
        <v>2</v>
      </c>
      <c r="Z7" t="s">
        <v>350</v>
      </c>
      <c r="AA7">
        <v>13.5</v>
      </c>
      <c r="AB7">
        <v>41</v>
      </c>
      <c r="AC7">
        <v>97.2</v>
      </c>
      <c r="AD7">
        <v>33.42</v>
      </c>
      <c r="AE7">
        <v>5.6</v>
      </c>
      <c r="AF7">
        <v>115</v>
      </c>
      <c r="AG7">
        <v>64.400000000000006</v>
      </c>
      <c r="AH7">
        <v>31</v>
      </c>
      <c r="AI7">
        <v>98</v>
      </c>
      <c r="AJ7">
        <v>19.600000000000001</v>
      </c>
      <c r="AK7">
        <v>156</v>
      </c>
      <c r="AQ7" t="s">
        <v>351</v>
      </c>
      <c r="AS7">
        <v>8</v>
      </c>
      <c r="AT7">
        <v>2</v>
      </c>
      <c r="AU7">
        <v>1</v>
      </c>
      <c r="AV7">
        <v>1</v>
      </c>
      <c r="AW7">
        <v>3</v>
      </c>
      <c r="AY7">
        <v>1</v>
      </c>
      <c r="AZ7">
        <v>2</v>
      </c>
      <c r="BA7">
        <v>1</v>
      </c>
      <c r="BB7">
        <v>1</v>
      </c>
      <c r="BD7">
        <v>2</v>
      </c>
      <c r="BE7">
        <v>2</v>
      </c>
      <c r="BF7">
        <v>4</v>
      </c>
      <c r="BG7">
        <v>25</v>
      </c>
      <c r="BH7">
        <v>0</v>
      </c>
      <c r="BI7">
        <v>0</v>
      </c>
      <c r="BJ7">
        <v>0</v>
      </c>
      <c r="BK7">
        <v>0</v>
      </c>
      <c r="BL7">
        <v>0</v>
      </c>
      <c r="BM7">
        <v>0</v>
      </c>
      <c r="BN7">
        <v>0</v>
      </c>
      <c r="BO7">
        <v>0</v>
      </c>
      <c r="BP7">
        <v>0</v>
      </c>
      <c r="BQ7">
        <v>0</v>
      </c>
      <c r="BR7">
        <v>0</v>
      </c>
      <c r="BS7">
        <v>0</v>
      </c>
      <c r="BT7">
        <v>0</v>
      </c>
      <c r="BU7">
        <v>1</v>
      </c>
      <c r="BV7">
        <v>1</v>
      </c>
      <c r="BW7">
        <v>0</v>
      </c>
      <c r="BX7">
        <v>1</v>
      </c>
      <c r="BY7">
        <v>0</v>
      </c>
    </row>
    <row r="8" spans="1:77" ht="165" x14ac:dyDescent="0.25">
      <c r="A8" t="s">
        <v>574</v>
      </c>
      <c r="B8" t="s">
        <v>357</v>
      </c>
      <c r="C8" t="s">
        <v>357</v>
      </c>
      <c r="D8">
        <v>0</v>
      </c>
      <c r="E8">
        <v>80.183000000000007</v>
      </c>
      <c r="F8" s="3">
        <v>240000013172</v>
      </c>
      <c r="G8">
        <v>85</v>
      </c>
      <c r="H8">
        <v>2</v>
      </c>
      <c r="I8" s="1">
        <v>45328</v>
      </c>
      <c r="J8" s="2">
        <v>0.23124999999999998</v>
      </c>
      <c r="K8" s="1">
        <v>45328</v>
      </c>
      <c r="L8" s="1">
        <v>45337</v>
      </c>
      <c r="M8">
        <v>7058983347</v>
      </c>
      <c r="O8">
        <v>21</v>
      </c>
      <c r="P8">
        <v>1</v>
      </c>
      <c r="Q8">
        <v>2</v>
      </c>
      <c r="R8">
        <v>2</v>
      </c>
      <c r="S8">
        <v>2</v>
      </c>
      <c r="T8">
        <v>2</v>
      </c>
      <c r="U8">
        <v>2</v>
      </c>
      <c r="V8">
        <v>2</v>
      </c>
      <c r="W8">
        <v>2</v>
      </c>
      <c r="X8">
        <v>2</v>
      </c>
      <c r="Y8">
        <v>2</v>
      </c>
      <c r="Z8" t="s">
        <v>358</v>
      </c>
      <c r="AO8" s="4" t="s">
        <v>359</v>
      </c>
      <c r="AQ8" s="4"/>
      <c r="AS8">
        <v>7</v>
      </c>
      <c r="AT8">
        <v>2</v>
      </c>
      <c r="AU8">
        <v>2</v>
      </c>
      <c r="AV8">
        <v>1</v>
      </c>
      <c r="AW8">
        <v>3</v>
      </c>
      <c r="AY8">
        <v>1</v>
      </c>
      <c r="BA8">
        <v>1</v>
      </c>
      <c r="BB8">
        <v>1</v>
      </c>
      <c r="BC8">
        <v>4</v>
      </c>
      <c r="BD8">
        <v>2</v>
      </c>
      <c r="BE8">
        <v>2</v>
      </c>
      <c r="BF8">
        <v>6</v>
      </c>
      <c r="BG8">
        <v>0</v>
      </c>
      <c r="BH8">
        <v>0</v>
      </c>
      <c r="BI8">
        <v>0</v>
      </c>
      <c r="BJ8">
        <v>0</v>
      </c>
      <c r="BK8">
        <v>0</v>
      </c>
      <c r="BL8">
        <v>0</v>
      </c>
      <c r="BM8">
        <v>0</v>
      </c>
      <c r="BN8">
        <v>0</v>
      </c>
      <c r="BO8">
        <v>0</v>
      </c>
      <c r="BP8">
        <v>2</v>
      </c>
      <c r="BQ8">
        <v>0</v>
      </c>
      <c r="BR8">
        <v>0</v>
      </c>
      <c r="BS8">
        <v>0</v>
      </c>
      <c r="BT8">
        <v>0</v>
      </c>
      <c r="BU8">
        <v>1</v>
      </c>
      <c r="BV8">
        <v>3</v>
      </c>
      <c r="BW8">
        <v>0</v>
      </c>
      <c r="BX8">
        <v>1</v>
      </c>
      <c r="BY8" t="s">
        <v>1026</v>
      </c>
    </row>
    <row r="9" spans="1:77" ht="165" x14ac:dyDescent="0.25">
      <c r="A9" t="s">
        <v>655</v>
      </c>
      <c r="B9" t="s">
        <v>551</v>
      </c>
      <c r="C9" t="s">
        <v>1124</v>
      </c>
      <c r="D9">
        <v>0</v>
      </c>
      <c r="E9">
        <v>157.51300000000001</v>
      </c>
      <c r="F9" s="3">
        <v>240000065472</v>
      </c>
      <c r="G9">
        <v>45</v>
      </c>
      <c r="H9">
        <v>1</v>
      </c>
      <c r="I9" s="1">
        <v>45501</v>
      </c>
      <c r="J9" s="2">
        <v>0.58333333333333337</v>
      </c>
      <c r="K9" s="1">
        <v>45501</v>
      </c>
      <c r="L9" s="1">
        <v>45518</v>
      </c>
      <c r="M9">
        <v>8518971856</v>
      </c>
      <c r="O9">
        <v>12</v>
      </c>
      <c r="P9">
        <v>2</v>
      </c>
      <c r="Q9">
        <v>2</v>
      </c>
      <c r="R9">
        <v>1</v>
      </c>
      <c r="S9">
        <v>1</v>
      </c>
      <c r="T9">
        <v>2</v>
      </c>
      <c r="U9">
        <v>2</v>
      </c>
      <c r="V9">
        <v>2</v>
      </c>
      <c r="W9">
        <v>2</v>
      </c>
      <c r="X9">
        <v>2</v>
      </c>
      <c r="Y9">
        <v>2</v>
      </c>
      <c r="Z9" t="s">
        <v>552</v>
      </c>
      <c r="AA9">
        <v>16</v>
      </c>
      <c r="AB9">
        <v>48.3</v>
      </c>
      <c r="AC9">
        <v>99.6</v>
      </c>
      <c r="AD9">
        <v>16.739999999999998</v>
      </c>
      <c r="AE9">
        <v>4.5</v>
      </c>
      <c r="AF9">
        <v>125</v>
      </c>
      <c r="AG9">
        <v>66.8</v>
      </c>
      <c r="AH9">
        <v>48</v>
      </c>
      <c r="AI9">
        <v>51</v>
      </c>
      <c r="AJ9">
        <v>10.199999999999999</v>
      </c>
      <c r="AK9">
        <v>151</v>
      </c>
      <c r="AO9" s="4" t="s">
        <v>553</v>
      </c>
      <c r="AQ9" s="4" t="s">
        <v>554</v>
      </c>
      <c r="AS9">
        <v>8</v>
      </c>
      <c r="AT9">
        <v>2</v>
      </c>
      <c r="AU9">
        <v>2</v>
      </c>
      <c r="AV9">
        <v>2</v>
      </c>
      <c r="AW9">
        <v>2</v>
      </c>
      <c r="AY9">
        <v>1</v>
      </c>
      <c r="AZ9">
        <v>1</v>
      </c>
      <c r="BA9">
        <v>1</v>
      </c>
      <c r="BB9">
        <v>1</v>
      </c>
      <c r="BD9">
        <v>1</v>
      </c>
      <c r="BE9">
        <v>1</v>
      </c>
      <c r="BF9">
        <v>4</v>
      </c>
      <c r="BG9">
        <v>45</v>
      </c>
      <c r="BH9">
        <v>0</v>
      </c>
      <c r="BI9">
        <v>0</v>
      </c>
      <c r="BJ9">
        <v>0</v>
      </c>
      <c r="BK9">
        <v>0</v>
      </c>
      <c r="BL9">
        <v>1</v>
      </c>
      <c r="BM9">
        <v>1</v>
      </c>
      <c r="BN9">
        <v>1</v>
      </c>
      <c r="BO9">
        <v>0</v>
      </c>
      <c r="BP9">
        <v>0</v>
      </c>
      <c r="BQ9">
        <v>0</v>
      </c>
      <c r="BR9">
        <v>0</v>
      </c>
      <c r="BS9">
        <v>0</v>
      </c>
      <c r="BT9">
        <v>0</v>
      </c>
      <c r="BU9">
        <v>0</v>
      </c>
      <c r="BV9">
        <v>3</v>
      </c>
      <c r="BW9">
        <v>1</v>
      </c>
      <c r="BX9">
        <v>0</v>
      </c>
      <c r="BY9">
        <v>0</v>
      </c>
    </row>
    <row r="10" spans="1:77" ht="375" x14ac:dyDescent="0.25">
      <c r="A10" t="s">
        <v>576</v>
      </c>
      <c r="B10" t="s">
        <v>5</v>
      </c>
      <c r="C10" t="s">
        <v>5</v>
      </c>
      <c r="D10">
        <v>0</v>
      </c>
      <c r="E10">
        <v>74.487499999999997</v>
      </c>
      <c r="F10" s="3">
        <v>230902350</v>
      </c>
      <c r="G10">
        <v>50</v>
      </c>
      <c r="H10">
        <v>1</v>
      </c>
      <c r="I10" s="1">
        <v>45183</v>
      </c>
      <c r="J10" s="2">
        <v>0.85416666666666663</v>
      </c>
      <c r="K10" s="1">
        <v>45184</v>
      </c>
      <c r="L10" s="1">
        <v>45191</v>
      </c>
      <c r="M10">
        <v>8855061463</v>
      </c>
      <c r="N10">
        <v>8010603917</v>
      </c>
      <c r="O10">
        <v>13</v>
      </c>
      <c r="P10">
        <v>1</v>
      </c>
      <c r="Q10">
        <v>2</v>
      </c>
      <c r="R10">
        <v>1</v>
      </c>
      <c r="S10">
        <v>1</v>
      </c>
      <c r="T10">
        <v>1</v>
      </c>
      <c r="U10">
        <v>2</v>
      </c>
      <c r="V10">
        <v>2</v>
      </c>
      <c r="W10">
        <v>2</v>
      </c>
      <c r="X10">
        <v>2</v>
      </c>
      <c r="Y10">
        <v>2</v>
      </c>
      <c r="Z10" t="s">
        <v>6</v>
      </c>
      <c r="AA10">
        <v>11.3</v>
      </c>
      <c r="AB10">
        <v>32</v>
      </c>
      <c r="AC10">
        <v>79</v>
      </c>
      <c r="AD10">
        <v>44.6</v>
      </c>
      <c r="AE10">
        <v>5.3</v>
      </c>
      <c r="AF10">
        <v>195</v>
      </c>
      <c r="AG10">
        <v>116</v>
      </c>
      <c r="AH10">
        <v>46</v>
      </c>
      <c r="AI10">
        <v>162</v>
      </c>
      <c r="AJ10">
        <v>32</v>
      </c>
      <c r="AK10">
        <v>148</v>
      </c>
      <c r="AM10" t="s">
        <v>7</v>
      </c>
      <c r="AO10" s="4" t="s">
        <v>8</v>
      </c>
      <c r="AQ10" s="4" t="s">
        <v>9</v>
      </c>
      <c r="AS10">
        <v>8</v>
      </c>
      <c r="AT10">
        <v>2</v>
      </c>
      <c r="AU10">
        <v>1</v>
      </c>
      <c r="AV10">
        <v>2</v>
      </c>
      <c r="AW10">
        <v>4</v>
      </c>
      <c r="AY10">
        <v>1</v>
      </c>
      <c r="AZ10">
        <v>2</v>
      </c>
      <c r="BA10">
        <v>2</v>
      </c>
      <c r="BB10">
        <v>2</v>
      </c>
      <c r="BC10">
        <v>2</v>
      </c>
      <c r="BD10">
        <v>2</v>
      </c>
      <c r="BE10">
        <v>2</v>
      </c>
      <c r="BF10">
        <v>0</v>
      </c>
      <c r="BG10">
        <v>100</v>
      </c>
      <c r="BH10">
        <v>1</v>
      </c>
      <c r="BI10">
        <v>2</v>
      </c>
      <c r="BJ10">
        <v>0</v>
      </c>
      <c r="BK10">
        <v>0</v>
      </c>
      <c r="BL10">
        <v>0</v>
      </c>
      <c r="BM10">
        <v>0</v>
      </c>
      <c r="BN10">
        <v>1</v>
      </c>
      <c r="BO10">
        <v>0</v>
      </c>
      <c r="BP10">
        <v>0</v>
      </c>
      <c r="BQ10">
        <v>0</v>
      </c>
      <c r="BR10">
        <v>0</v>
      </c>
      <c r="BS10">
        <v>0</v>
      </c>
      <c r="BT10">
        <v>0</v>
      </c>
      <c r="BU10">
        <v>0</v>
      </c>
      <c r="BV10">
        <v>4</v>
      </c>
      <c r="BW10">
        <v>1</v>
      </c>
      <c r="BX10">
        <v>0</v>
      </c>
      <c r="BY10">
        <v>0</v>
      </c>
    </row>
    <row r="11" spans="1:77" ht="210" x14ac:dyDescent="0.25">
      <c r="A11" t="s">
        <v>714</v>
      </c>
      <c r="B11" t="s">
        <v>462</v>
      </c>
      <c r="C11" t="s">
        <v>1097</v>
      </c>
      <c r="D11">
        <v>0</v>
      </c>
      <c r="E11">
        <v>13.367100000000001</v>
      </c>
      <c r="F11" s="3">
        <v>240000048201</v>
      </c>
      <c r="G11">
        <v>57</v>
      </c>
      <c r="H11">
        <v>1</v>
      </c>
      <c r="I11" s="1">
        <v>45442</v>
      </c>
      <c r="J11" s="2">
        <v>0.64583333333333337</v>
      </c>
      <c r="K11" s="1">
        <v>45443</v>
      </c>
      <c r="L11" s="1">
        <v>45448</v>
      </c>
      <c r="M11">
        <v>997532928</v>
      </c>
      <c r="N11">
        <v>9096159020</v>
      </c>
      <c r="O11">
        <v>7</v>
      </c>
      <c r="P11">
        <v>1</v>
      </c>
      <c r="Q11">
        <v>1</v>
      </c>
      <c r="R11">
        <v>2</v>
      </c>
      <c r="S11">
        <v>1</v>
      </c>
      <c r="T11">
        <v>2</v>
      </c>
      <c r="U11">
        <v>2</v>
      </c>
      <c r="V11">
        <v>2</v>
      </c>
      <c r="W11">
        <v>1</v>
      </c>
      <c r="X11">
        <v>2</v>
      </c>
      <c r="Y11">
        <v>2</v>
      </c>
      <c r="AA11">
        <v>14.3</v>
      </c>
      <c r="AB11">
        <v>44.4</v>
      </c>
      <c r="AC11">
        <v>81.8</v>
      </c>
      <c r="AD11">
        <v>20.170000000000002</v>
      </c>
      <c r="AE11">
        <v>7</v>
      </c>
      <c r="AF11">
        <v>141</v>
      </c>
      <c r="AG11">
        <v>88.4</v>
      </c>
      <c r="AH11">
        <v>29</v>
      </c>
      <c r="AI11">
        <v>118</v>
      </c>
      <c r="AJ11">
        <v>23.6</v>
      </c>
      <c r="AK11">
        <v>208</v>
      </c>
      <c r="AO11" s="4" t="s">
        <v>463</v>
      </c>
      <c r="AQ11" s="4" t="s">
        <v>464</v>
      </c>
      <c r="AS11">
        <v>7</v>
      </c>
      <c r="AT11">
        <v>2</v>
      </c>
      <c r="AU11">
        <v>1</v>
      </c>
      <c r="AV11">
        <v>2</v>
      </c>
      <c r="AW11">
        <v>5</v>
      </c>
      <c r="AY11">
        <v>1</v>
      </c>
      <c r="AZ11">
        <v>1</v>
      </c>
      <c r="BA11">
        <v>2</v>
      </c>
      <c r="BD11">
        <v>2</v>
      </c>
      <c r="BE11">
        <v>2</v>
      </c>
      <c r="BF11">
        <v>0</v>
      </c>
      <c r="BG11">
        <v>100</v>
      </c>
      <c r="BH11">
        <v>0</v>
      </c>
      <c r="BI11">
        <v>1</v>
      </c>
      <c r="BJ11">
        <v>0</v>
      </c>
      <c r="BK11">
        <v>1</v>
      </c>
      <c r="BL11">
        <v>1</v>
      </c>
      <c r="BM11">
        <v>1</v>
      </c>
      <c r="BN11">
        <v>1</v>
      </c>
      <c r="BO11">
        <v>0</v>
      </c>
      <c r="BP11">
        <v>0</v>
      </c>
      <c r="BQ11">
        <v>0</v>
      </c>
      <c r="BR11">
        <v>0</v>
      </c>
      <c r="BS11">
        <v>0</v>
      </c>
      <c r="BT11">
        <v>0</v>
      </c>
      <c r="BU11">
        <v>0</v>
      </c>
      <c r="BV11">
        <v>5</v>
      </c>
      <c r="BW11">
        <v>1</v>
      </c>
      <c r="BX11">
        <v>0</v>
      </c>
      <c r="BY11">
        <v>0</v>
      </c>
    </row>
    <row r="12" spans="1:77" ht="195" x14ac:dyDescent="0.25">
      <c r="A12" t="s">
        <v>581</v>
      </c>
      <c r="B12" t="s">
        <v>44</v>
      </c>
      <c r="C12" t="s">
        <v>982</v>
      </c>
      <c r="D12">
        <v>1</v>
      </c>
      <c r="E12">
        <v>12.2628</v>
      </c>
      <c r="F12" s="3">
        <v>231002549</v>
      </c>
      <c r="G12">
        <v>30</v>
      </c>
      <c r="H12">
        <v>1</v>
      </c>
      <c r="I12" s="1">
        <v>45220</v>
      </c>
      <c r="J12" s="2">
        <v>0.54166666666666663</v>
      </c>
      <c r="K12" s="1">
        <v>45220</v>
      </c>
      <c r="L12" s="1">
        <v>45220</v>
      </c>
      <c r="M12">
        <v>8805207125</v>
      </c>
      <c r="O12">
        <v>9</v>
      </c>
      <c r="P12">
        <v>2</v>
      </c>
      <c r="Q12">
        <v>2</v>
      </c>
      <c r="R12">
        <v>1</v>
      </c>
      <c r="S12">
        <v>2</v>
      </c>
      <c r="T12">
        <v>1</v>
      </c>
      <c r="U12">
        <v>2</v>
      </c>
      <c r="V12">
        <v>2</v>
      </c>
      <c r="W12">
        <v>2</v>
      </c>
      <c r="X12">
        <v>2</v>
      </c>
      <c r="Y12">
        <v>1</v>
      </c>
      <c r="AO12" s="4" t="s">
        <v>45</v>
      </c>
      <c r="AQ12" s="4" t="s">
        <v>46</v>
      </c>
      <c r="AS12">
        <v>10</v>
      </c>
      <c r="AT12">
        <v>2</v>
      </c>
      <c r="AU12">
        <v>2</v>
      </c>
      <c r="AV12">
        <v>2</v>
      </c>
      <c r="AW12">
        <v>4</v>
      </c>
      <c r="AY12">
        <v>1</v>
      </c>
      <c r="AZ12">
        <v>2</v>
      </c>
      <c r="BA12">
        <v>1</v>
      </c>
      <c r="BB12">
        <v>1</v>
      </c>
      <c r="BF12">
        <v>0</v>
      </c>
      <c r="BG12">
        <v>95</v>
      </c>
      <c r="BH12">
        <v>1</v>
      </c>
      <c r="BI12">
        <v>2</v>
      </c>
      <c r="BJ12">
        <v>0</v>
      </c>
      <c r="BK12">
        <v>0</v>
      </c>
      <c r="BL12">
        <v>1</v>
      </c>
      <c r="BM12">
        <v>1</v>
      </c>
      <c r="BN12">
        <v>1</v>
      </c>
      <c r="BO12">
        <v>0</v>
      </c>
      <c r="BP12">
        <v>0</v>
      </c>
      <c r="BQ12">
        <v>0</v>
      </c>
      <c r="BR12">
        <v>0</v>
      </c>
      <c r="BS12">
        <v>0</v>
      </c>
      <c r="BT12">
        <v>0</v>
      </c>
      <c r="BU12">
        <v>0</v>
      </c>
      <c r="BV12">
        <v>6</v>
      </c>
      <c r="BW12">
        <v>1</v>
      </c>
      <c r="BX12">
        <v>1</v>
      </c>
      <c r="BY12">
        <v>0</v>
      </c>
    </row>
    <row r="13" spans="1:77" ht="90" x14ac:dyDescent="0.25">
      <c r="A13" t="s">
        <v>582</v>
      </c>
      <c r="B13" t="s">
        <v>14</v>
      </c>
      <c r="C13" t="s">
        <v>972</v>
      </c>
      <c r="D13">
        <v>1</v>
      </c>
      <c r="E13">
        <v>29.058800000000002</v>
      </c>
      <c r="F13" s="3">
        <v>230904245</v>
      </c>
      <c r="G13">
        <v>70</v>
      </c>
      <c r="H13">
        <v>1</v>
      </c>
      <c r="I13" s="1">
        <v>45187</v>
      </c>
      <c r="J13" s="2">
        <v>0.45833333333333331</v>
      </c>
      <c r="K13" s="1">
        <v>45198</v>
      </c>
      <c r="L13" s="1">
        <v>45199</v>
      </c>
      <c r="M13">
        <v>9168935500</v>
      </c>
      <c r="P13">
        <v>2</v>
      </c>
      <c r="Q13">
        <v>1</v>
      </c>
      <c r="R13">
        <v>2</v>
      </c>
      <c r="S13">
        <v>1</v>
      </c>
      <c r="T13">
        <v>2</v>
      </c>
      <c r="U13">
        <v>2</v>
      </c>
      <c r="V13">
        <v>2</v>
      </c>
      <c r="W13">
        <v>2</v>
      </c>
      <c r="X13">
        <v>2</v>
      </c>
      <c r="Y13">
        <v>2</v>
      </c>
      <c r="AA13">
        <v>12</v>
      </c>
      <c r="AB13">
        <v>30.2</v>
      </c>
      <c r="AC13">
        <v>78.2</v>
      </c>
      <c r="AD13">
        <v>37.22</v>
      </c>
      <c r="AE13">
        <v>11</v>
      </c>
      <c r="AF13">
        <v>137</v>
      </c>
      <c r="AG13">
        <v>82.4</v>
      </c>
      <c r="AH13">
        <v>40</v>
      </c>
      <c r="AI13">
        <v>73</v>
      </c>
      <c r="AJ13">
        <v>14.6</v>
      </c>
      <c r="AK13">
        <v>7200</v>
      </c>
      <c r="AM13" t="s">
        <v>15</v>
      </c>
      <c r="AO13" s="4" t="s">
        <v>16</v>
      </c>
      <c r="AQ13" s="4" t="s">
        <v>17</v>
      </c>
      <c r="AS13">
        <v>1</v>
      </c>
      <c r="AT13">
        <v>2</v>
      </c>
      <c r="AU13">
        <v>2</v>
      </c>
      <c r="AV13">
        <v>1</v>
      </c>
      <c r="AW13">
        <v>2</v>
      </c>
      <c r="AY13">
        <v>1</v>
      </c>
      <c r="AZ13">
        <v>1</v>
      </c>
      <c r="BA13">
        <v>2</v>
      </c>
      <c r="BC13">
        <v>4</v>
      </c>
      <c r="BF13">
        <v>0</v>
      </c>
      <c r="BG13">
        <v>85</v>
      </c>
      <c r="BH13">
        <v>0</v>
      </c>
      <c r="BI13">
        <v>0</v>
      </c>
      <c r="BJ13">
        <v>0</v>
      </c>
      <c r="BK13">
        <v>0</v>
      </c>
      <c r="BL13">
        <v>0</v>
      </c>
      <c r="BM13">
        <v>0</v>
      </c>
      <c r="BN13">
        <v>0</v>
      </c>
      <c r="BO13">
        <v>1</v>
      </c>
      <c r="BP13">
        <v>2</v>
      </c>
      <c r="BQ13">
        <v>2</v>
      </c>
      <c r="BR13">
        <v>0</v>
      </c>
      <c r="BS13">
        <v>0</v>
      </c>
      <c r="BT13">
        <v>0</v>
      </c>
      <c r="BU13">
        <v>1</v>
      </c>
      <c r="BV13">
        <v>6</v>
      </c>
      <c r="BW13">
        <v>1</v>
      </c>
      <c r="BX13">
        <v>1</v>
      </c>
      <c r="BY13">
        <v>0</v>
      </c>
    </row>
    <row r="14" spans="1:77" x14ac:dyDescent="0.25">
      <c r="A14" t="s">
        <v>1156</v>
      </c>
      <c r="B14" t="s">
        <v>874</v>
      </c>
      <c r="C14" t="e">
        <v>#N/A</v>
      </c>
      <c r="E14">
        <v>95.216099999999997</v>
      </c>
      <c r="F14" s="3">
        <v>240000082672</v>
      </c>
      <c r="G14">
        <v>26</v>
      </c>
      <c r="H14">
        <v>1</v>
      </c>
      <c r="I14" s="1">
        <v>45559</v>
      </c>
      <c r="J14" s="2">
        <v>0.45833333333333331</v>
      </c>
      <c r="K14" s="1">
        <v>45559</v>
      </c>
      <c r="L14" s="1">
        <v>45570</v>
      </c>
      <c r="M14">
        <v>8788359008</v>
      </c>
      <c r="O14">
        <v>16</v>
      </c>
      <c r="P14">
        <v>2</v>
      </c>
      <c r="Q14">
        <v>2</v>
      </c>
      <c r="R14">
        <v>1</v>
      </c>
      <c r="S14">
        <v>2</v>
      </c>
      <c r="T14">
        <v>1</v>
      </c>
      <c r="U14">
        <v>2</v>
      </c>
      <c r="V14">
        <v>2</v>
      </c>
      <c r="W14">
        <v>2</v>
      </c>
      <c r="X14">
        <v>2</v>
      </c>
      <c r="Y14">
        <v>2</v>
      </c>
      <c r="AA14">
        <v>15.5</v>
      </c>
      <c r="AB14">
        <v>45</v>
      </c>
      <c r="AC14">
        <v>11</v>
      </c>
      <c r="AD14">
        <v>19.3</v>
      </c>
      <c r="AF14">
        <v>95</v>
      </c>
      <c r="AG14">
        <v>48</v>
      </c>
      <c r="AH14">
        <v>31</v>
      </c>
      <c r="AI14">
        <v>76</v>
      </c>
      <c r="AJ14">
        <v>15.2</v>
      </c>
      <c r="AK14">
        <v>148</v>
      </c>
      <c r="AM14" t="s">
        <v>875</v>
      </c>
      <c r="AO14" t="s">
        <v>876</v>
      </c>
      <c r="AQ14" t="s">
        <v>877</v>
      </c>
      <c r="AS14">
        <v>9</v>
      </c>
      <c r="AT14">
        <v>2</v>
      </c>
      <c r="AU14">
        <v>2</v>
      </c>
      <c r="AV14">
        <v>2</v>
      </c>
      <c r="AW14">
        <v>4</v>
      </c>
      <c r="AY14">
        <v>1</v>
      </c>
      <c r="AZ14">
        <v>2</v>
      </c>
      <c r="BA14">
        <v>1</v>
      </c>
      <c r="BB14">
        <v>2</v>
      </c>
      <c r="BC14">
        <v>4</v>
      </c>
      <c r="BD14">
        <v>2</v>
      </c>
      <c r="BE14">
        <v>2</v>
      </c>
      <c r="BO14">
        <v>1</v>
      </c>
      <c r="BP14">
        <v>2</v>
      </c>
      <c r="BQ14">
        <v>0</v>
      </c>
      <c r="BR14">
        <v>0</v>
      </c>
      <c r="BS14">
        <v>1</v>
      </c>
      <c r="BT14">
        <v>1</v>
      </c>
      <c r="BU14">
        <v>1</v>
      </c>
      <c r="BV14">
        <v>6</v>
      </c>
      <c r="BW14">
        <v>0</v>
      </c>
      <c r="BX14">
        <v>1</v>
      </c>
      <c r="BY14">
        <v>1</v>
      </c>
    </row>
    <row r="15" spans="1:77" ht="120" x14ac:dyDescent="0.25">
      <c r="A15" t="s">
        <v>709</v>
      </c>
      <c r="B15" t="s">
        <v>539</v>
      </c>
      <c r="C15" t="s">
        <v>1121</v>
      </c>
      <c r="D15">
        <v>0</v>
      </c>
      <c r="E15">
        <v>4.5816100000000004</v>
      </c>
      <c r="F15" s="3">
        <v>24000059976</v>
      </c>
      <c r="G15">
        <v>50</v>
      </c>
      <c r="H15">
        <v>2</v>
      </c>
      <c r="I15" s="1">
        <v>45483</v>
      </c>
      <c r="J15" s="2">
        <v>0.28125</v>
      </c>
      <c r="K15" s="1">
        <v>45483</v>
      </c>
      <c r="M15">
        <v>9096343363</v>
      </c>
      <c r="O15">
        <v>3</v>
      </c>
      <c r="P15">
        <v>2</v>
      </c>
      <c r="Q15">
        <v>2</v>
      </c>
      <c r="R15">
        <v>2</v>
      </c>
      <c r="S15">
        <v>1</v>
      </c>
      <c r="T15">
        <v>2</v>
      </c>
      <c r="U15">
        <v>2</v>
      </c>
      <c r="V15">
        <v>2</v>
      </c>
      <c r="W15">
        <v>2</v>
      </c>
      <c r="X15">
        <v>2</v>
      </c>
      <c r="Y15">
        <v>2</v>
      </c>
      <c r="AA15">
        <v>13.2</v>
      </c>
      <c r="AB15">
        <v>40.299999999999997</v>
      </c>
      <c r="AC15">
        <v>76.5</v>
      </c>
      <c r="AD15">
        <v>7.34</v>
      </c>
      <c r="AE15">
        <v>5.8</v>
      </c>
      <c r="AF15">
        <v>173</v>
      </c>
      <c r="AG15">
        <v>102.8</v>
      </c>
      <c r="AH15">
        <v>39</v>
      </c>
      <c r="AI15">
        <v>156</v>
      </c>
      <c r="AJ15">
        <v>31.2</v>
      </c>
      <c r="AK15">
        <v>1099</v>
      </c>
      <c r="AO15" s="4" t="s">
        <v>540</v>
      </c>
      <c r="AQ15" s="4" t="s">
        <v>541</v>
      </c>
      <c r="AS15">
        <v>10</v>
      </c>
      <c r="AT15">
        <v>2</v>
      </c>
      <c r="AU15">
        <v>2</v>
      </c>
      <c r="AV15">
        <v>1</v>
      </c>
      <c r="AW15">
        <v>4</v>
      </c>
      <c r="AY15">
        <v>2</v>
      </c>
      <c r="AZ15">
        <v>2</v>
      </c>
      <c r="BA15">
        <v>2</v>
      </c>
      <c r="BD15">
        <v>2</v>
      </c>
      <c r="BE15">
        <v>2</v>
      </c>
      <c r="BF15">
        <v>0</v>
      </c>
      <c r="BG15">
        <v>100</v>
      </c>
      <c r="BH15">
        <v>0</v>
      </c>
      <c r="BI15">
        <v>0</v>
      </c>
      <c r="BJ15">
        <v>0</v>
      </c>
      <c r="BK15">
        <v>0</v>
      </c>
      <c r="BL15">
        <v>0</v>
      </c>
      <c r="BM15">
        <v>0</v>
      </c>
      <c r="BN15">
        <v>0</v>
      </c>
      <c r="BO15">
        <v>0</v>
      </c>
      <c r="BP15">
        <v>0</v>
      </c>
      <c r="BQ15">
        <v>2</v>
      </c>
      <c r="BR15">
        <v>2</v>
      </c>
      <c r="BS15">
        <v>1</v>
      </c>
      <c r="BT15">
        <v>1</v>
      </c>
      <c r="BU15">
        <v>1</v>
      </c>
      <c r="BV15">
        <v>7</v>
      </c>
      <c r="BW15">
        <v>0</v>
      </c>
      <c r="BX15">
        <v>1</v>
      </c>
      <c r="BY15">
        <v>0</v>
      </c>
    </row>
    <row r="16" spans="1:77" x14ac:dyDescent="0.25">
      <c r="A16" t="s">
        <v>812</v>
      </c>
      <c r="B16" t="s">
        <v>794</v>
      </c>
      <c r="C16" t="s">
        <v>1130</v>
      </c>
      <c r="D16">
        <v>0</v>
      </c>
      <c r="E16">
        <v>18.993500000000001</v>
      </c>
      <c r="F16" s="3">
        <v>24000021837</v>
      </c>
      <c r="G16">
        <v>67</v>
      </c>
      <c r="H16">
        <v>2</v>
      </c>
      <c r="I16" s="1">
        <v>45451</v>
      </c>
      <c r="J16" s="2">
        <v>0.5</v>
      </c>
      <c r="K16" s="1">
        <v>45451</v>
      </c>
      <c r="L16" t="s">
        <v>795</v>
      </c>
      <c r="M16">
        <v>7767089009</v>
      </c>
      <c r="O16">
        <v>23</v>
      </c>
      <c r="P16">
        <v>2</v>
      </c>
      <c r="Q16">
        <v>2</v>
      </c>
      <c r="R16">
        <v>2</v>
      </c>
      <c r="S16">
        <v>2</v>
      </c>
      <c r="T16">
        <v>2</v>
      </c>
      <c r="U16">
        <v>2</v>
      </c>
      <c r="V16">
        <v>2</v>
      </c>
      <c r="W16">
        <v>2</v>
      </c>
      <c r="X16">
        <v>1</v>
      </c>
      <c r="Y16">
        <v>2</v>
      </c>
      <c r="AA16">
        <v>9.4</v>
      </c>
      <c r="AB16">
        <v>29.3</v>
      </c>
      <c r="AC16">
        <v>95.9</v>
      </c>
      <c r="AO16" t="s">
        <v>796</v>
      </c>
      <c r="AQ16" t="s">
        <v>797</v>
      </c>
      <c r="AS16">
        <v>8</v>
      </c>
      <c r="AT16">
        <v>2</v>
      </c>
      <c r="AU16">
        <v>2</v>
      </c>
      <c r="AV16">
        <v>3</v>
      </c>
      <c r="AW16">
        <v>4</v>
      </c>
      <c r="AY16">
        <v>1</v>
      </c>
      <c r="AZ16">
        <v>1</v>
      </c>
      <c r="BA16">
        <v>2</v>
      </c>
      <c r="BD16">
        <v>2</v>
      </c>
      <c r="BE16">
        <v>2</v>
      </c>
      <c r="BF16">
        <v>6</v>
      </c>
      <c r="BG16">
        <v>0</v>
      </c>
      <c r="BH16">
        <v>0</v>
      </c>
      <c r="BI16">
        <v>0</v>
      </c>
      <c r="BJ16">
        <v>2</v>
      </c>
      <c r="BK16">
        <v>2</v>
      </c>
      <c r="BL16">
        <v>1</v>
      </c>
      <c r="BM16">
        <v>1</v>
      </c>
      <c r="BN16">
        <v>1</v>
      </c>
      <c r="BO16">
        <v>0</v>
      </c>
      <c r="BP16">
        <v>0</v>
      </c>
      <c r="BQ16">
        <v>0</v>
      </c>
      <c r="BR16">
        <v>0</v>
      </c>
      <c r="BS16">
        <v>0</v>
      </c>
      <c r="BT16">
        <v>0</v>
      </c>
      <c r="BU16">
        <v>0</v>
      </c>
      <c r="BV16">
        <v>7</v>
      </c>
      <c r="BW16">
        <v>1</v>
      </c>
      <c r="BX16">
        <v>0</v>
      </c>
      <c r="BY16" t="s">
        <v>1084</v>
      </c>
    </row>
    <row r="17" spans="1:77" ht="150" x14ac:dyDescent="0.25">
      <c r="A17" t="s">
        <v>584</v>
      </c>
      <c r="B17" t="s">
        <v>387</v>
      </c>
      <c r="C17" t="s">
        <v>1076</v>
      </c>
      <c r="D17">
        <v>1</v>
      </c>
      <c r="E17">
        <v>31.8582</v>
      </c>
      <c r="F17" s="3">
        <v>240000030601</v>
      </c>
      <c r="G17">
        <v>70</v>
      </c>
      <c r="H17">
        <v>1</v>
      </c>
      <c r="I17" s="1">
        <v>45380</v>
      </c>
      <c r="J17" s="2">
        <v>0.875</v>
      </c>
      <c r="K17" s="1">
        <v>45381</v>
      </c>
      <c r="M17">
        <v>8956146855</v>
      </c>
      <c r="N17">
        <v>9699024966</v>
      </c>
      <c r="O17">
        <v>14</v>
      </c>
      <c r="P17">
        <v>2</v>
      </c>
      <c r="Q17">
        <v>2</v>
      </c>
      <c r="R17">
        <v>1</v>
      </c>
      <c r="S17">
        <v>2</v>
      </c>
      <c r="T17">
        <v>1</v>
      </c>
      <c r="U17">
        <v>2</v>
      </c>
      <c r="V17">
        <v>2</v>
      </c>
      <c r="W17">
        <v>2</v>
      </c>
      <c r="X17">
        <v>2</v>
      </c>
      <c r="Y17">
        <v>2</v>
      </c>
      <c r="AA17">
        <v>13.5</v>
      </c>
      <c r="AB17">
        <v>41.4</v>
      </c>
      <c r="AC17">
        <v>87.6</v>
      </c>
      <c r="AD17">
        <v>41.69</v>
      </c>
      <c r="AE17">
        <v>6.9</v>
      </c>
      <c r="AF17">
        <v>195</v>
      </c>
      <c r="AG17">
        <v>125.2</v>
      </c>
      <c r="AH17">
        <v>50</v>
      </c>
      <c r="AI17">
        <v>99</v>
      </c>
      <c r="AJ17">
        <v>19.8</v>
      </c>
      <c r="AK17">
        <v>162</v>
      </c>
      <c r="AO17" s="4" t="s">
        <v>388</v>
      </c>
      <c r="AQ17" s="4" t="s">
        <v>389</v>
      </c>
      <c r="AS17">
        <v>8</v>
      </c>
      <c r="AT17">
        <v>2</v>
      </c>
      <c r="AU17">
        <v>2</v>
      </c>
      <c r="AV17">
        <v>3</v>
      </c>
      <c r="AW17">
        <v>4</v>
      </c>
      <c r="AY17">
        <v>1</v>
      </c>
      <c r="AZ17">
        <v>2</v>
      </c>
      <c r="BA17">
        <v>2</v>
      </c>
      <c r="BD17">
        <v>2</v>
      </c>
      <c r="BE17">
        <v>2</v>
      </c>
      <c r="BF17">
        <v>0</v>
      </c>
      <c r="BG17">
        <v>80</v>
      </c>
      <c r="BH17">
        <v>0</v>
      </c>
      <c r="BI17">
        <v>2</v>
      </c>
      <c r="BJ17">
        <v>2</v>
      </c>
      <c r="BK17">
        <v>0</v>
      </c>
      <c r="BL17">
        <v>1</v>
      </c>
      <c r="BM17">
        <v>1</v>
      </c>
      <c r="BN17">
        <v>1</v>
      </c>
      <c r="BO17">
        <v>0</v>
      </c>
      <c r="BP17">
        <v>0</v>
      </c>
      <c r="BQ17">
        <v>0</v>
      </c>
      <c r="BR17">
        <v>0</v>
      </c>
      <c r="BS17">
        <v>0</v>
      </c>
      <c r="BT17">
        <v>0</v>
      </c>
      <c r="BU17">
        <v>0</v>
      </c>
      <c r="BV17">
        <v>7</v>
      </c>
      <c r="BW17">
        <v>1</v>
      </c>
      <c r="BX17">
        <v>1</v>
      </c>
      <c r="BY17">
        <v>0</v>
      </c>
    </row>
    <row r="18" spans="1:77" x14ac:dyDescent="0.25">
      <c r="A18" s="8"/>
      <c r="B18" s="8" t="s">
        <v>485</v>
      </c>
      <c r="C18" s="8" t="e">
        <v>#N/A</v>
      </c>
      <c r="D18" s="8" t="e">
        <v>#N/A</v>
      </c>
      <c r="E18" s="8">
        <v>0.114729</v>
      </c>
      <c r="F18" s="9">
        <v>240000041820</v>
      </c>
      <c r="G18" s="8">
        <v>71</v>
      </c>
      <c r="H18" s="8">
        <v>1</v>
      </c>
      <c r="I18" s="10">
        <v>45421</v>
      </c>
      <c r="J18" s="11">
        <v>0.58333333333333337</v>
      </c>
      <c r="K18" s="10">
        <v>45421</v>
      </c>
      <c r="L18" s="10">
        <v>45422</v>
      </c>
      <c r="M18" s="8">
        <v>9011817556</v>
      </c>
      <c r="N18" s="8"/>
      <c r="O18" s="8">
        <v>3</v>
      </c>
      <c r="P18" s="8">
        <v>2</v>
      </c>
      <c r="Q18" s="8">
        <v>2</v>
      </c>
      <c r="R18" s="8">
        <v>1</v>
      </c>
      <c r="S18" s="8">
        <v>1</v>
      </c>
      <c r="T18" s="8">
        <v>2</v>
      </c>
      <c r="U18" s="8">
        <v>2</v>
      </c>
      <c r="V18" s="8">
        <v>2</v>
      </c>
      <c r="W18" s="8">
        <v>2</v>
      </c>
      <c r="X18" s="8">
        <v>2</v>
      </c>
      <c r="Y18" s="8">
        <v>2</v>
      </c>
      <c r="Z18" s="8"/>
      <c r="AA18" s="8">
        <v>18</v>
      </c>
      <c r="AB18" s="8">
        <v>53.8</v>
      </c>
      <c r="AC18" s="8">
        <v>10.59</v>
      </c>
      <c r="AD18" s="8">
        <v>29.81</v>
      </c>
      <c r="AE18" s="8"/>
      <c r="AF18" s="8"/>
      <c r="AG18" s="8"/>
      <c r="AH18" s="8"/>
      <c r="AI18" s="8"/>
      <c r="AJ18" s="8"/>
      <c r="AK18" s="8">
        <v>148</v>
      </c>
      <c r="AL18" s="8"/>
      <c r="AM18" s="8" t="s">
        <v>486</v>
      </c>
      <c r="AN18" s="8"/>
      <c r="AO18" s="8" t="s">
        <v>487</v>
      </c>
      <c r="AP18" s="8"/>
      <c r="AQ18" s="8" t="s">
        <v>488</v>
      </c>
      <c r="AR18" s="8"/>
      <c r="AS18" s="8">
        <v>8</v>
      </c>
      <c r="AT18" s="8">
        <v>2</v>
      </c>
      <c r="AU18" s="8">
        <v>1</v>
      </c>
      <c r="AV18" s="8">
        <v>2</v>
      </c>
      <c r="AW18" s="8">
        <v>4</v>
      </c>
      <c r="AX18" s="8"/>
      <c r="AY18" s="8">
        <v>1</v>
      </c>
      <c r="AZ18" s="8">
        <v>1</v>
      </c>
      <c r="BA18" s="8">
        <v>2</v>
      </c>
      <c r="BB18" s="8"/>
      <c r="BC18" s="8"/>
      <c r="BD18" s="8">
        <v>2</v>
      </c>
      <c r="BE18" s="8">
        <v>2</v>
      </c>
      <c r="BF18" s="8">
        <v>0</v>
      </c>
      <c r="BG18" s="8">
        <v>100</v>
      </c>
      <c r="BH18" s="8"/>
      <c r="BI18" s="8"/>
      <c r="BJ18" s="8"/>
      <c r="BK18" s="8"/>
      <c r="BL18" s="8"/>
      <c r="BM18" s="8"/>
      <c r="BN18" s="8"/>
      <c r="BO18" s="8">
        <v>0</v>
      </c>
      <c r="BP18" s="8">
        <v>1</v>
      </c>
      <c r="BQ18" s="8">
        <v>2</v>
      </c>
      <c r="BR18" s="8">
        <v>2</v>
      </c>
      <c r="BS18" s="8">
        <v>1</v>
      </c>
      <c r="BT18" s="8">
        <v>1</v>
      </c>
      <c r="BU18" s="8">
        <v>1</v>
      </c>
      <c r="BV18" s="8">
        <v>8</v>
      </c>
      <c r="BW18" s="8">
        <v>1</v>
      </c>
      <c r="BX18" s="8">
        <v>1</v>
      </c>
      <c r="BY18" s="8" t="s">
        <v>1051</v>
      </c>
    </row>
    <row r="19" spans="1:77" x14ac:dyDescent="0.25">
      <c r="A19" t="s">
        <v>925</v>
      </c>
      <c r="B19" t="s">
        <v>894</v>
      </c>
      <c r="C19" t="s">
        <v>1138</v>
      </c>
      <c r="D19">
        <v>0</v>
      </c>
      <c r="E19">
        <v>8.88232</v>
      </c>
      <c r="F19" s="3">
        <v>240000076798</v>
      </c>
      <c r="G19">
        <v>43</v>
      </c>
      <c r="H19">
        <v>1</v>
      </c>
      <c r="I19" s="1">
        <v>45537</v>
      </c>
      <c r="J19" s="2">
        <v>0.34375</v>
      </c>
      <c r="K19" s="1">
        <v>45537</v>
      </c>
      <c r="L19" s="1">
        <v>45551</v>
      </c>
      <c r="M19">
        <v>9960441201</v>
      </c>
      <c r="O19">
        <v>12</v>
      </c>
      <c r="P19">
        <v>1</v>
      </c>
      <c r="Q19">
        <v>1</v>
      </c>
      <c r="R19">
        <v>2</v>
      </c>
      <c r="S19">
        <v>2</v>
      </c>
      <c r="T19">
        <v>2</v>
      </c>
      <c r="U19">
        <v>2</v>
      </c>
      <c r="V19">
        <v>2</v>
      </c>
      <c r="W19">
        <v>1</v>
      </c>
      <c r="X19">
        <v>2</v>
      </c>
      <c r="Y19">
        <v>2</v>
      </c>
      <c r="Z19" t="s">
        <v>895</v>
      </c>
      <c r="AA19">
        <v>10.5</v>
      </c>
      <c r="AB19">
        <v>32.700000000000003</v>
      </c>
      <c r="AC19">
        <v>79.400000000000006</v>
      </c>
      <c r="AD19">
        <v>10.77</v>
      </c>
      <c r="AF19">
        <v>190</v>
      </c>
      <c r="AG19">
        <v>135</v>
      </c>
      <c r="AH19">
        <v>25</v>
      </c>
      <c r="AI19">
        <v>150</v>
      </c>
      <c r="AJ19">
        <v>30</v>
      </c>
      <c r="AK19">
        <v>259</v>
      </c>
      <c r="AO19" t="s">
        <v>896</v>
      </c>
      <c r="AQ19" t="s">
        <v>897</v>
      </c>
      <c r="AS19">
        <v>9</v>
      </c>
      <c r="AT19">
        <v>2</v>
      </c>
      <c r="AU19">
        <v>1</v>
      </c>
      <c r="AV19">
        <v>3</v>
      </c>
      <c r="AW19">
        <v>4</v>
      </c>
      <c r="AY19">
        <v>1</v>
      </c>
      <c r="AZ19">
        <v>1</v>
      </c>
      <c r="BA19">
        <v>2</v>
      </c>
      <c r="BC19">
        <v>4</v>
      </c>
      <c r="BD19">
        <v>2</v>
      </c>
      <c r="BE19">
        <v>2</v>
      </c>
      <c r="BF19">
        <v>6</v>
      </c>
      <c r="BG19">
        <v>0</v>
      </c>
      <c r="BO19">
        <v>0</v>
      </c>
      <c r="BP19">
        <v>1</v>
      </c>
      <c r="BQ19">
        <v>2</v>
      </c>
      <c r="BR19">
        <v>2</v>
      </c>
      <c r="BS19">
        <v>1</v>
      </c>
      <c r="BT19">
        <v>1</v>
      </c>
      <c r="BU19">
        <v>1</v>
      </c>
      <c r="BV19">
        <v>8</v>
      </c>
      <c r="BW19">
        <v>0</v>
      </c>
      <c r="BX19">
        <v>1</v>
      </c>
      <c r="BY19">
        <v>0</v>
      </c>
    </row>
    <row r="20" spans="1:77" ht="345" x14ac:dyDescent="0.25">
      <c r="A20" t="s">
        <v>603</v>
      </c>
      <c r="B20" t="s">
        <v>560</v>
      </c>
      <c r="C20" t="s">
        <v>1127</v>
      </c>
      <c r="D20">
        <v>0</v>
      </c>
      <c r="E20">
        <v>25.4023</v>
      </c>
      <c r="F20" s="3">
        <v>240000064726</v>
      </c>
      <c r="G20">
        <v>80</v>
      </c>
      <c r="H20">
        <v>2</v>
      </c>
      <c r="I20" s="1">
        <v>45496</v>
      </c>
      <c r="K20" s="1">
        <v>45498</v>
      </c>
      <c r="M20">
        <v>9970695458</v>
      </c>
      <c r="O20">
        <v>17</v>
      </c>
      <c r="P20">
        <v>1</v>
      </c>
      <c r="Q20">
        <v>1</v>
      </c>
      <c r="R20">
        <v>2</v>
      </c>
      <c r="S20">
        <v>2</v>
      </c>
      <c r="T20">
        <v>2</v>
      </c>
      <c r="U20">
        <v>2</v>
      </c>
      <c r="V20">
        <v>2</v>
      </c>
      <c r="W20">
        <v>2</v>
      </c>
      <c r="X20">
        <v>2</v>
      </c>
      <c r="Y20">
        <v>2</v>
      </c>
      <c r="AA20">
        <v>12.9</v>
      </c>
      <c r="AB20">
        <v>38.5</v>
      </c>
      <c r="AC20">
        <v>92</v>
      </c>
      <c r="AD20">
        <v>31.04</v>
      </c>
      <c r="AE20">
        <v>11.4</v>
      </c>
      <c r="AF20">
        <v>130</v>
      </c>
      <c r="AG20">
        <v>68.8</v>
      </c>
      <c r="AH20">
        <v>31</v>
      </c>
      <c r="AI20">
        <v>151</v>
      </c>
      <c r="AJ20">
        <v>30.2</v>
      </c>
      <c r="AK20">
        <v>198</v>
      </c>
      <c r="AO20" s="4" t="s">
        <v>561</v>
      </c>
      <c r="AQ20" s="4" t="s">
        <v>562</v>
      </c>
      <c r="AS20">
        <v>9</v>
      </c>
      <c r="AT20">
        <v>2</v>
      </c>
      <c r="AU20">
        <v>2</v>
      </c>
      <c r="AV20">
        <v>3</v>
      </c>
      <c r="AW20">
        <v>4</v>
      </c>
      <c r="AY20">
        <v>1</v>
      </c>
      <c r="AZ20">
        <v>1</v>
      </c>
      <c r="BA20">
        <v>2</v>
      </c>
      <c r="BD20">
        <v>2</v>
      </c>
      <c r="BE20">
        <v>2</v>
      </c>
      <c r="BF20">
        <v>5</v>
      </c>
      <c r="BG20">
        <v>100</v>
      </c>
      <c r="BH20">
        <v>0</v>
      </c>
      <c r="BI20">
        <v>0</v>
      </c>
      <c r="BJ20">
        <v>0</v>
      </c>
      <c r="BK20">
        <v>0</v>
      </c>
      <c r="BL20">
        <v>0</v>
      </c>
      <c r="BM20">
        <v>0</v>
      </c>
      <c r="BN20">
        <v>0</v>
      </c>
      <c r="BO20">
        <v>0</v>
      </c>
      <c r="BP20">
        <v>2</v>
      </c>
      <c r="BQ20">
        <v>1</v>
      </c>
      <c r="BR20">
        <v>2</v>
      </c>
      <c r="BS20">
        <v>1</v>
      </c>
      <c r="BT20">
        <v>1</v>
      </c>
      <c r="BU20">
        <v>1</v>
      </c>
      <c r="BV20">
        <v>8</v>
      </c>
      <c r="BW20">
        <v>1</v>
      </c>
      <c r="BX20">
        <v>0</v>
      </c>
      <c r="BY20">
        <v>0</v>
      </c>
    </row>
    <row r="21" spans="1:77" x14ac:dyDescent="0.25">
      <c r="A21" s="8"/>
      <c r="B21" s="8" t="s">
        <v>1151</v>
      </c>
      <c r="C21" s="8" t="e">
        <v>#N/A</v>
      </c>
      <c r="D21" s="8" t="e">
        <v>#N/A</v>
      </c>
      <c r="E21" s="8">
        <v>35.316200000000002</v>
      </c>
      <c r="F21" s="9">
        <v>240000053520</v>
      </c>
      <c r="G21" s="8">
        <v>38</v>
      </c>
      <c r="H21" s="8">
        <v>2</v>
      </c>
      <c r="I21" s="10">
        <v>45462</v>
      </c>
      <c r="J21" s="11">
        <v>0.30208333333333331</v>
      </c>
      <c r="K21" s="10">
        <v>45462</v>
      </c>
      <c r="L21" s="10">
        <v>45468</v>
      </c>
      <c r="M21" s="8">
        <v>7666761395</v>
      </c>
      <c r="N21" s="8"/>
      <c r="O21" s="8">
        <v>17</v>
      </c>
      <c r="P21" s="8">
        <v>2</v>
      </c>
      <c r="Q21" s="8">
        <v>2</v>
      </c>
      <c r="R21" s="8">
        <v>2</v>
      </c>
      <c r="S21" s="8">
        <v>2</v>
      </c>
      <c r="T21" s="8">
        <v>2</v>
      </c>
      <c r="U21" s="8">
        <v>2</v>
      </c>
      <c r="V21" s="8">
        <v>2</v>
      </c>
      <c r="W21" s="8">
        <v>2</v>
      </c>
      <c r="X21" s="8">
        <v>2</v>
      </c>
      <c r="Y21" s="8">
        <v>2</v>
      </c>
      <c r="Z21" s="8"/>
      <c r="AA21" s="8">
        <v>12</v>
      </c>
      <c r="AB21" s="8">
        <v>35.4</v>
      </c>
      <c r="AC21" s="8">
        <v>90</v>
      </c>
      <c r="AD21" s="8">
        <v>12.75</v>
      </c>
      <c r="AE21" s="8">
        <v>5.5</v>
      </c>
      <c r="AF21" s="8"/>
      <c r="AG21" s="8"/>
      <c r="AH21" s="8"/>
      <c r="AI21" s="8"/>
      <c r="AJ21" s="8"/>
      <c r="AK21" s="8">
        <v>166</v>
      </c>
      <c r="AL21" s="8"/>
      <c r="AM21" s="8" t="s">
        <v>519</v>
      </c>
      <c r="AN21" s="8"/>
      <c r="AO21" s="8" t="s">
        <v>520</v>
      </c>
      <c r="AP21" s="8"/>
      <c r="AQ21" s="8" t="s">
        <v>521</v>
      </c>
      <c r="AR21" s="8"/>
      <c r="AS21" s="8">
        <v>9</v>
      </c>
      <c r="AT21" s="8">
        <v>2</v>
      </c>
      <c r="AU21" s="8">
        <v>2</v>
      </c>
      <c r="AV21" s="8">
        <v>2</v>
      </c>
      <c r="AW21" s="8">
        <v>4</v>
      </c>
      <c r="AX21" s="8"/>
      <c r="AY21" s="8">
        <v>1</v>
      </c>
      <c r="AZ21" s="8"/>
      <c r="BA21" s="8">
        <v>1</v>
      </c>
      <c r="BB21" s="8">
        <v>2</v>
      </c>
      <c r="BC21" s="8"/>
      <c r="BD21" s="8">
        <v>2</v>
      </c>
      <c r="BE21" s="8">
        <v>2</v>
      </c>
      <c r="BF21" s="8">
        <v>1</v>
      </c>
      <c r="BG21" s="8">
        <v>100</v>
      </c>
      <c r="BH21" s="8"/>
      <c r="BI21" s="8"/>
      <c r="BJ21" s="8"/>
      <c r="BK21" s="8"/>
      <c r="BL21" s="8"/>
      <c r="BM21" s="8"/>
      <c r="BN21" s="8"/>
      <c r="BO21" s="8">
        <v>1</v>
      </c>
      <c r="BP21" s="8">
        <v>2</v>
      </c>
      <c r="BQ21" s="8">
        <v>0</v>
      </c>
      <c r="BR21" s="8">
        <v>2</v>
      </c>
      <c r="BS21" s="8">
        <v>1</v>
      </c>
      <c r="BT21" s="8">
        <v>1</v>
      </c>
      <c r="BU21" s="8">
        <v>1</v>
      </c>
      <c r="BV21" s="8">
        <v>8</v>
      </c>
      <c r="BW21" s="8">
        <v>1</v>
      </c>
      <c r="BX21" s="8">
        <v>1</v>
      </c>
      <c r="BY21" s="8">
        <v>1</v>
      </c>
    </row>
    <row r="22" spans="1:77" ht="300" x14ac:dyDescent="0.25">
      <c r="A22" t="s">
        <v>600</v>
      </c>
      <c r="B22" t="s">
        <v>114</v>
      </c>
      <c r="C22" t="s">
        <v>114</v>
      </c>
      <c r="D22">
        <v>0</v>
      </c>
      <c r="E22">
        <v>129.428</v>
      </c>
      <c r="F22" s="3">
        <v>190402865</v>
      </c>
      <c r="G22">
        <v>60</v>
      </c>
      <c r="H22">
        <v>1</v>
      </c>
      <c r="I22" s="1">
        <v>44941</v>
      </c>
      <c r="J22" s="2">
        <v>0.3125</v>
      </c>
      <c r="K22" s="1">
        <v>44941</v>
      </c>
      <c r="L22" s="1">
        <v>44960</v>
      </c>
      <c r="M22">
        <v>9067030236</v>
      </c>
      <c r="O22">
        <v>18</v>
      </c>
      <c r="P22">
        <v>2</v>
      </c>
      <c r="Q22">
        <v>2</v>
      </c>
      <c r="R22">
        <v>2</v>
      </c>
      <c r="S22">
        <v>2</v>
      </c>
      <c r="T22">
        <v>2</v>
      </c>
      <c r="U22">
        <v>2</v>
      </c>
      <c r="V22">
        <v>1</v>
      </c>
      <c r="W22">
        <v>2</v>
      </c>
      <c r="X22">
        <v>2</v>
      </c>
      <c r="Y22">
        <v>2</v>
      </c>
      <c r="AA22">
        <v>14</v>
      </c>
      <c r="AB22">
        <v>32</v>
      </c>
      <c r="AC22">
        <v>95</v>
      </c>
      <c r="AD22">
        <v>22</v>
      </c>
      <c r="AE22">
        <v>5.5</v>
      </c>
      <c r="AK22">
        <v>171</v>
      </c>
      <c r="AO22" s="4" t="s">
        <v>115</v>
      </c>
      <c r="AQ22" s="4" t="s">
        <v>116</v>
      </c>
      <c r="AS22">
        <v>3</v>
      </c>
      <c r="AT22">
        <v>2</v>
      </c>
      <c r="AU22">
        <v>2</v>
      </c>
      <c r="AV22">
        <v>1</v>
      </c>
      <c r="AW22">
        <v>3</v>
      </c>
      <c r="AY22">
        <v>1</v>
      </c>
      <c r="AZ22">
        <v>2</v>
      </c>
      <c r="BA22">
        <v>1</v>
      </c>
      <c r="BB22">
        <v>1</v>
      </c>
      <c r="BC22">
        <v>3</v>
      </c>
      <c r="BF22">
        <v>4</v>
      </c>
      <c r="BG22">
        <v>30</v>
      </c>
      <c r="BH22">
        <v>1</v>
      </c>
      <c r="BI22">
        <v>2</v>
      </c>
      <c r="BJ22">
        <v>2</v>
      </c>
      <c r="BK22">
        <v>0</v>
      </c>
      <c r="BL22">
        <v>1</v>
      </c>
      <c r="BM22">
        <v>1</v>
      </c>
      <c r="BN22">
        <v>1</v>
      </c>
      <c r="BO22">
        <v>0</v>
      </c>
      <c r="BP22">
        <v>0</v>
      </c>
      <c r="BQ22">
        <v>0</v>
      </c>
      <c r="BR22">
        <v>0</v>
      </c>
      <c r="BS22">
        <v>0</v>
      </c>
      <c r="BT22">
        <v>0</v>
      </c>
      <c r="BU22">
        <v>0</v>
      </c>
      <c r="BV22">
        <v>8</v>
      </c>
      <c r="BW22">
        <v>1</v>
      </c>
      <c r="BX22">
        <v>1</v>
      </c>
      <c r="BY22">
        <v>0</v>
      </c>
    </row>
    <row r="23" spans="1:77" x14ac:dyDescent="0.25">
      <c r="A23" t="s">
        <v>1152</v>
      </c>
      <c r="B23" t="s">
        <v>878</v>
      </c>
      <c r="C23" t="e">
        <v>#N/A</v>
      </c>
      <c r="D23" t="e">
        <v>#N/A</v>
      </c>
      <c r="E23" t="e">
        <v>#N/A</v>
      </c>
      <c r="F23" s="3">
        <v>240000078257</v>
      </c>
      <c r="G23">
        <v>74</v>
      </c>
      <c r="H23">
        <v>2</v>
      </c>
      <c r="I23" s="1">
        <v>45544</v>
      </c>
      <c r="J23" s="2">
        <v>0.10416666666666667</v>
      </c>
      <c r="K23" s="1">
        <v>45544</v>
      </c>
      <c r="L23" s="1">
        <v>45560</v>
      </c>
      <c r="M23">
        <v>7448240702</v>
      </c>
      <c r="O23">
        <v>11</v>
      </c>
      <c r="P23">
        <v>1</v>
      </c>
      <c r="Q23">
        <v>1</v>
      </c>
      <c r="R23">
        <v>2</v>
      </c>
      <c r="S23">
        <v>2</v>
      </c>
      <c r="T23">
        <v>2</v>
      </c>
      <c r="U23">
        <v>2</v>
      </c>
      <c r="V23">
        <v>2</v>
      </c>
      <c r="W23">
        <v>1</v>
      </c>
      <c r="X23">
        <v>2</v>
      </c>
      <c r="Y23">
        <v>2</v>
      </c>
      <c r="AA23">
        <v>11.8</v>
      </c>
      <c r="AB23">
        <v>36.700000000000003</v>
      </c>
      <c r="AC23">
        <v>90.4</v>
      </c>
      <c r="AD23">
        <v>13.29</v>
      </c>
      <c r="AE23">
        <v>6.7</v>
      </c>
      <c r="AF23">
        <v>153</v>
      </c>
      <c r="AG23">
        <v>96</v>
      </c>
      <c r="AH23">
        <v>34</v>
      </c>
      <c r="AI23">
        <v>111</v>
      </c>
      <c r="AJ23">
        <v>22</v>
      </c>
      <c r="AK23">
        <v>397</v>
      </c>
      <c r="AO23" t="s">
        <v>879</v>
      </c>
      <c r="AQ23" t="s">
        <v>880</v>
      </c>
      <c r="AS23">
        <v>4</v>
      </c>
      <c r="AT23">
        <v>2</v>
      </c>
      <c r="AU23">
        <v>2</v>
      </c>
      <c r="AV23">
        <v>3</v>
      </c>
      <c r="AW23">
        <v>3</v>
      </c>
      <c r="AY23">
        <v>1</v>
      </c>
      <c r="AZ23">
        <v>1</v>
      </c>
      <c r="BA23">
        <v>1</v>
      </c>
      <c r="BB23">
        <v>1</v>
      </c>
      <c r="BC23">
        <v>4</v>
      </c>
      <c r="BD23">
        <v>2</v>
      </c>
      <c r="BE23">
        <v>2</v>
      </c>
      <c r="BF23">
        <v>6</v>
      </c>
      <c r="BG23">
        <v>0</v>
      </c>
      <c r="BH23" s="13">
        <v>0</v>
      </c>
      <c r="BI23" s="13">
        <v>1</v>
      </c>
      <c r="BJ23" s="13">
        <v>2</v>
      </c>
      <c r="BK23" s="13">
        <v>2</v>
      </c>
      <c r="BL23" s="13">
        <v>1</v>
      </c>
      <c r="BM23" s="13">
        <v>1</v>
      </c>
      <c r="BN23" s="13">
        <v>1</v>
      </c>
      <c r="BO23" s="13"/>
      <c r="BP23" s="13"/>
      <c r="BQ23" s="13"/>
      <c r="BR23" s="13"/>
      <c r="BS23" s="13"/>
      <c r="BT23" s="13"/>
      <c r="BU23" s="13"/>
      <c r="BV23" s="13">
        <v>8</v>
      </c>
      <c r="BW23" s="13">
        <v>0</v>
      </c>
      <c r="BX23" s="13">
        <v>1</v>
      </c>
      <c r="BY23" s="13"/>
    </row>
    <row r="24" spans="1:77" ht="135" x14ac:dyDescent="0.25">
      <c r="A24" t="s">
        <v>651</v>
      </c>
      <c r="B24" t="s">
        <v>308</v>
      </c>
      <c r="C24" t="s">
        <v>1055</v>
      </c>
      <c r="D24">
        <v>1</v>
      </c>
      <c r="E24">
        <v>0.363236</v>
      </c>
      <c r="F24" s="3">
        <v>120502937</v>
      </c>
      <c r="G24">
        <v>47</v>
      </c>
      <c r="H24">
        <v>1</v>
      </c>
      <c r="K24" s="1">
        <v>44970</v>
      </c>
      <c r="L24" s="1">
        <v>44972</v>
      </c>
      <c r="O24">
        <v>0</v>
      </c>
      <c r="P24">
        <v>1</v>
      </c>
      <c r="Q24">
        <v>2</v>
      </c>
      <c r="R24">
        <v>2</v>
      </c>
      <c r="S24">
        <v>2</v>
      </c>
      <c r="T24">
        <v>2</v>
      </c>
      <c r="U24">
        <v>2</v>
      </c>
      <c r="V24">
        <v>2</v>
      </c>
      <c r="W24">
        <v>2</v>
      </c>
      <c r="X24">
        <v>2</v>
      </c>
      <c r="Y24">
        <v>2</v>
      </c>
      <c r="AA24">
        <v>12.9</v>
      </c>
      <c r="AB24">
        <v>39</v>
      </c>
      <c r="AC24">
        <v>80</v>
      </c>
      <c r="AD24">
        <v>40</v>
      </c>
      <c r="AE24">
        <v>5.8</v>
      </c>
      <c r="AK24">
        <v>177</v>
      </c>
      <c r="AO24" s="4" t="s">
        <v>309</v>
      </c>
      <c r="AQ24" s="4" t="s">
        <v>310</v>
      </c>
      <c r="AS24">
        <v>10</v>
      </c>
      <c r="AT24">
        <v>2</v>
      </c>
      <c r="AU24">
        <v>1</v>
      </c>
      <c r="AV24">
        <v>3</v>
      </c>
      <c r="AW24">
        <v>4</v>
      </c>
      <c r="AY24">
        <v>1</v>
      </c>
      <c r="AZ24">
        <v>1</v>
      </c>
      <c r="BA24">
        <v>2</v>
      </c>
      <c r="BD24">
        <v>2</v>
      </c>
      <c r="BE24">
        <v>2</v>
      </c>
      <c r="BF24">
        <v>0</v>
      </c>
      <c r="BG24">
        <v>100</v>
      </c>
      <c r="BH24">
        <v>0</v>
      </c>
      <c r="BI24">
        <v>0</v>
      </c>
      <c r="BJ24">
        <v>0</v>
      </c>
      <c r="BK24">
        <v>0</v>
      </c>
      <c r="BL24">
        <v>0</v>
      </c>
      <c r="BM24">
        <v>0</v>
      </c>
      <c r="BN24">
        <v>0</v>
      </c>
      <c r="BO24">
        <v>1</v>
      </c>
      <c r="BP24">
        <v>1</v>
      </c>
      <c r="BQ24">
        <v>2</v>
      </c>
      <c r="BR24">
        <v>2</v>
      </c>
      <c r="BS24">
        <v>1</v>
      </c>
      <c r="BT24">
        <v>1</v>
      </c>
      <c r="BU24">
        <v>1</v>
      </c>
      <c r="BV24">
        <v>9</v>
      </c>
      <c r="BW24">
        <v>1</v>
      </c>
      <c r="BX24">
        <v>1</v>
      </c>
      <c r="BY24" t="s">
        <v>1040</v>
      </c>
    </row>
    <row r="25" spans="1:77" ht="120" x14ac:dyDescent="0.25">
      <c r="A25" t="s">
        <v>645</v>
      </c>
      <c r="B25" t="s">
        <v>479</v>
      </c>
      <c r="C25" t="s">
        <v>1103</v>
      </c>
      <c r="D25">
        <v>0</v>
      </c>
      <c r="E25">
        <v>0.68288300000000002</v>
      </c>
      <c r="F25" s="3">
        <v>240020598</v>
      </c>
      <c r="G25">
        <v>51</v>
      </c>
      <c r="H25">
        <v>1</v>
      </c>
      <c r="I25" s="1">
        <v>45430</v>
      </c>
      <c r="J25" s="2">
        <v>0.37083333333333335</v>
      </c>
      <c r="K25" s="1">
        <v>45430</v>
      </c>
      <c r="L25" s="1">
        <v>45447</v>
      </c>
      <c r="M25">
        <v>8149081492</v>
      </c>
      <c r="O25">
        <v>20</v>
      </c>
      <c r="P25">
        <v>1</v>
      </c>
      <c r="Q25">
        <v>1</v>
      </c>
      <c r="R25">
        <v>1</v>
      </c>
      <c r="S25">
        <v>1</v>
      </c>
      <c r="T25">
        <v>1</v>
      </c>
      <c r="U25">
        <v>2</v>
      </c>
      <c r="V25">
        <v>2</v>
      </c>
      <c r="W25">
        <v>2</v>
      </c>
      <c r="X25">
        <v>2</v>
      </c>
      <c r="Y25">
        <v>2</v>
      </c>
      <c r="AA25">
        <v>8.5</v>
      </c>
      <c r="AB25">
        <v>29.3</v>
      </c>
      <c r="AC25">
        <v>59.7</v>
      </c>
      <c r="AD25">
        <v>4.3600000000000003</v>
      </c>
      <c r="AE25">
        <v>8.1999999999999993</v>
      </c>
      <c r="AF25">
        <v>90</v>
      </c>
      <c r="AG25">
        <v>42.2</v>
      </c>
      <c r="AH25">
        <v>21</v>
      </c>
      <c r="AI25">
        <v>134</v>
      </c>
      <c r="AJ25">
        <v>26.3</v>
      </c>
      <c r="AK25">
        <v>795</v>
      </c>
      <c r="AM25" t="s">
        <v>480</v>
      </c>
      <c r="AO25" s="4" t="s">
        <v>481</v>
      </c>
      <c r="AQ25" s="4" t="s">
        <v>482</v>
      </c>
      <c r="AS25">
        <v>3</v>
      </c>
      <c r="AT25">
        <v>2</v>
      </c>
      <c r="AU25">
        <v>2</v>
      </c>
      <c r="AV25">
        <v>2</v>
      </c>
      <c r="AW25">
        <v>3</v>
      </c>
      <c r="AY25">
        <v>1</v>
      </c>
      <c r="BA25">
        <v>2</v>
      </c>
      <c r="BB25">
        <v>1</v>
      </c>
      <c r="BD25">
        <v>2</v>
      </c>
      <c r="BE25">
        <v>2</v>
      </c>
      <c r="BF25">
        <v>3</v>
      </c>
      <c r="BG25">
        <v>55</v>
      </c>
      <c r="BH25">
        <v>0</v>
      </c>
      <c r="BI25">
        <v>0</v>
      </c>
      <c r="BJ25">
        <v>0</v>
      </c>
      <c r="BK25">
        <v>0</v>
      </c>
      <c r="BL25">
        <v>0</v>
      </c>
      <c r="BM25">
        <v>0</v>
      </c>
      <c r="BN25">
        <v>0</v>
      </c>
      <c r="BO25">
        <v>1</v>
      </c>
      <c r="BP25">
        <v>2</v>
      </c>
      <c r="BQ25">
        <v>2</v>
      </c>
      <c r="BR25">
        <v>2</v>
      </c>
      <c r="BS25">
        <v>0</v>
      </c>
      <c r="BT25">
        <v>1</v>
      </c>
      <c r="BU25">
        <v>1</v>
      </c>
      <c r="BV25">
        <v>9</v>
      </c>
      <c r="BW25">
        <v>0</v>
      </c>
      <c r="BX25">
        <v>1</v>
      </c>
      <c r="BY25">
        <v>0</v>
      </c>
    </row>
    <row r="26" spans="1:77" ht="150" x14ac:dyDescent="0.25">
      <c r="A26" t="s">
        <v>650</v>
      </c>
      <c r="B26" t="s">
        <v>375</v>
      </c>
      <c r="C26" t="s">
        <v>1074</v>
      </c>
      <c r="D26">
        <v>1</v>
      </c>
      <c r="E26">
        <v>6.8336800000000002</v>
      </c>
      <c r="F26" s="3">
        <v>240000023648</v>
      </c>
      <c r="G26">
        <v>84</v>
      </c>
      <c r="H26">
        <v>1</v>
      </c>
      <c r="I26" s="1">
        <v>45359</v>
      </c>
      <c r="J26" s="2">
        <v>0.79166666666666663</v>
      </c>
      <c r="K26" s="1">
        <v>45359</v>
      </c>
      <c r="L26" s="1">
        <v>45360</v>
      </c>
      <c r="M26">
        <v>9762764356</v>
      </c>
      <c r="O26">
        <v>7</v>
      </c>
      <c r="P26">
        <v>1</v>
      </c>
      <c r="Q26">
        <v>2</v>
      </c>
      <c r="R26">
        <v>2</v>
      </c>
      <c r="S26">
        <v>2</v>
      </c>
      <c r="T26">
        <v>2</v>
      </c>
      <c r="U26">
        <v>2</v>
      </c>
      <c r="V26">
        <v>2</v>
      </c>
      <c r="W26">
        <v>2</v>
      </c>
      <c r="X26">
        <v>2</v>
      </c>
      <c r="Y26">
        <v>2</v>
      </c>
      <c r="AA26">
        <v>13.1</v>
      </c>
      <c r="AB26">
        <v>37.799999999999997</v>
      </c>
      <c r="AC26">
        <v>90</v>
      </c>
      <c r="AE26">
        <v>5.5</v>
      </c>
      <c r="AF26">
        <v>229</v>
      </c>
      <c r="AG26">
        <v>162.6</v>
      </c>
      <c r="AH26">
        <v>35</v>
      </c>
      <c r="AI26">
        <v>157</v>
      </c>
      <c r="AJ26">
        <v>31.4</v>
      </c>
      <c r="AK26">
        <v>421</v>
      </c>
      <c r="AO26" s="4" t="s">
        <v>376</v>
      </c>
      <c r="AQ26" s="4" t="s">
        <v>377</v>
      </c>
      <c r="AS26">
        <v>10</v>
      </c>
      <c r="AT26">
        <v>2</v>
      </c>
      <c r="AU26">
        <v>2</v>
      </c>
      <c r="AV26">
        <v>3</v>
      </c>
      <c r="AW26">
        <v>4</v>
      </c>
      <c r="AY26">
        <v>1</v>
      </c>
      <c r="AZ26">
        <v>2</v>
      </c>
      <c r="BA26">
        <v>1</v>
      </c>
      <c r="BB26">
        <v>1</v>
      </c>
      <c r="BD26">
        <v>2</v>
      </c>
      <c r="BE26">
        <v>2</v>
      </c>
      <c r="BF26">
        <v>6</v>
      </c>
      <c r="BG26">
        <v>0</v>
      </c>
      <c r="BH26">
        <v>0</v>
      </c>
      <c r="BI26">
        <v>2</v>
      </c>
      <c r="BJ26">
        <v>2</v>
      </c>
      <c r="BK26">
        <v>2</v>
      </c>
      <c r="BL26">
        <v>1</v>
      </c>
      <c r="BM26">
        <v>1</v>
      </c>
      <c r="BN26">
        <v>1</v>
      </c>
      <c r="BO26">
        <v>0</v>
      </c>
      <c r="BP26">
        <v>0</v>
      </c>
      <c r="BQ26">
        <v>0</v>
      </c>
      <c r="BR26">
        <v>0</v>
      </c>
      <c r="BS26">
        <v>0</v>
      </c>
      <c r="BT26">
        <v>0</v>
      </c>
      <c r="BU26">
        <v>0</v>
      </c>
      <c r="BV26">
        <v>9</v>
      </c>
      <c r="BW26">
        <v>0</v>
      </c>
      <c r="BX26">
        <v>1</v>
      </c>
      <c r="BY26">
        <v>0</v>
      </c>
    </row>
    <row r="27" spans="1:77" ht="135" x14ac:dyDescent="0.25">
      <c r="A27" t="s">
        <v>606</v>
      </c>
      <c r="B27" t="s">
        <v>502</v>
      </c>
      <c r="C27" t="s">
        <v>502</v>
      </c>
      <c r="D27">
        <v>0</v>
      </c>
      <c r="E27">
        <v>19.571100000000001</v>
      </c>
      <c r="F27" s="3">
        <v>240000057100</v>
      </c>
      <c r="G27">
        <v>77</v>
      </c>
      <c r="H27">
        <v>2</v>
      </c>
      <c r="I27" s="1">
        <v>45472</v>
      </c>
      <c r="J27" s="2">
        <v>0.5</v>
      </c>
      <c r="K27" s="1">
        <v>45473</v>
      </c>
      <c r="L27" s="1">
        <v>45476</v>
      </c>
      <c r="M27">
        <v>9067454942</v>
      </c>
      <c r="O27">
        <v>1</v>
      </c>
      <c r="P27">
        <v>1</v>
      </c>
      <c r="Q27">
        <v>1</v>
      </c>
      <c r="R27">
        <v>2</v>
      </c>
      <c r="S27">
        <v>2</v>
      </c>
      <c r="T27">
        <v>2</v>
      </c>
      <c r="U27">
        <v>2</v>
      </c>
      <c r="V27">
        <v>2</v>
      </c>
      <c r="W27">
        <v>2</v>
      </c>
      <c r="X27">
        <v>2</v>
      </c>
      <c r="Y27">
        <v>2</v>
      </c>
      <c r="AA27">
        <v>14</v>
      </c>
      <c r="AB27">
        <v>42.4</v>
      </c>
      <c r="AC27">
        <v>88.9</v>
      </c>
      <c r="AD27">
        <v>15.99</v>
      </c>
      <c r="AE27">
        <v>10.4</v>
      </c>
      <c r="AF27">
        <v>250</v>
      </c>
      <c r="AG27">
        <v>126</v>
      </c>
      <c r="AH27">
        <v>37</v>
      </c>
      <c r="AI27">
        <v>435</v>
      </c>
      <c r="AJ27">
        <v>87</v>
      </c>
      <c r="AO27" s="4" t="s">
        <v>503</v>
      </c>
      <c r="AQ27" s="4" t="s">
        <v>504</v>
      </c>
      <c r="AS27">
        <v>8</v>
      </c>
      <c r="AT27">
        <v>2</v>
      </c>
      <c r="AU27">
        <v>1</v>
      </c>
      <c r="AV27">
        <v>4</v>
      </c>
      <c r="AW27">
        <v>5</v>
      </c>
      <c r="AY27">
        <v>1</v>
      </c>
      <c r="AZ27">
        <v>1</v>
      </c>
      <c r="BA27">
        <v>2</v>
      </c>
      <c r="BD27">
        <v>2</v>
      </c>
      <c r="BE27">
        <v>2</v>
      </c>
      <c r="BF27">
        <v>0</v>
      </c>
      <c r="BG27">
        <v>100</v>
      </c>
      <c r="BH27">
        <v>0</v>
      </c>
      <c r="BI27">
        <v>2</v>
      </c>
      <c r="BJ27">
        <v>2</v>
      </c>
      <c r="BK27">
        <v>2</v>
      </c>
      <c r="BL27">
        <v>1</v>
      </c>
      <c r="BM27">
        <v>1</v>
      </c>
      <c r="BN27">
        <v>1</v>
      </c>
      <c r="BO27">
        <v>0</v>
      </c>
      <c r="BP27">
        <v>0</v>
      </c>
      <c r="BQ27">
        <v>0</v>
      </c>
      <c r="BR27">
        <v>0</v>
      </c>
      <c r="BS27">
        <v>0</v>
      </c>
      <c r="BT27">
        <v>0</v>
      </c>
      <c r="BU27">
        <v>0</v>
      </c>
      <c r="BV27">
        <v>9</v>
      </c>
      <c r="BW27">
        <v>1</v>
      </c>
      <c r="BX27">
        <v>0</v>
      </c>
      <c r="BY27" t="s">
        <v>1110</v>
      </c>
    </row>
    <row r="28" spans="1:77" ht="135" x14ac:dyDescent="0.25">
      <c r="A28" t="s">
        <v>717</v>
      </c>
      <c r="B28" t="s">
        <v>513</v>
      </c>
      <c r="C28" t="s">
        <v>1113</v>
      </c>
      <c r="D28">
        <v>0</v>
      </c>
      <c r="E28">
        <v>30.046800000000001</v>
      </c>
      <c r="F28" s="3">
        <v>240000051745</v>
      </c>
      <c r="G28">
        <v>45</v>
      </c>
      <c r="H28">
        <v>1</v>
      </c>
      <c r="I28" s="1">
        <v>45455</v>
      </c>
      <c r="J28" s="2">
        <v>0.87152777777777779</v>
      </c>
      <c r="K28" s="1">
        <v>45455</v>
      </c>
      <c r="L28" s="1">
        <v>45472</v>
      </c>
      <c r="M28">
        <v>9764436141</v>
      </c>
      <c r="N28">
        <v>9960874913</v>
      </c>
      <c r="O28">
        <v>20</v>
      </c>
      <c r="P28">
        <v>1</v>
      </c>
      <c r="Q28">
        <v>1</v>
      </c>
      <c r="R28">
        <v>2</v>
      </c>
      <c r="S28">
        <v>2</v>
      </c>
      <c r="T28">
        <v>2</v>
      </c>
      <c r="U28">
        <v>2</v>
      </c>
      <c r="V28">
        <v>2</v>
      </c>
      <c r="W28">
        <v>2</v>
      </c>
      <c r="X28">
        <v>2</v>
      </c>
      <c r="Y28">
        <v>2</v>
      </c>
      <c r="AA28">
        <v>13.9</v>
      </c>
      <c r="AB28">
        <v>43.1</v>
      </c>
      <c r="AC28">
        <v>91.6</v>
      </c>
      <c r="AD28">
        <v>12.63</v>
      </c>
      <c r="AE28">
        <v>13</v>
      </c>
      <c r="AF28">
        <v>193</v>
      </c>
      <c r="AG28">
        <v>124.6</v>
      </c>
      <c r="AH28">
        <v>39</v>
      </c>
      <c r="AI28">
        <v>147</v>
      </c>
      <c r="AJ28">
        <v>29.4</v>
      </c>
      <c r="AK28">
        <v>192</v>
      </c>
      <c r="AO28" s="4" t="s">
        <v>115</v>
      </c>
      <c r="AQ28" s="4" t="s">
        <v>514</v>
      </c>
      <c r="AS28">
        <v>9</v>
      </c>
      <c r="AT28">
        <v>2</v>
      </c>
      <c r="AU28">
        <v>1</v>
      </c>
      <c r="AV28">
        <v>3</v>
      </c>
      <c r="AW28">
        <v>5</v>
      </c>
      <c r="AY28">
        <v>1</v>
      </c>
      <c r="AZ28">
        <v>2</v>
      </c>
      <c r="BA28">
        <v>1</v>
      </c>
      <c r="BB28">
        <v>1</v>
      </c>
      <c r="BD28">
        <v>2</v>
      </c>
      <c r="BE28">
        <v>2</v>
      </c>
      <c r="BF28">
        <v>0</v>
      </c>
      <c r="BG28">
        <v>100</v>
      </c>
      <c r="BH28">
        <v>1</v>
      </c>
      <c r="BI28">
        <v>2</v>
      </c>
      <c r="BJ28">
        <v>2</v>
      </c>
      <c r="BK28">
        <v>2</v>
      </c>
      <c r="BL28">
        <v>0</v>
      </c>
      <c r="BM28">
        <v>1</v>
      </c>
      <c r="BN28">
        <v>1</v>
      </c>
      <c r="BO28">
        <v>0</v>
      </c>
      <c r="BP28">
        <v>0</v>
      </c>
      <c r="BQ28">
        <v>0</v>
      </c>
      <c r="BR28">
        <v>0</v>
      </c>
      <c r="BS28">
        <v>0</v>
      </c>
      <c r="BT28">
        <v>0</v>
      </c>
      <c r="BU28">
        <v>0</v>
      </c>
      <c r="BV28">
        <v>9</v>
      </c>
      <c r="BW28">
        <v>1</v>
      </c>
      <c r="BX28">
        <v>1</v>
      </c>
      <c r="BY28">
        <v>0</v>
      </c>
    </row>
    <row r="29" spans="1:77" ht="105" x14ac:dyDescent="0.25">
      <c r="A29" t="s">
        <v>622</v>
      </c>
      <c r="B29" t="s">
        <v>465</v>
      </c>
      <c r="C29" t="s">
        <v>1098</v>
      </c>
      <c r="D29">
        <v>0</v>
      </c>
      <c r="E29">
        <v>36.904699999999998</v>
      </c>
      <c r="F29" s="3">
        <v>24000046727</v>
      </c>
      <c r="G29">
        <v>78</v>
      </c>
      <c r="H29">
        <v>1</v>
      </c>
      <c r="I29" s="1">
        <v>45437</v>
      </c>
      <c r="J29" s="2">
        <v>0.97916666666666663</v>
      </c>
      <c r="K29" s="1">
        <v>45437</v>
      </c>
      <c r="L29" s="1">
        <v>45443</v>
      </c>
      <c r="M29">
        <v>9423002874</v>
      </c>
      <c r="O29">
        <v>16</v>
      </c>
      <c r="P29">
        <v>1</v>
      </c>
      <c r="Q29">
        <v>1</v>
      </c>
      <c r="R29">
        <v>2</v>
      </c>
      <c r="S29">
        <v>1</v>
      </c>
      <c r="T29">
        <v>2</v>
      </c>
      <c r="U29">
        <v>2</v>
      </c>
      <c r="V29">
        <v>2</v>
      </c>
      <c r="W29">
        <v>2</v>
      </c>
      <c r="X29">
        <v>2</v>
      </c>
      <c r="Y29">
        <v>2</v>
      </c>
      <c r="AA29">
        <v>13.1</v>
      </c>
      <c r="AB29">
        <v>39.9</v>
      </c>
      <c r="AC29">
        <v>84.2</v>
      </c>
      <c r="AD29">
        <v>8.3000000000000007</v>
      </c>
      <c r="AE29">
        <v>6.4</v>
      </c>
      <c r="AF29">
        <v>157</v>
      </c>
      <c r="AG29">
        <v>90.4</v>
      </c>
      <c r="AH29">
        <v>43</v>
      </c>
      <c r="AI29">
        <v>118</v>
      </c>
      <c r="AJ29">
        <v>23.6</v>
      </c>
      <c r="AO29" s="4" t="s">
        <v>466</v>
      </c>
      <c r="AQ29" s="4" t="s">
        <v>467</v>
      </c>
      <c r="AS29">
        <v>8</v>
      </c>
      <c r="AT29">
        <v>2</v>
      </c>
      <c r="AU29">
        <v>1</v>
      </c>
      <c r="AV29">
        <v>2</v>
      </c>
      <c r="AW29">
        <v>5</v>
      </c>
      <c r="AY29">
        <v>1</v>
      </c>
      <c r="AZ29">
        <v>2</v>
      </c>
      <c r="BA29">
        <v>1</v>
      </c>
      <c r="BB29">
        <v>1</v>
      </c>
      <c r="BD29">
        <v>2</v>
      </c>
      <c r="BE29">
        <v>2</v>
      </c>
      <c r="BF29">
        <v>2</v>
      </c>
      <c r="BG29">
        <v>65</v>
      </c>
      <c r="BH29">
        <v>0</v>
      </c>
      <c r="BI29">
        <v>2</v>
      </c>
      <c r="BJ29">
        <v>2</v>
      </c>
      <c r="BK29">
        <v>2</v>
      </c>
      <c r="BL29">
        <v>1</v>
      </c>
      <c r="BM29">
        <v>1</v>
      </c>
      <c r="BN29">
        <v>1</v>
      </c>
      <c r="BO29">
        <v>0</v>
      </c>
      <c r="BP29">
        <v>0</v>
      </c>
      <c r="BQ29">
        <v>0</v>
      </c>
      <c r="BR29">
        <v>0</v>
      </c>
      <c r="BS29">
        <v>0</v>
      </c>
      <c r="BT29">
        <v>0</v>
      </c>
      <c r="BU29">
        <v>0</v>
      </c>
      <c r="BV29">
        <v>9</v>
      </c>
      <c r="BW29">
        <v>0</v>
      </c>
      <c r="BX29">
        <v>0</v>
      </c>
      <c r="BY29">
        <v>0</v>
      </c>
    </row>
    <row r="30" spans="1:77" x14ac:dyDescent="0.25">
      <c r="A30" t="s">
        <v>967</v>
      </c>
      <c r="B30" t="s">
        <v>959</v>
      </c>
      <c r="C30" t="s">
        <v>1150</v>
      </c>
      <c r="D30">
        <v>0</v>
      </c>
      <c r="E30">
        <v>107.10299999999999</v>
      </c>
      <c r="F30" s="3">
        <v>240000099453</v>
      </c>
      <c r="G30">
        <v>75</v>
      </c>
      <c r="H30">
        <v>2</v>
      </c>
      <c r="I30" s="1">
        <v>45621</v>
      </c>
      <c r="K30" s="1">
        <v>45622</v>
      </c>
      <c r="L30" s="1">
        <v>45635</v>
      </c>
      <c r="M30">
        <v>7028498899</v>
      </c>
      <c r="O30">
        <v>22</v>
      </c>
      <c r="P30">
        <v>1</v>
      </c>
      <c r="Q30">
        <v>1</v>
      </c>
      <c r="R30">
        <v>2</v>
      </c>
      <c r="S30">
        <v>2</v>
      </c>
      <c r="T30">
        <v>2</v>
      </c>
      <c r="U30">
        <v>2</v>
      </c>
      <c r="V30">
        <v>2</v>
      </c>
      <c r="W30">
        <v>2</v>
      </c>
      <c r="X30">
        <v>2</v>
      </c>
      <c r="Y30">
        <v>2</v>
      </c>
      <c r="AA30">
        <v>10.7</v>
      </c>
      <c r="AB30">
        <v>32.700000000000003</v>
      </c>
      <c r="AC30">
        <v>82.6</v>
      </c>
      <c r="AD30">
        <v>13.7</v>
      </c>
      <c r="AK30">
        <v>1136</v>
      </c>
      <c r="AO30" t="s">
        <v>960</v>
      </c>
      <c r="AQ30" t="s">
        <v>961</v>
      </c>
      <c r="AS30">
        <v>3</v>
      </c>
      <c r="AT30">
        <v>2</v>
      </c>
      <c r="AU30">
        <v>2</v>
      </c>
      <c r="AV30">
        <v>1</v>
      </c>
      <c r="AW30">
        <v>4</v>
      </c>
      <c r="AY30">
        <v>1</v>
      </c>
      <c r="AZ30">
        <v>1</v>
      </c>
      <c r="BA30">
        <v>2</v>
      </c>
      <c r="BC30">
        <v>4</v>
      </c>
      <c r="BD30">
        <v>2</v>
      </c>
      <c r="BE30">
        <v>2</v>
      </c>
      <c r="BF30">
        <v>6</v>
      </c>
      <c r="BG30">
        <v>0</v>
      </c>
      <c r="BH30">
        <v>1</v>
      </c>
      <c r="BI30">
        <v>2</v>
      </c>
      <c r="BJ30">
        <v>1</v>
      </c>
      <c r="BK30">
        <v>2</v>
      </c>
      <c r="BL30">
        <v>1</v>
      </c>
      <c r="BM30">
        <v>1</v>
      </c>
      <c r="BN30">
        <v>1</v>
      </c>
      <c r="BO30">
        <v>0</v>
      </c>
      <c r="BP30">
        <v>0</v>
      </c>
      <c r="BQ30">
        <v>0</v>
      </c>
      <c r="BR30">
        <v>0</v>
      </c>
      <c r="BS30">
        <v>0</v>
      </c>
      <c r="BT30">
        <v>0</v>
      </c>
      <c r="BU30">
        <v>0</v>
      </c>
      <c r="BV30">
        <v>9</v>
      </c>
      <c r="BW30">
        <v>1</v>
      </c>
      <c r="BX30">
        <v>1</v>
      </c>
      <c r="BY30">
        <v>1</v>
      </c>
    </row>
    <row r="31" spans="1:77" ht="135" x14ac:dyDescent="0.25">
      <c r="A31" t="s">
        <v>607</v>
      </c>
      <c r="B31" t="s">
        <v>499</v>
      </c>
      <c r="C31" t="s">
        <v>1108</v>
      </c>
      <c r="D31">
        <v>0</v>
      </c>
      <c r="E31">
        <v>218.59</v>
      </c>
      <c r="F31" s="3">
        <v>240000055967</v>
      </c>
      <c r="G31">
        <v>57</v>
      </c>
      <c r="H31">
        <v>2</v>
      </c>
      <c r="I31" s="1">
        <v>45468</v>
      </c>
      <c r="J31" s="2">
        <v>0.47916666666666669</v>
      </c>
      <c r="K31" s="1">
        <v>45469</v>
      </c>
      <c r="L31" s="1">
        <v>45472</v>
      </c>
      <c r="M31">
        <v>9881968945</v>
      </c>
      <c r="O31">
        <v>21</v>
      </c>
      <c r="P31">
        <v>2</v>
      </c>
      <c r="Q31">
        <v>2</v>
      </c>
      <c r="R31">
        <v>2</v>
      </c>
      <c r="S31">
        <v>2</v>
      </c>
      <c r="T31">
        <v>2</v>
      </c>
      <c r="U31">
        <v>2</v>
      </c>
      <c r="V31">
        <v>1</v>
      </c>
      <c r="W31">
        <v>2</v>
      </c>
      <c r="X31">
        <v>2</v>
      </c>
      <c r="Y31">
        <v>2</v>
      </c>
      <c r="AA31">
        <v>14.4</v>
      </c>
      <c r="AB31">
        <v>43</v>
      </c>
      <c r="AC31">
        <v>97.3</v>
      </c>
      <c r="AO31" s="4" t="s">
        <v>500</v>
      </c>
      <c r="AQ31" s="4" t="s">
        <v>501</v>
      </c>
      <c r="AS31">
        <v>3</v>
      </c>
      <c r="AT31">
        <v>2</v>
      </c>
      <c r="AU31">
        <v>1</v>
      </c>
      <c r="AV31">
        <v>3</v>
      </c>
      <c r="AW31">
        <v>4</v>
      </c>
      <c r="AY31">
        <v>1</v>
      </c>
      <c r="AZ31">
        <v>2</v>
      </c>
      <c r="BA31">
        <v>2</v>
      </c>
      <c r="BD31">
        <v>2</v>
      </c>
      <c r="BE31">
        <v>2</v>
      </c>
      <c r="BF31">
        <v>6</v>
      </c>
      <c r="BG31">
        <v>0</v>
      </c>
      <c r="BH31">
        <v>0</v>
      </c>
      <c r="BI31">
        <v>0</v>
      </c>
      <c r="BJ31">
        <v>0</v>
      </c>
      <c r="BK31">
        <v>0</v>
      </c>
      <c r="BL31">
        <v>0</v>
      </c>
      <c r="BM31">
        <v>0</v>
      </c>
      <c r="BN31">
        <v>0</v>
      </c>
      <c r="BO31">
        <v>1</v>
      </c>
      <c r="BP31">
        <v>2</v>
      </c>
      <c r="BQ31">
        <v>2</v>
      </c>
      <c r="BR31">
        <v>1</v>
      </c>
      <c r="BS31">
        <v>1</v>
      </c>
      <c r="BT31">
        <v>1</v>
      </c>
      <c r="BU31">
        <v>1</v>
      </c>
      <c r="BV31">
        <v>9</v>
      </c>
      <c r="BW31">
        <v>0</v>
      </c>
      <c r="BX31">
        <v>1</v>
      </c>
      <c r="BY31" t="s">
        <v>1109</v>
      </c>
    </row>
    <row r="32" spans="1:77" x14ac:dyDescent="0.25">
      <c r="A32" t="s">
        <v>1165</v>
      </c>
      <c r="B32" t="s">
        <v>301</v>
      </c>
      <c r="C32" t="s">
        <v>1166</v>
      </c>
      <c r="E32">
        <v>74.952500000000001</v>
      </c>
      <c r="F32" s="3">
        <v>230403075</v>
      </c>
      <c r="G32">
        <v>65</v>
      </c>
      <c r="H32">
        <v>2</v>
      </c>
      <c r="K32" s="1">
        <v>45035</v>
      </c>
      <c r="M32">
        <v>9158797476</v>
      </c>
      <c r="O32">
        <v>10</v>
      </c>
      <c r="P32">
        <v>2</v>
      </c>
      <c r="Q32">
        <v>1</v>
      </c>
      <c r="R32">
        <v>2</v>
      </c>
      <c r="S32">
        <v>2</v>
      </c>
      <c r="T32">
        <v>2</v>
      </c>
      <c r="U32">
        <v>2</v>
      </c>
      <c r="V32">
        <v>2</v>
      </c>
      <c r="W32">
        <v>2</v>
      </c>
      <c r="X32">
        <v>2</v>
      </c>
      <c r="Y32">
        <v>2</v>
      </c>
      <c r="AA32">
        <v>13</v>
      </c>
      <c r="AB32">
        <v>39.700000000000003</v>
      </c>
      <c r="AD32">
        <v>6.51</v>
      </c>
      <c r="AE32">
        <v>14.3</v>
      </c>
      <c r="AF32">
        <v>198</v>
      </c>
      <c r="AG32">
        <v>109.2</v>
      </c>
      <c r="AH32">
        <v>29</v>
      </c>
      <c r="AI32">
        <v>299</v>
      </c>
      <c r="AK32">
        <v>413</v>
      </c>
      <c r="AO32" s="4"/>
      <c r="AQ32" s="4"/>
      <c r="AS32">
        <v>7</v>
      </c>
      <c r="AT32">
        <v>2</v>
      </c>
      <c r="AU32">
        <v>1</v>
      </c>
      <c r="AV32">
        <v>2</v>
      </c>
      <c r="AW32">
        <v>4</v>
      </c>
      <c r="AY32">
        <v>1</v>
      </c>
      <c r="AZ32">
        <v>1</v>
      </c>
      <c r="BA32">
        <v>2</v>
      </c>
      <c r="BC32">
        <v>4</v>
      </c>
      <c r="BD32">
        <v>2</v>
      </c>
      <c r="BE32">
        <v>2</v>
      </c>
      <c r="BF32">
        <v>0</v>
      </c>
      <c r="BG32">
        <v>100</v>
      </c>
      <c r="BH32">
        <v>1</v>
      </c>
      <c r="BI32">
        <v>2</v>
      </c>
      <c r="BJ32">
        <v>2</v>
      </c>
      <c r="BK32">
        <v>2</v>
      </c>
      <c r="BL32">
        <v>1</v>
      </c>
      <c r="BM32">
        <v>1</v>
      </c>
      <c r="BN32">
        <v>1</v>
      </c>
      <c r="BV32">
        <v>10</v>
      </c>
      <c r="BW32">
        <v>1</v>
      </c>
      <c r="BX32">
        <v>1</v>
      </c>
    </row>
    <row r="33" spans="1:77" ht="30" x14ac:dyDescent="0.25">
      <c r="A33" t="s">
        <v>654</v>
      </c>
      <c r="B33" t="s">
        <v>265</v>
      </c>
      <c r="C33" t="s">
        <v>1042</v>
      </c>
      <c r="D33">
        <v>0</v>
      </c>
      <c r="E33">
        <v>107.77</v>
      </c>
      <c r="F33" s="3">
        <v>221105385</v>
      </c>
      <c r="G33">
        <v>26</v>
      </c>
      <c r="H33">
        <v>1</v>
      </c>
      <c r="K33" s="1">
        <v>44890</v>
      </c>
      <c r="L33" s="1">
        <v>44905</v>
      </c>
      <c r="M33">
        <v>7507493561</v>
      </c>
      <c r="O33">
        <v>20</v>
      </c>
      <c r="P33">
        <v>2</v>
      </c>
      <c r="Q33">
        <v>2</v>
      </c>
      <c r="R33">
        <v>1</v>
      </c>
      <c r="S33">
        <v>1</v>
      </c>
      <c r="T33">
        <v>1</v>
      </c>
      <c r="U33">
        <v>2</v>
      </c>
      <c r="V33">
        <v>2</v>
      </c>
      <c r="W33">
        <v>2</v>
      </c>
      <c r="X33">
        <v>2</v>
      </c>
      <c r="Y33">
        <v>2</v>
      </c>
      <c r="AA33">
        <v>15.7</v>
      </c>
      <c r="AB33">
        <v>45.2</v>
      </c>
      <c r="AC33">
        <v>11.76</v>
      </c>
      <c r="AD33">
        <v>17.3</v>
      </c>
      <c r="AE33">
        <v>4.5</v>
      </c>
      <c r="AF33">
        <v>120</v>
      </c>
      <c r="AG33">
        <v>66.2</v>
      </c>
      <c r="AH33">
        <v>36</v>
      </c>
      <c r="AI33">
        <v>89</v>
      </c>
      <c r="AJ33">
        <v>17.8</v>
      </c>
      <c r="AK33">
        <v>148</v>
      </c>
      <c r="AO33" s="4" t="s">
        <v>193</v>
      </c>
      <c r="AQ33" s="4"/>
      <c r="AS33">
        <v>8</v>
      </c>
      <c r="AT33">
        <v>2</v>
      </c>
      <c r="AU33">
        <v>1</v>
      </c>
      <c r="AV33">
        <v>3</v>
      </c>
      <c r="AW33">
        <v>4</v>
      </c>
      <c r="AY33">
        <v>1</v>
      </c>
      <c r="AZ33">
        <v>2</v>
      </c>
      <c r="BA33">
        <v>1</v>
      </c>
      <c r="BB33">
        <v>1</v>
      </c>
      <c r="BC33">
        <v>1</v>
      </c>
      <c r="BD33">
        <v>2</v>
      </c>
      <c r="BE33">
        <v>2</v>
      </c>
      <c r="BF33">
        <v>1</v>
      </c>
      <c r="BG33">
        <v>90</v>
      </c>
      <c r="BH33">
        <v>0</v>
      </c>
      <c r="BI33">
        <v>0</v>
      </c>
      <c r="BJ33">
        <v>0</v>
      </c>
      <c r="BK33">
        <v>0</v>
      </c>
      <c r="BL33">
        <v>0</v>
      </c>
      <c r="BM33">
        <v>0</v>
      </c>
      <c r="BN33">
        <v>0</v>
      </c>
      <c r="BO33">
        <v>1</v>
      </c>
      <c r="BP33">
        <v>2</v>
      </c>
      <c r="BQ33">
        <v>2</v>
      </c>
      <c r="BR33">
        <v>2</v>
      </c>
      <c r="BS33">
        <v>1</v>
      </c>
      <c r="BT33">
        <v>1</v>
      </c>
      <c r="BU33">
        <v>1</v>
      </c>
      <c r="BV33">
        <v>10</v>
      </c>
      <c r="BW33">
        <v>1</v>
      </c>
      <c r="BX33">
        <v>0</v>
      </c>
      <c r="BY33" t="s">
        <v>971</v>
      </c>
    </row>
    <row r="34" spans="1:77" ht="90" x14ac:dyDescent="0.25">
      <c r="A34" t="s">
        <v>684</v>
      </c>
      <c r="B34" t="s">
        <v>469</v>
      </c>
      <c r="C34" t="s">
        <v>1099</v>
      </c>
      <c r="D34">
        <v>0</v>
      </c>
      <c r="E34">
        <v>111.378</v>
      </c>
      <c r="F34" s="3">
        <v>24000004286</v>
      </c>
      <c r="G34">
        <v>41</v>
      </c>
      <c r="H34">
        <v>1</v>
      </c>
      <c r="I34" s="1">
        <v>45424</v>
      </c>
      <c r="J34" s="2">
        <v>0.46875</v>
      </c>
      <c r="K34" s="1">
        <v>45424</v>
      </c>
      <c r="L34" s="1">
        <v>45437</v>
      </c>
      <c r="M34">
        <v>8600702229</v>
      </c>
      <c r="O34">
        <v>9</v>
      </c>
      <c r="P34">
        <v>1</v>
      </c>
      <c r="Q34">
        <v>1</v>
      </c>
      <c r="R34">
        <v>2</v>
      </c>
      <c r="S34">
        <v>1</v>
      </c>
      <c r="T34">
        <v>2</v>
      </c>
      <c r="U34">
        <v>2</v>
      </c>
      <c r="V34">
        <v>2</v>
      </c>
      <c r="W34">
        <v>2</v>
      </c>
      <c r="X34">
        <v>2</v>
      </c>
      <c r="Y34">
        <v>2</v>
      </c>
      <c r="AA34">
        <v>15.4</v>
      </c>
      <c r="AB34">
        <v>43.8</v>
      </c>
      <c r="AC34">
        <v>90.6</v>
      </c>
      <c r="AD34">
        <v>32.46</v>
      </c>
      <c r="AE34">
        <v>6.1</v>
      </c>
      <c r="AF34">
        <v>229</v>
      </c>
      <c r="AH34">
        <v>34</v>
      </c>
      <c r="AI34">
        <v>553</v>
      </c>
      <c r="AK34">
        <v>213</v>
      </c>
      <c r="AO34" s="4" t="s">
        <v>470</v>
      </c>
      <c r="AQ34" s="4" t="s">
        <v>435</v>
      </c>
      <c r="AS34">
        <v>8</v>
      </c>
      <c r="AT34">
        <v>2</v>
      </c>
      <c r="AU34">
        <v>1</v>
      </c>
      <c r="AV34">
        <v>2</v>
      </c>
      <c r="AW34">
        <v>5</v>
      </c>
      <c r="AY34">
        <v>1</v>
      </c>
      <c r="AZ34">
        <v>1</v>
      </c>
      <c r="BA34">
        <v>1</v>
      </c>
      <c r="BB34">
        <v>1</v>
      </c>
      <c r="BC34">
        <v>4</v>
      </c>
      <c r="BD34">
        <v>2</v>
      </c>
      <c r="BE34">
        <v>1</v>
      </c>
      <c r="BF34">
        <v>0</v>
      </c>
      <c r="BG34">
        <v>100</v>
      </c>
      <c r="BH34">
        <v>1</v>
      </c>
      <c r="BI34">
        <v>2</v>
      </c>
      <c r="BJ34">
        <v>2</v>
      </c>
      <c r="BK34">
        <v>2</v>
      </c>
      <c r="BL34">
        <v>1</v>
      </c>
      <c r="BM34">
        <v>1</v>
      </c>
      <c r="BN34">
        <v>1</v>
      </c>
      <c r="BO34">
        <v>0</v>
      </c>
      <c r="BP34">
        <v>0</v>
      </c>
      <c r="BQ34">
        <v>0</v>
      </c>
      <c r="BR34">
        <v>0</v>
      </c>
      <c r="BS34">
        <v>0</v>
      </c>
      <c r="BT34">
        <v>0</v>
      </c>
      <c r="BU34">
        <v>0</v>
      </c>
      <c r="BV34">
        <v>10</v>
      </c>
      <c r="BW34">
        <v>1</v>
      </c>
      <c r="BX34">
        <v>1</v>
      </c>
      <c r="BY34">
        <v>0</v>
      </c>
    </row>
    <row r="35" spans="1:77" ht="375" x14ac:dyDescent="0.25">
      <c r="A35" t="s">
        <v>572</v>
      </c>
      <c r="B35" t="s">
        <v>426</v>
      </c>
      <c r="C35" t="s">
        <v>426</v>
      </c>
      <c r="D35">
        <v>1</v>
      </c>
      <c r="E35">
        <v>21.1355</v>
      </c>
      <c r="F35" s="3">
        <v>24000037353</v>
      </c>
      <c r="G35">
        <v>35</v>
      </c>
      <c r="H35">
        <v>1</v>
      </c>
      <c r="I35" s="1">
        <v>45405</v>
      </c>
      <c r="J35" s="2">
        <v>0.4375</v>
      </c>
      <c r="K35" s="1">
        <v>45405</v>
      </c>
      <c r="L35" s="1">
        <v>45411</v>
      </c>
      <c r="M35">
        <v>9881490701</v>
      </c>
      <c r="N35">
        <v>9075625071</v>
      </c>
      <c r="O35">
        <v>17</v>
      </c>
      <c r="P35">
        <v>2</v>
      </c>
      <c r="Q35">
        <v>2</v>
      </c>
      <c r="R35">
        <v>2</v>
      </c>
      <c r="S35">
        <v>2</v>
      </c>
      <c r="T35">
        <v>2</v>
      </c>
      <c r="U35">
        <v>2</v>
      </c>
      <c r="V35">
        <v>2</v>
      </c>
      <c r="W35">
        <v>2</v>
      </c>
      <c r="X35">
        <v>2</v>
      </c>
      <c r="Y35">
        <v>2</v>
      </c>
      <c r="Z35" t="s">
        <v>427</v>
      </c>
      <c r="AA35">
        <v>15.2</v>
      </c>
      <c r="AB35">
        <v>44.7</v>
      </c>
      <c r="AC35">
        <v>90.7</v>
      </c>
      <c r="AD35">
        <v>10.92</v>
      </c>
      <c r="AF35">
        <v>150</v>
      </c>
      <c r="AG35">
        <v>101</v>
      </c>
      <c r="AH35">
        <v>28</v>
      </c>
      <c r="AI35">
        <v>105</v>
      </c>
      <c r="AJ35">
        <v>21</v>
      </c>
      <c r="AK35">
        <v>238</v>
      </c>
      <c r="AL35">
        <v>21</v>
      </c>
      <c r="AO35" s="4" t="s">
        <v>428</v>
      </c>
      <c r="AQ35" s="4" t="s">
        <v>429</v>
      </c>
      <c r="AS35">
        <v>7</v>
      </c>
      <c r="AT35">
        <v>3</v>
      </c>
      <c r="AU35">
        <v>1</v>
      </c>
      <c r="AV35">
        <v>2</v>
      </c>
      <c r="AW35">
        <v>4</v>
      </c>
      <c r="AY35">
        <v>1</v>
      </c>
      <c r="AZ35">
        <v>1</v>
      </c>
      <c r="BA35">
        <v>2</v>
      </c>
      <c r="BD35">
        <v>1</v>
      </c>
      <c r="BE35">
        <v>2</v>
      </c>
      <c r="BF35">
        <v>0</v>
      </c>
      <c r="BG35">
        <v>100</v>
      </c>
      <c r="BH35">
        <v>0</v>
      </c>
      <c r="BI35">
        <v>0</v>
      </c>
      <c r="BJ35">
        <v>0</v>
      </c>
      <c r="BK35">
        <v>0</v>
      </c>
      <c r="BL35">
        <v>0</v>
      </c>
      <c r="BM35">
        <v>0</v>
      </c>
      <c r="BN35">
        <v>0</v>
      </c>
      <c r="BO35">
        <v>0</v>
      </c>
      <c r="BP35">
        <v>0</v>
      </c>
      <c r="BQ35">
        <v>0</v>
      </c>
      <c r="BR35">
        <v>0</v>
      </c>
      <c r="BS35">
        <v>1</v>
      </c>
      <c r="BT35">
        <v>1</v>
      </c>
      <c r="BU35">
        <v>1</v>
      </c>
      <c r="BV35">
        <v>3</v>
      </c>
      <c r="BW35">
        <v>0</v>
      </c>
      <c r="BX35">
        <v>1</v>
      </c>
      <c r="BY35" t="s">
        <v>1040</v>
      </c>
    </row>
    <row r="36" spans="1:77" ht="165" x14ac:dyDescent="0.25">
      <c r="A36" t="s">
        <v>575</v>
      </c>
      <c r="B36" t="s">
        <v>122</v>
      </c>
      <c r="C36" t="s">
        <v>996</v>
      </c>
      <c r="D36">
        <v>1</v>
      </c>
      <c r="E36">
        <v>66.090999999999994</v>
      </c>
      <c r="F36" s="3">
        <v>200401395</v>
      </c>
      <c r="G36">
        <v>53</v>
      </c>
      <c r="H36">
        <v>1</v>
      </c>
      <c r="I36" s="1">
        <v>44957</v>
      </c>
      <c r="J36" s="2">
        <v>0.85416666666666663</v>
      </c>
      <c r="K36" s="1">
        <v>44957</v>
      </c>
      <c r="L36" s="1">
        <v>44963</v>
      </c>
      <c r="M36">
        <v>9657461888</v>
      </c>
      <c r="O36">
        <v>24</v>
      </c>
      <c r="P36">
        <v>2</v>
      </c>
      <c r="Q36">
        <v>2</v>
      </c>
      <c r="R36">
        <v>2</v>
      </c>
      <c r="S36">
        <v>2</v>
      </c>
      <c r="T36">
        <v>2</v>
      </c>
      <c r="U36">
        <v>2</v>
      </c>
      <c r="V36">
        <v>2</v>
      </c>
      <c r="W36">
        <v>2</v>
      </c>
      <c r="X36">
        <v>2</v>
      </c>
      <c r="Y36">
        <v>2</v>
      </c>
      <c r="Z36" t="s">
        <v>123</v>
      </c>
      <c r="AA36">
        <v>13.4</v>
      </c>
      <c r="AB36">
        <v>37.9</v>
      </c>
      <c r="AC36">
        <v>97.1</v>
      </c>
      <c r="AD36">
        <v>20.57</v>
      </c>
      <c r="AK36">
        <v>209</v>
      </c>
      <c r="AO36" s="4" t="s">
        <v>124</v>
      </c>
      <c r="AQ36" s="4" t="s">
        <v>125</v>
      </c>
      <c r="AS36">
        <v>7</v>
      </c>
      <c r="AT36">
        <v>3</v>
      </c>
      <c r="AU36">
        <v>2</v>
      </c>
      <c r="AV36">
        <v>1</v>
      </c>
      <c r="AW36">
        <v>3</v>
      </c>
      <c r="AY36">
        <v>1</v>
      </c>
      <c r="AZ36">
        <v>2</v>
      </c>
      <c r="BA36">
        <v>1</v>
      </c>
      <c r="BB36">
        <v>1</v>
      </c>
      <c r="BF36">
        <v>3</v>
      </c>
      <c r="BG36">
        <v>60</v>
      </c>
      <c r="BH36">
        <v>0</v>
      </c>
      <c r="BI36">
        <v>0</v>
      </c>
      <c r="BJ36">
        <v>0</v>
      </c>
      <c r="BK36">
        <v>0</v>
      </c>
      <c r="BL36">
        <v>0</v>
      </c>
      <c r="BM36">
        <v>0</v>
      </c>
      <c r="BN36">
        <v>0</v>
      </c>
      <c r="BO36">
        <v>0</v>
      </c>
      <c r="BP36">
        <v>2</v>
      </c>
      <c r="BQ36">
        <v>0</v>
      </c>
      <c r="BR36">
        <v>0</v>
      </c>
      <c r="BS36">
        <v>0</v>
      </c>
      <c r="BT36">
        <v>0</v>
      </c>
      <c r="BU36">
        <v>1</v>
      </c>
      <c r="BV36">
        <v>4</v>
      </c>
      <c r="BW36">
        <v>0</v>
      </c>
      <c r="BX36">
        <v>1</v>
      </c>
      <c r="BY36">
        <v>0</v>
      </c>
    </row>
    <row r="37" spans="1:77" ht="135" x14ac:dyDescent="0.25">
      <c r="A37" t="s">
        <v>719</v>
      </c>
      <c r="B37" t="s">
        <v>515</v>
      </c>
      <c r="C37" t="s">
        <v>1114</v>
      </c>
      <c r="D37">
        <v>0</v>
      </c>
      <c r="E37">
        <v>80.924099999999996</v>
      </c>
      <c r="F37" s="3">
        <v>24000049989</v>
      </c>
      <c r="G37">
        <v>68</v>
      </c>
      <c r="H37">
        <v>2</v>
      </c>
      <c r="I37" s="1">
        <v>45448</v>
      </c>
      <c r="J37" s="2">
        <v>8.3333333333333329E-2</v>
      </c>
      <c r="K37" s="1">
        <v>45449</v>
      </c>
      <c r="L37" s="1">
        <v>45455</v>
      </c>
      <c r="M37">
        <v>7517721567</v>
      </c>
      <c r="O37">
        <v>12</v>
      </c>
      <c r="P37">
        <v>1</v>
      </c>
      <c r="Q37">
        <v>1</v>
      </c>
      <c r="R37">
        <v>2</v>
      </c>
      <c r="S37">
        <v>2</v>
      </c>
      <c r="T37">
        <v>2</v>
      </c>
      <c r="U37">
        <v>2</v>
      </c>
      <c r="V37">
        <v>2</v>
      </c>
      <c r="W37">
        <v>2</v>
      </c>
      <c r="X37">
        <v>2</v>
      </c>
      <c r="Y37">
        <v>1</v>
      </c>
      <c r="AA37">
        <v>14.3</v>
      </c>
      <c r="AB37">
        <v>42.8</v>
      </c>
      <c r="AC37">
        <v>91.5</v>
      </c>
      <c r="AE37">
        <v>11.1</v>
      </c>
      <c r="AF37">
        <v>196</v>
      </c>
      <c r="AG37">
        <v>127</v>
      </c>
      <c r="AH37">
        <v>43</v>
      </c>
      <c r="AI37">
        <v>130</v>
      </c>
      <c r="AJ37">
        <v>26</v>
      </c>
      <c r="AO37" s="4" t="s">
        <v>343</v>
      </c>
      <c r="AQ37" s="4" t="s">
        <v>516</v>
      </c>
      <c r="AS37">
        <v>9</v>
      </c>
      <c r="AT37">
        <v>3</v>
      </c>
      <c r="AU37">
        <v>1</v>
      </c>
      <c r="AV37">
        <v>3</v>
      </c>
      <c r="AW37">
        <v>5</v>
      </c>
      <c r="AY37">
        <v>1</v>
      </c>
      <c r="AZ37">
        <v>2</v>
      </c>
      <c r="BA37">
        <v>2</v>
      </c>
      <c r="BD37">
        <v>2</v>
      </c>
      <c r="BE37">
        <v>2</v>
      </c>
      <c r="BF37">
        <v>0</v>
      </c>
      <c r="BG37">
        <v>100</v>
      </c>
      <c r="BH37">
        <v>0</v>
      </c>
      <c r="BI37">
        <v>0</v>
      </c>
      <c r="BJ37">
        <v>0</v>
      </c>
      <c r="BK37">
        <v>0</v>
      </c>
      <c r="BL37">
        <v>0</v>
      </c>
      <c r="BM37">
        <v>0</v>
      </c>
      <c r="BN37">
        <v>0</v>
      </c>
      <c r="BO37">
        <v>0</v>
      </c>
      <c r="BP37">
        <v>0</v>
      </c>
      <c r="BQ37">
        <v>1</v>
      </c>
      <c r="BR37">
        <v>2</v>
      </c>
      <c r="BS37">
        <v>1</v>
      </c>
      <c r="BT37">
        <v>1</v>
      </c>
      <c r="BU37">
        <v>1</v>
      </c>
      <c r="BV37">
        <v>6</v>
      </c>
      <c r="BW37">
        <v>0</v>
      </c>
      <c r="BX37">
        <v>1</v>
      </c>
      <c r="BY37" t="s">
        <v>1110</v>
      </c>
    </row>
    <row r="38" spans="1:77" ht="120" x14ac:dyDescent="0.25">
      <c r="A38" t="s">
        <v>934</v>
      </c>
      <c r="B38" t="s">
        <v>266</v>
      </c>
      <c r="C38" t="s">
        <v>1043</v>
      </c>
      <c r="D38">
        <v>0</v>
      </c>
      <c r="E38">
        <v>81.093500000000006</v>
      </c>
      <c r="F38" s="3">
        <v>110402124</v>
      </c>
      <c r="G38">
        <v>51</v>
      </c>
      <c r="H38">
        <v>1</v>
      </c>
      <c r="K38" s="1">
        <v>44916</v>
      </c>
      <c r="L38" s="1">
        <v>44921</v>
      </c>
      <c r="M38">
        <v>9096943319</v>
      </c>
      <c r="N38">
        <v>7028841200</v>
      </c>
      <c r="O38">
        <v>12</v>
      </c>
      <c r="P38">
        <v>2</v>
      </c>
      <c r="Q38">
        <v>1</v>
      </c>
      <c r="R38">
        <v>2</v>
      </c>
      <c r="S38">
        <v>1</v>
      </c>
      <c r="T38">
        <v>2</v>
      </c>
      <c r="U38">
        <v>2</v>
      </c>
      <c r="V38">
        <v>2</v>
      </c>
      <c r="W38">
        <v>2</v>
      </c>
      <c r="X38">
        <v>2</v>
      </c>
      <c r="Y38">
        <v>2</v>
      </c>
      <c r="AA38">
        <v>13.3</v>
      </c>
      <c r="AB38">
        <v>41.5</v>
      </c>
      <c r="AD38">
        <v>30.8</v>
      </c>
      <c r="AE38">
        <v>8</v>
      </c>
      <c r="AK38">
        <v>153</v>
      </c>
      <c r="AO38" s="4" t="s">
        <v>267</v>
      </c>
      <c r="AQ38" s="4" t="s">
        <v>268</v>
      </c>
      <c r="AS38">
        <v>9</v>
      </c>
      <c r="AT38">
        <v>3</v>
      </c>
      <c r="AU38">
        <v>1</v>
      </c>
      <c r="AV38">
        <v>3</v>
      </c>
      <c r="AW38">
        <v>5</v>
      </c>
      <c r="AY38">
        <v>1</v>
      </c>
      <c r="AZ38">
        <v>1</v>
      </c>
      <c r="BA38">
        <v>2</v>
      </c>
      <c r="BC38">
        <v>3</v>
      </c>
      <c r="BD38">
        <v>2</v>
      </c>
      <c r="BE38">
        <v>2</v>
      </c>
      <c r="BF38">
        <v>4</v>
      </c>
      <c r="BG38">
        <v>50</v>
      </c>
      <c r="BH38">
        <v>0</v>
      </c>
      <c r="BI38">
        <v>0</v>
      </c>
      <c r="BJ38">
        <v>2</v>
      </c>
      <c r="BK38">
        <v>2</v>
      </c>
      <c r="BL38">
        <v>0</v>
      </c>
      <c r="BM38">
        <v>1</v>
      </c>
      <c r="BN38">
        <v>1</v>
      </c>
      <c r="BO38">
        <v>0</v>
      </c>
      <c r="BP38">
        <v>0</v>
      </c>
      <c r="BQ38">
        <v>0</v>
      </c>
      <c r="BR38">
        <v>0</v>
      </c>
      <c r="BS38">
        <v>0</v>
      </c>
      <c r="BT38">
        <v>0</v>
      </c>
      <c r="BU38">
        <v>0</v>
      </c>
      <c r="BV38">
        <v>6</v>
      </c>
      <c r="BW38">
        <v>1</v>
      </c>
      <c r="BX38">
        <v>0</v>
      </c>
      <c r="BY38">
        <v>0</v>
      </c>
    </row>
    <row r="39" spans="1:77" ht="150" x14ac:dyDescent="0.25">
      <c r="A39" t="s">
        <v>586</v>
      </c>
      <c r="B39" t="s">
        <v>419</v>
      </c>
      <c r="C39" t="s">
        <v>1087</v>
      </c>
      <c r="D39">
        <v>0</v>
      </c>
      <c r="E39" t="s">
        <v>1105</v>
      </c>
      <c r="F39" s="3">
        <v>240014695</v>
      </c>
      <c r="G39">
        <v>76</v>
      </c>
      <c r="H39">
        <v>1</v>
      </c>
      <c r="I39" s="1">
        <v>45389</v>
      </c>
      <c r="K39" s="1">
        <v>45389</v>
      </c>
      <c r="L39" s="1">
        <v>45389</v>
      </c>
      <c r="M39">
        <v>9226948505</v>
      </c>
      <c r="N39">
        <v>7249813749</v>
      </c>
      <c r="O39">
        <v>13</v>
      </c>
      <c r="P39">
        <v>1</v>
      </c>
      <c r="Q39">
        <v>2</v>
      </c>
      <c r="R39">
        <v>2</v>
      </c>
      <c r="S39">
        <v>1</v>
      </c>
      <c r="T39">
        <v>2</v>
      </c>
      <c r="U39">
        <v>2</v>
      </c>
      <c r="V39">
        <v>2</v>
      </c>
      <c r="W39">
        <v>2</v>
      </c>
      <c r="X39">
        <v>2</v>
      </c>
      <c r="Y39">
        <v>2</v>
      </c>
      <c r="AA39">
        <v>13.1</v>
      </c>
      <c r="AE39">
        <v>5.7</v>
      </c>
      <c r="AF39">
        <v>175</v>
      </c>
      <c r="AG39">
        <v>112.4</v>
      </c>
      <c r="AH39">
        <v>36</v>
      </c>
      <c r="AI39">
        <v>133</v>
      </c>
      <c r="AJ39">
        <v>26.6</v>
      </c>
      <c r="AK39">
        <v>332</v>
      </c>
      <c r="AL39">
        <v>61</v>
      </c>
      <c r="AO39" s="4" t="s">
        <v>420</v>
      </c>
      <c r="AQ39" s="4" t="s">
        <v>421</v>
      </c>
      <c r="AS39">
        <v>9</v>
      </c>
      <c r="AT39">
        <v>3</v>
      </c>
      <c r="AU39">
        <v>1</v>
      </c>
      <c r="AV39">
        <v>3</v>
      </c>
      <c r="AW39">
        <v>5</v>
      </c>
      <c r="AY39">
        <v>1</v>
      </c>
      <c r="AZ39">
        <v>2</v>
      </c>
      <c r="BA39">
        <v>1</v>
      </c>
      <c r="BB39">
        <v>1</v>
      </c>
      <c r="BD39">
        <v>2</v>
      </c>
      <c r="BE39">
        <v>2</v>
      </c>
      <c r="BF39">
        <v>6</v>
      </c>
      <c r="BG39">
        <v>0</v>
      </c>
      <c r="BH39">
        <v>0</v>
      </c>
      <c r="BI39">
        <v>1</v>
      </c>
      <c r="BJ39">
        <v>1</v>
      </c>
      <c r="BK39">
        <v>2</v>
      </c>
      <c r="BL39">
        <v>1</v>
      </c>
      <c r="BM39">
        <v>1</v>
      </c>
      <c r="BN39">
        <v>1</v>
      </c>
      <c r="BO39">
        <v>0</v>
      </c>
      <c r="BP39">
        <v>0</v>
      </c>
      <c r="BQ39">
        <v>0</v>
      </c>
      <c r="BR39">
        <v>0</v>
      </c>
      <c r="BS39">
        <v>0</v>
      </c>
      <c r="BT39">
        <v>0</v>
      </c>
      <c r="BU39">
        <v>0</v>
      </c>
      <c r="BV39">
        <v>7</v>
      </c>
      <c r="BW39">
        <v>1</v>
      </c>
      <c r="BX39">
        <v>0</v>
      </c>
      <c r="BY39" t="s">
        <v>1084</v>
      </c>
    </row>
    <row r="40" spans="1:77" ht="90" x14ac:dyDescent="0.25">
      <c r="A40" t="s">
        <v>587</v>
      </c>
      <c r="B40" t="s">
        <v>557</v>
      </c>
      <c r="C40" t="s">
        <v>1126</v>
      </c>
      <c r="D40">
        <v>0</v>
      </c>
      <c r="E40">
        <v>5.6083600000000002</v>
      </c>
      <c r="F40" s="3">
        <v>240031924</v>
      </c>
      <c r="G40">
        <v>45</v>
      </c>
      <c r="H40">
        <v>1</v>
      </c>
      <c r="I40" s="1">
        <v>45499</v>
      </c>
      <c r="J40" s="2">
        <v>0</v>
      </c>
      <c r="K40" s="1">
        <v>45502</v>
      </c>
      <c r="L40" s="1">
        <v>45504</v>
      </c>
      <c r="M40">
        <v>7038165474</v>
      </c>
      <c r="O40">
        <v>1</v>
      </c>
      <c r="P40">
        <v>2</v>
      </c>
      <c r="Q40">
        <v>2</v>
      </c>
      <c r="R40">
        <v>1</v>
      </c>
      <c r="S40">
        <v>1</v>
      </c>
      <c r="T40">
        <v>2</v>
      </c>
      <c r="U40">
        <v>2</v>
      </c>
      <c r="V40">
        <v>2</v>
      </c>
      <c r="W40">
        <v>2</v>
      </c>
      <c r="X40">
        <v>2</v>
      </c>
      <c r="Y40">
        <v>2</v>
      </c>
      <c r="AA40">
        <v>17.7</v>
      </c>
      <c r="AC40">
        <v>10.56</v>
      </c>
      <c r="AD40">
        <v>45.5</v>
      </c>
      <c r="AE40">
        <v>5.0999999999999996</v>
      </c>
      <c r="AF40">
        <v>190</v>
      </c>
      <c r="AG40">
        <v>103</v>
      </c>
      <c r="AH40">
        <v>28</v>
      </c>
      <c r="AI40">
        <v>293</v>
      </c>
      <c r="AJ40">
        <v>58</v>
      </c>
      <c r="AK40">
        <v>35</v>
      </c>
      <c r="AO40" s="4" t="s">
        <v>558</v>
      </c>
      <c r="AQ40" s="4" t="s">
        <v>559</v>
      </c>
      <c r="AS40">
        <v>10</v>
      </c>
      <c r="AT40">
        <v>3</v>
      </c>
      <c r="AU40">
        <v>1</v>
      </c>
      <c r="AV40">
        <v>3</v>
      </c>
      <c r="AW40">
        <v>5</v>
      </c>
      <c r="AY40">
        <v>1</v>
      </c>
      <c r="AZ40">
        <v>1</v>
      </c>
      <c r="BA40">
        <v>2</v>
      </c>
      <c r="BD40">
        <v>2</v>
      </c>
      <c r="BE40">
        <v>2</v>
      </c>
      <c r="BF40">
        <v>0</v>
      </c>
      <c r="BG40">
        <v>100</v>
      </c>
      <c r="BH40">
        <v>0</v>
      </c>
      <c r="BI40">
        <v>1</v>
      </c>
      <c r="BJ40">
        <v>1</v>
      </c>
      <c r="BK40">
        <v>2</v>
      </c>
      <c r="BL40">
        <v>1</v>
      </c>
      <c r="BM40">
        <v>1</v>
      </c>
      <c r="BN40">
        <v>1</v>
      </c>
      <c r="BO40">
        <v>0</v>
      </c>
      <c r="BP40">
        <v>0</v>
      </c>
      <c r="BQ40">
        <v>0</v>
      </c>
      <c r="BR40">
        <v>0</v>
      </c>
      <c r="BS40">
        <v>0</v>
      </c>
      <c r="BT40">
        <v>0</v>
      </c>
      <c r="BU40">
        <v>0</v>
      </c>
      <c r="BV40">
        <v>7</v>
      </c>
      <c r="BW40">
        <v>1</v>
      </c>
      <c r="BX40">
        <v>0</v>
      </c>
      <c r="BY40">
        <v>0</v>
      </c>
    </row>
    <row r="41" spans="1:77" ht="90" x14ac:dyDescent="0.25">
      <c r="A41" s="8" t="s">
        <v>935</v>
      </c>
      <c r="B41" s="8" t="s">
        <v>302</v>
      </c>
      <c r="C41" s="8" t="s">
        <v>1053</v>
      </c>
      <c r="D41" s="8">
        <v>0</v>
      </c>
      <c r="E41" s="8">
        <v>11.856</v>
      </c>
      <c r="F41" s="9">
        <v>230402759</v>
      </c>
      <c r="G41" s="8">
        <v>54</v>
      </c>
      <c r="H41" s="8">
        <v>1</v>
      </c>
      <c r="I41" s="10">
        <v>45034</v>
      </c>
      <c r="J41" s="11">
        <v>0.375</v>
      </c>
      <c r="K41" s="10">
        <v>45034</v>
      </c>
      <c r="L41" s="10">
        <v>45035</v>
      </c>
      <c r="M41" s="8">
        <v>8997444447</v>
      </c>
      <c r="N41" s="8"/>
      <c r="O41" s="8">
        <v>3</v>
      </c>
      <c r="P41" s="8">
        <v>2</v>
      </c>
      <c r="Q41" s="8">
        <v>1</v>
      </c>
      <c r="R41" s="8">
        <v>2</v>
      </c>
      <c r="S41" s="8">
        <v>2</v>
      </c>
      <c r="T41" s="8">
        <v>2</v>
      </c>
      <c r="U41" s="8">
        <v>2</v>
      </c>
      <c r="V41" s="8">
        <v>2</v>
      </c>
      <c r="W41" s="8">
        <v>2</v>
      </c>
      <c r="X41" s="8">
        <v>2</v>
      </c>
      <c r="Y41" s="8">
        <v>2</v>
      </c>
      <c r="Z41" s="8"/>
      <c r="AA41" s="8">
        <v>15.5</v>
      </c>
      <c r="AB41" s="8">
        <v>45.7</v>
      </c>
      <c r="AC41" s="8">
        <v>86.9</v>
      </c>
      <c r="AD41" s="8">
        <v>13</v>
      </c>
      <c r="AE41" s="8">
        <v>7.6</v>
      </c>
      <c r="AF41" s="8">
        <v>197</v>
      </c>
      <c r="AG41" s="8">
        <v>140</v>
      </c>
      <c r="AH41" s="8">
        <v>26</v>
      </c>
      <c r="AI41" s="8">
        <v>155</v>
      </c>
      <c r="AJ41" s="8">
        <v>31</v>
      </c>
      <c r="AK41" s="8">
        <v>213</v>
      </c>
      <c r="AL41" s="8"/>
      <c r="AM41" s="8"/>
      <c r="AN41" s="8"/>
      <c r="AO41" s="12" t="s">
        <v>303</v>
      </c>
      <c r="AP41" s="8"/>
      <c r="AQ41" s="12" t="s">
        <v>304</v>
      </c>
      <c r="AR41" s="8"/>
      <c r="AS41" s="8">
        <v>9</v>
      </c>
      <c r="AT41" s="8">
        <v>3</v>
      </c>
      <c r="AU41" s="8">
        <v>1</v>
      </c>
      <c r="AV41" s="8">
        <v>3</v>
      </c>
      <c r="AW41" s="8">
        <v>5</v>
      </c>
      <c r="AX41" s="8"/>
      <c r="AY41" s="8">
        <v>1</v>
      </c>
      <c r="AZ41" s="8">
        <v>1</v>
      </c>
      <c r="BA41" s="8">
        <v>2</v>
      </c>
      <c r="BB41" s="8"/>
      <c r="BC41" s="8"/>
      <c r="BD41" s="8">
        <v>2</v>
      </c>
      <c r="BE41" s="8">
        <v>2</v>
      </c>
      <c r="BF41" s="8">
        <v>0</v>
      </c>
      <c r="BG41" s="8">
        <v>100</v>
      </c>
      <c r="BH41" s="8">
        <v>0</v>
      </c>
      <c r="BI41" s="8">
        <v>0</v>
      </c>
      <c r="BJ41" s="8">
        <v>2</v>
      </c>
      <c r="BK41" s="8">
        <v>2</v>
      </c>
      <c r="BL41" s="8">
        <v>1</v>
      </c>
      <c r="BM41" s="8">
        <v>1</v>
      </c>
      <c r="BN41" s="8">
        <v>1</v>
      </c>
      <c r="BO41" s="8"/>
      <c r="BP41" s="8"/>
      <c r="BQ41" s="8"/>
      <c r="BR41" s="8"/>
      <c r="BS41" s="8"/>
      <c r="BT41" s="8"/>
      <c r="BU41" s="8"/>
      <c r="BV41" s="8">
        <v>7</v>
      </c>
      <c r="BW41" s="8">
        <v>1</v>
      </c>
      <c r="BX41" s="8">
        <v>0</v>
      </c>
      <c r="BY41" s="8">
        <v>1</v>
      </c>
    </row>
    <row r="42" spans="1:77" x14ac:dyDescent="0.25">
      <c r="A42" t="s">
        <v>856</v>
      </c>
      <c r="B42" t="s">
        <v>246</v>
      </c>
      <c r="C42" t="s">
        <v>1036</v>
      </c>
      <c r="D42">
        <v>1</v>
      </c>
      <c r="E42">
        <v>50.776800000000001</v>
      </c>
      <c r="F42" s="3">
        <v>220902571</v>
      </c>
      <c r="G42">
        <v>46</v>
      </c>
      <c r="H42">
        <v>1</v>
      </c>
      <c r="K42" s="1">
        <v>44819</v>
      </c>
      <c r="L42" s="1">
        <v>44846</v>
      </c>
      <c r="M42">
        <v>8421096277</v>
      </c>
      <c r="O42">
        <v>4</v>
      </c>
      <c r="P42">
        <v>1</v>
      </c>
      <c r="Q42">
        <v>1</v>
      </c>
      <c r="R42">
        <v>1</v>
      </c>
      <c r="S42">
        <v>1</v>
      </c>
      <c r="T42">
        <v>2</v>
      </c>
      <c r="U42">
        <v>2</v>
      </c>
      <c r="V42">
        <v>2</v>
      </c>
      <c r="W42">
        <v>2</v>
      </c>
      <c r="X42">
        <v>2</v>
      </c>
      <c r="Y42">
        <v>2</v>
      </c>
      <c r="AA42">
        <v>15.2</v>
      </c>
      <c r="AB42">
        <v>45.1</v>
      </c>
      <c r="AC42">
        <v>82</v>
      </c>
      <c r="AD42">
        <v>35.75</v>
      </c>
      <c r="AE42">
        <v>13.1</v>
      </c>
      <c r="AM42" t="s">
        <v>247</v>
      </c>
      <c r="AO42" t="s">
        <v>124</v>
      </c>
      <c r="AQ42" t="s">
        <v>248</v>
      </c>
      <c r="AS42">
        <v>9</v>
      </c>
      <c r="AT42">
        <v>3</v>
      </c>
      <c r="AU42">
        <v>1</v>
      </c>
      <c r="AV42">
        <v>3</v>
      </c>
      <c r="AW42">
        <v>5</v>
      </c>
      <c r="AY42">
        <v>1</v>
      </c>
      <c r="AZ42">
        <v>1</v>
      </c>
      <c r="BA42">
        <v>2</v>
      </c>
      <c r="BC42">
        <v>1</v>
      </c>
      <c r="BD42">
        <v>2</v>
      </c>
      <c r="BE42">
        <v>1</v>
      </c>
      <c r="BF42">
        <v>3</v>
      </c>
      <c r="BG42">
        <v>70</v>
      </c>
      <c r="BH42">
        <v>0</v>
      </c>
      <c r="BI42">
        <v>0</v>
      </c>
      <c r="BJ42">
        <v>0</v>
      </c>
      <c r="BK42">
        <v>0</v>
      </c>
      <c r="BL42">
        <v>0</v>
      </c>
      <c r="BM42">
        <v>0</v>
      </c>
      <c r="BN42">
        <v>0</v>
      </c>
      <c r="BO42">
        <v>0</v>
      </c>
      <c r="BP42">
        <v>1</v>
      </c>
      <c r="BQ42">
        <v>2</v>
      </c>
      <c r="BR42">
        <v>2</v>
      </c>
      <c r="BS42">
        <v>1</v>
      </c>
      <c r="BT42">
        <v>0</v>
      </c>
      <c r="BU42">
        <v>1</v>
      </c>
      <c r="BV42">
        <v>7</v>
      </c>
      <c r="BW42">
        <v>1</v>
      </c>
      <c r="BX42">
        <v>1</v>
      </c>
      <c r="BY42">
        <v>0</v>
      </c>
    </row>
    <row r="43" spans="1:77" ht="150" x14ac:dyDescent="0.25">
      <c r="A43" t="s">
        <v>588</v>
      </c>
      <c r="B43" t="s">
        <v>257</v>
      </c>
      <c r="C43" t="s">
        <v>1039</v>
      </c>
      <c r="D43">
        <v>1</v>
      </c>
      <c r="E43">
        <v>114.85899999999999</v>
      </c>
      <c r="F43" s="3">
        <v>220402919</v>
      </c>
      <c r="G43">
        <v>25</v>
      </c>
      <c r="H43">
        <v>1</v>
      </c>
      <c r="K43" s="1">
        <v>44872</v>
      </c>
      <c r="L43" s="1">
        <v>44873</v>
      </c>
      <c r="M43">
        <v>9762043447</v>
      </c>
      <c r="O43">
        <v>8</v>
      </c>
      <c r="P43">
        <v>2</v>
      </c>
      <c r="Q43">
        <v>2</v>
      </c>
      <c r="R43">
        <v>2</v>
      </c>
      <c r="S43">
        <v>2</v>
      </c>
      <c r="T43">
        <v>2</v>
      </c>
      <c r="U43">
        <v>2</v>
      </c>
      <c r="V43">
        <v>2</v>
      </c>
      <c r="W43">
        <v>2</v>
      </c>
      <c r="X43">
        <v>2</v>
      </c>
      <c r="Y43">
        <v>2</v>
      </c>
      <c r="AA43">
        <v>13.6</v>
      </c>
      <c r="AB43">
        <v>43.7</v>
      </c>
      <c r="AC43">
        <v>74.3</v>
      </c>
      <c r="AD43">
        <v>8.5299999999999994</v>
      </c>
      <c r="AF43">
        <v>166</v>
      </c>
      <c r="AG43">
        <v>101.4</v>
      </c>
      <c r="AH43">
        <v>29</v>
      </c>
      <c r="AI43">
        <v>178</v>
      </c>
      <c r="AJ43">
        <v>35.6</v>
      </c>
      <c r="AK43">
        <v>406</v>
      </c>
      <c r="AO43" s="4" t="s">
        <v>193</v>
      </c>
      <c r="AQ43" s="4" t="s">
        <v>258</v>
      </c>
      <c r="AS43">
        <v>9</v>
      </c>
      <c r="AT43">
        <v>3</v>
      </c>
      <c r="AU43">
        <v>1</v>
      </c>
      <c r="AV43">
        <v>3</v>
      </c>
      <c r="AW43">
        <v>5</v>
      </c>
      <c r="AY43">
        <v>1</v>
      </c>
      <c r="AZ43">
        <v>2</v>
      </c>
      <c r="BA43">
        <v>1</v>
      </c>
      <c r="BB43">
        <v>1</v>
      </c>
      <c r="BC43">
        <v>4</v>
      </c>
      <c r="BD43">
        <v>2</v>
      </c>
      <c r="BE43">
        <v>2</v>
      </c>
      <c r="BF43">
        <v>0</v>
      </c>
      <c r="BG43">
        <v>100</v>
      </c>
      <c r="BH43">
        <v>1</v>
      </c>
      <c r="BI43">
        <v>2</v>
      </c>
      <c r="BJ43">
        <v>0</v>
      </c>
      <c r="BK43">
        <v>1</v>
      </c>
      <c r="BL43">
        <v>1</v>
      </c>
      <c r="BM43">
        <v>1</v>
      </c>
      <c r="BN43">
        <v>1</v>
      </c>
      <c r="BO43">
        <v>0</v>
      </c>
      <c r="BP43">
        <v>0</v>
      </c>
      <c r="BQ43">
        <v>0</v>
      </c>
      <c r="BR43">
        <v>0</v>
      </c>
      <c r="BS43">
        <v>0</v>
      </c>
      <c r="BT43">
        <v>0</v>
      </c>
      <c r="BU43">
        <v>0</v>
      </c>
      <c r="BV43">
        <v>7</v>
      </c>
      <c r="BW43">
        <v>1</v>
      </c>
      <c r="BX43">
        <v>1</v>
      </c>
      <c r="BY43">
        <v>0</v>
      </c>
    </row>
    <row r="44" spans="1:77" ht="90" x14ac:dyDescent="0.25">
      <c r="A44" t="s">
        <v>935</v>
      </c>
      <c r="B44" t="s">
        <v>302</v>
      </c>
      <c r="C44" t="s">
        <v>1053</v>
      </c>
      <c r="D44">
        <v>0</v>
      </c>
      <c r="E44">
        <v>11.856</v>
      </c>
      <c r="F44" s="3">
        <v>230402759</v>
      </c>
      <c r="G44">
        <v>54</v>
      </c>
      <c r="H44">
        <v>1</v>
      </c>
      <c r="I44" s="1">
        <v>45034</v>
      </c>
      <c r="J44" s="2">
        <v>0.375</v>
      </c>
      <c r="K44" s="1">
        <v>45034</v>
      </c>
      <c r="L44" s="1">
        <v>45035</v>
      </c>
      <c r="M44">
        <v>8997444447</v>
      </c>
      <c r="O44">
        <v>3</v>
      </c>
      <c r="P44">
        <v>2</v>
      </c>
      <c r="Q44">
        <v>1</v>
      </c>
      <c r="R44">
        <v>2</v>
      </c>
      <c r="S44">
        <v>2</v>
      </c>
      <c r="T44">
        <v>2</v>
      </c>
      <c r="U44">
        <v>2</v>
      </c>
      <c r="V44">
        <v>2</v>
      </c>
      <c r="W44">
        <v>2</v>
      </c>
      <c r="X44">
        <v>2</v>
      </c>
      <c r="Y44">
        <v>2</v>
      </c>
      <c r="AA44">
        <v>15.5</v>
      </c>
      <c r="AB44">
        <v>45.7</v>
      </c>
      <c r="AC44">
        <v>86.9</v>
      </c>
      <c r="AD44">
        <v>13</v>
      </c>
      <c r="AE44">
        <v>7.6</v>
      </c>
      <c r="AF44">
        <v>197</v>
      </c>
      <c r="AG44">
        <v>140</v>
      </c>
      <c r="AH44">
        <v>26</v>
      </c>
      <c r="AI44">
        <v>155</v>
      </c>
      <c r="AJ44">
        <v>31</v>
      </c>
      <c r="AK44">
        <v>213</v>
      </c>
      <c r="AO44" s="4" t="s">
        <v>303</v>
      </c>
      <c r="AQ44" s="4" t="s">
        <v>304</v>
      </c>
      <c r="AS44">
        <v>9</v>
      </c>
      <c r="AT44">
        <v>3</v>
      </c>
      <c r="AU44">
        <v>1</v>
      </c>
      <c r="AV44">
        <v>3</v>
      </c>
      <c r="AW44">
        <v>5</v>
      </c>
      <c r="AY44">
        <v>1</v>
      </c>
      <c r="AZ44">
        <v>1</v>
      </c>
      <c r="BA44">
        <v>2</v>
      </c>
      <c r="BD44">
        <v>2</v>
      </c>
      <c r="BE44">
        <v>2</v>
      </c>
      <c r="BF44">
        <v>0</v>
      </c>
      <c r="BG44">
        <v>100</v>
      </c>
      <c r="BH44">
        <v>0</v>
      </c>
      <c r="BI44">
        <v>0</v>
      </c>
      <c r="BJ44">
        <v>2</v>
      </c>
      <c r="BK44">
        <v>2</v>
      </c>
      <c r="BL44">
        <v>1</v>
      </c>
      <c r="BM44">
        <v>1</v>
      </c>
      <c r="BN44">
        <v>1</v>
      </c>
      <c r="BV44">
        <v>7</v>
      </c>
      <c r="BW44">
        <v>1</v>
      </c>
      <c r="BX44">
        <v>0</v>
      </c>
      <c r="BY44">
        <v>1</v>
      </c>
    </row>
    <row r="45" spans="1:77" ht="120" x14ac:dyDescent="0.25">
      <c r="A45" t="s">
        <v>723</v>
      </c>
      <c r="B45" t="s">
        <v>445</v>
      </c>
      <c r="C45" t="s">
        <v>1092</v>
      </c>
      <c r="D45">
        <v>0</v>
      </c>
      <c r="E45" t="s">
        <v>979</v>
      </c>
      <c r="F45" s="3">
        <v>240015649</v>
      </c>
      <c r="G45">
        <v>68</v>
      </c>
      <c r="H45">
        <v>2</v>
      </c>
      <c r="I45" s="1">
        <v>45395</v>
      </c>
      <c r="J45" s="2">
        <v>0.41666666666666669</v>
      </c>
      <c r="K45" s="1">
        <v>45396</v>
      </c>
      <c r="L45" s="1">
        <v>45398</v>
      </c>
      <c r="M45">
        <v>9021100108</v>
      </c>
      <c r="O45">
        <v>0</v>
      </c>
      <c r="P45">
        <v>1</v>
      </c>
      <c r="Q45">
        <v>2</v>
      </c>
      <c r="R45">
        <v>2</v>
      </c>
      <c r="S45">
        <v>2</v>
      </c>
      <c r="T45">
        <v>2</v>
      </c>
      <c r="U45">
        <v>2</v>
      </c>
      <c r="V45">
        <v>2</v>
      </c>
      <c r="W45">
        <v>2</v>
      </c>
      <c r="X45">
        <v>2</v>
      </c>
      <c r="Y45">
        <v>2</v>
      </c>
      <c r="Z45" t="s">
        <v>446</v>
      </c>
      <c r="AA45">
        <v>10.8</v>
      </c>
      <c r="AB45">
        <v>33.9</v>
      </c>
      <c r="AC45">
        <v>13.6</v>
      </c>
      <c r="AD45">
        <v>6.18</v>
      </c>
      <c r="AE45">
        <v>6.9</v>
      </c>
      <c r="AF45">
        <v>239</v>
      </c>
      <c r="AG45">
        <v>156.4</v>
      </c>
      <c r="AH45">
        <v>48</v>
      </c>
      <c r="AI45">
        <v>173</v>
      </c>
      <c r="AJ45">
        <v>34.6</v>
      </c>
      <c r="AK45">
        <v>1560</v>
      </c>
      <c r="AO45" s="4" t="s">
        <v>447</v>
      </c>
      <c r="AQ45" s="4" t="s">
        <v>448</v>
      </c>
      <c r="AS45">
        <v>10</v>
      </c>
      <c r="AT45">
        <v>3</v>
      </c>
      <c r="AU45">
        <v>1</v>
      </c>
      <c r="AV45">
        <v>3</v>
      </c>
      <c r="AW45">
        <v>5</v>
      </c>
      <c r="AY45">
        <v>1</v>
      </c>
      <c r="AZ45">
        <v>1</v>
      </c>
      <c r="BA45">
        <v>2</v>
      </c>
      <c r="BD45">
        <v>2</v>
      </c>
      <c r="BE45">
        <v>2</v>
      </c>
      <c r="BF45">
        <v>2</v>
      </c>
      <c r="BG45">
        <v>70</v>
      </c>
      <c r="BH45">
        <v>1</v>
      </c>
      <c r="BI45">
        <v>2</v>
      </c>
      <c r="BJ45">
        <v>2</v>
      </c>
      <c r="BK45">
        <v>0</v>
      </c>
      <c r="BL45">
        <v>1</v>
      </c>
      <c r="BM45">
        <v>1</v>
      </c>
      <c r="BN45">
        <v>1</v>
      </c>
      <c r="BO45">
        <v>0</v>
      </c>
      <c r="BP45">
        <v>0</v>
      </c>
      <c r="BQ45">
        <v>0</v>
      </c>
      <c r="BR45">
        <v>0</v>
      </c>
      <c r="BS45">
        <v>0</v>
      </c>
      <c r="BT45">
        <v>0</v>
      </c>
      <c r="BU45">
        <v>0</v>
      </c>
      <c r="BV45">
        <v>8</v>
      </c>
      <c r="BW45">
        <v>1</v>
      </c>
      <c r="BX45">
        <v>1</v>
      </c>
      <c r="BY45">
        <v>0</v>
      </c>
    </row>
    <row r="46" spans="1:77" x14ac:dyDescent="0.25">
      <c r="A46" t="s">
        <v>923</v>
      </c>
      <c r="B46" t="s">
        <v>871</v>
      </c>
      <c r="C46" t="s">
        <v>1136</v>
      </c>
      <c r="D46">
        <v>0</v>
      </c>
      <c r="E46">
        <v>0.31514999999999999</v>
      </c>
      <c r="F46" s="3">
        <v>240000084235</v>
      </c>
      <c r="G46">
        <v>76</v>
      </c>
      <c r="H46">
        <v>1</v>
      </c>
      <c r="I46" s="1">
        <v>45564</v>
      </c>
      <c r="J46" s="2">
        <v>0.33333333333333331</v>
      </c>
      <c r="K46" s="1">
        <v>45564</v>
      </c>
      <c r="L46" s="1">
        <v>45565</v>
      </c>
      <c r="M46">
        <v>9975360762</v>
      </c>
      <c r="P46">
        <v>1</v>
      </c>
      <c r="Q46">
        <v>1</v>
      </c>
      <c r="R46">
        <v>2</v>
      </c>
      <c r="S46">
        <v>1</v>
      </c>
      <c r="T46">
        <v>2</v>
      </c>
      <c r="U46">
        <v>2</v>
      </c>
      <c r="V46">
        <v>2</v>
      </c>
      <c r="W46">
        <v>2</v>
      </c>
      <c r="X46">
        <v>2</v>
      </c>
      <c r="Y46">
        <v>2</v>
      </c>
      <c r="AA46">
        <v>13</v>
      </c>
      <c r="AB46">
        <v>38.799999999999997</v>
      </c>
      <c r="AC46">
        <v>90.8</v>
      </c>
      <c r="AK46">
        <v>148</v>
      </c>
      <c r="AO46" t="s">
        <v>872</v>
      </c>
      <c r="AQ46" t="s">
        <v>873</v>
      </c>
      <c r="AS46">
        <v>8</v>
      </c>
      <c r="AT46">
        <v>3</v>
      </c>
      <c r="AU46">
        <v>1</v>
      </c>
      <c r="AV46">
        <v>3</v>
      </c>
      <c r="AW46">
        <v>5</v>
      </c>
      <c r="AY46">
        <v>1</v>
      </c>
      <c r="AZ46">
        <v>1</v>
      </c>
      <c r="BA46">
        <v>2</v>
      </c>
      <c r="BC46">
        <v>4</v>
      </c>
      <c r="BD46">
        <v>2</v>
      </c>
      <c r="BE46">
        <v>2</v>
      </c>
      <c r="BF46">
        <v>0</v>
      </c>
      <c r="BG46">
        <v>100</v>
      </c>
      <c r="BH46">
        <v>0</v>
      </c>
      <c r="BI46">
        <v>0</v>
      </c>
      <c r="BJ46">
        <v>0</v>
      </c>
      <c r="BK46">
        <v>0</v>
      </c>
      <c r="BL46">
        <v>0</v>
      </c>
      <c r="BM46">
        <v>0</v>
      </c>
      <c r="BN46">
        <v>0</v>
      </c>
      <c r="BO46">
        <v>0</v>
      </c>
      <c r="BP46">
        <v>1</v>
      </c>
      <c r="BQ46">
        <v>2</v>
      </c>
      <c r="BR46">
        <v>2</v>
      </c>
      <c r="BS46">
        <v>1</v>
      </c>
      <c r="BT46">
        <v>1</v>
      </c>
      <c r="BU46">
        <v>1</v>
      </c>
      <c r="BV46">
        <v>8</v>
      </c>
      <c r="BW46">
        <v>1</v>
      </c>
      <c r="BX46">
        <v>1</v>
      </c>
      <c r="BY46">
        <v>1</v>
      </c>
    </row>
    <row r="47" spans="1:77" x14ac:dyDescent="0.25">
      <c r="A47" t="s">
        <v>814</v>
      </c>
      <c r="B47" t="s">
        <v>804</v>
      </c>
      <c r="C47" t="s">
        <v>1132</v>
      </c>
      <c r="D47">
        <v>0</v>
      </c>
      <c r="E47">
        <v>0.40682400000000002</v>
      </c>
      <c r="F47" s="3">
        <v>240033305</v>
      </c>
      <c r="G47">
        <v>81</v>
      </c>
      <c r="H47">
        <v>1</v>
      </c>
      <c r="I47" s="1">
        <v>45451</v>
      </c>
      <c r="J47" s="2">
        <v>0.5</v>
      </c>
      <c r="K47" s="1">
        <v>45451</v>
      </c>
      <c r="L47" s="1">
        <v>45573</v>
      </c>
      <c r="M47">
        <v>7020438411</v>
      </c>
      <c r="O47">
        <v>11</v>
      </c>
      <c r="P47">
        <v>1</v>
      </c>
      <c r="Q47">
        <v>2</v>
      </c>
      <c r="R47">
        <v>2</v>
      </c>
      <c r="S47">
        <v>2</v>
      </c>
      <c r="T47">
        <v>2</v>
      </c>
      <c r="U47">
        <v>2</v>
      </c>
      <c r="V47">
        <v>2</v>
      </c>
      <c r="W47">
        <v>2</v>
      </c>
      <c r="X47">
        <v>2</v>
      </c>
      <c r="Y47">
        <v>2</v>
      </c>
      <c r="AA47">
        <v>13.4</v>
      </c>
      <c r="AB47">
        <v>39.1</v>
      </c>
      <c r="AC47">
        <v>10.39</v>
      </c>
      <c r="AF47">
        <v>215</v>
      </c>
      <c r="AG47">
        <v>139</v>
      </c>
      <c r="AH47">
        <v>35</v>
      </c>
      <c r="AI47">
        <v>205</v>
      </c>
      <c r="AJ47">
        <v>41</v>
      </c>
      <c r="AO47" t="s">
        <v>805</v>
      </c>
      <c r="AQ47" t="s">
        <v>806</v>
      </c>
      <c r="AS47">
        <v>10</v>
      </c>
      <c r="AT47">
        <v>3</v>
      </c>
      <c r="AU47">
        <v>1</v>
      </c>
      <c r="AV47">
        <v>3</v>
      </c>
      <c r="AW47">
        <v>5</v>
      </c>
      <c r="AY47">
        <v>1</v>
      </c>
      <c r="BA47">
        <v>1</v>
      </c>
      <c r="BB47">
        <v>1</v>
      </c>
      <c r="BD47">
        <v>2</v>
      </c>
      <c r="BE47">
        <v>2</v>
      </c>
      <c r="BF47">
        <v>1</v>
      </c>
      <c r="BG47">
        <v>80</v>
      </c>
      <c r="BO47">
        <v>0</v>
      </c>
      <c r="BP47">
        <v>1</v>
      </c>
      <c r="BQ47">
        <v>2</v>
      </c>
      <c r="BR47">
        <v>2</v>
      </c>
      <c r="BS47">
        <v>1</v>
      </c>
      <c r="BT47">
        <v>1</v>
      </c>
      <c r="BU47">
        <v>1</v>
      </c>
      <c r="BV47">
        <v>8</v>
      </c>
      <c r="BW47">
        <v>1</v>
      </c>
      <c r="BX47">
        <v>1</v>
      </c>
      <c r="BY47">
        <v>0</v>
      </c>
    </row>
    <row r="48" spans="1:77" x14ac:dyDescent="0.25">
      <c r="A48" t="s">
        <v>963</v>
      </c>
      <c r="B48" t="s">
        <v>947</v>
      </c>
      <c r="C48" t="s">
        <v>947</v>
      </c>
      <c r="D48">
        <v>0</v>
      </c>
      <c r="E48">
        <v>1.1381399999999999</v>
      </c>
      <c r="F48" s="3">
        <v>240000097023</v>
      </c>
      <c r="G48">
        <v>69</v>
      </c>
      <c r="H48">
        <v>1</v>
      </c>
      <c r="I48" s="1">
        <v>45610</v>
      </c>
      <c r="J48" s="2">
        <v>0.60416666666666663</v>
      </c>
      <c r="K48" s="1">
        <v>45612</v>
      </c>
      <c r="O48">
        <v>3</v>
      </c>
      <c r="P48">
        <v>1</v>
      </c>
      <c r="Q48">
        <v>2</v>
      </c>
      <c r="R48">
        <v>2</v>
      </c>
      <c r="S48">
        <v>2</v>
      </c>
      <c r="T48">
        <v>2</v>
      </c>
      <c r="U48">
        <v>2</v>
      </c>
      <c r="V48">
        <v>2</v>
      </c>
      <c r="W48">
        <v>2</v>
      </c>
      <c r="X48">
        <v>2</v>
      </c>
      <c r="Y48">
        <v>2</v>
      </c>
      <c r="AO48" t="s">
        <v>948</v>
      </c>
      <c r="AQ48" t="s">
        <v>49</v>
      </c>
      <c r="AS48">
        <v>9</v>
      </c>
      <c r="AT48">
        <v>3</v>
      </c>
      <c r="AU48">
        <v>1</v>
      </c>
      <c r="AV48">
        <v>3</v>
      </c>
      <c r="AW48">
        <v>4</v>
      </c>
      <c r="AY48">
        <v>1</v>
      </c>
      <c r="AZ48">
        <v>1</v>
      </c>
      <c r="BA48">
        <v>2</v>
      </c>
      <c r="BC48">
        <v>4</v>
      </c>
      <c r="BD48">
        <v>2</v>
      </c>
      <c r="BE48">
        <v>2</v>
      </c>
      <c r="BF48">
        <v>0</v>
      </c>
      <c r="BG48">
        <v>100</v>
      </c>
      <c r="BH48">
        <v>0</v>
      </c>
      <c r="BI48">
        <v>0</v>
      </c>
      <c r="BJ48">
        <v>0</v>
      </c>
      <c r="BK48">
        <v>0</v>
      </c>
      <c r="BL48">
        <v>0</v>
      </c>
      <c r="BM48">
        <v>0</v>
      </c>
      <c r="BN48">
        <v>0</v>
      </c>
      <c r="BO48">
        <v>0</v>
      </c>
      <c r="BP48">
        <v>1</v>
      </c>
      <c r="BQ48">
        <v>2</v>
      </c>
      <c r="BR48">
        <v>2</v>
      </c>
      <c r="BS48">
        <v>1</v>
      </c>
      <c r="BT48">
        <v>1</v>
      </c>
      <c r="BU48">
        <v>1</v>
      </c>
      <c r="BV48">
        <v>8</v>
      </c>
      <c r="BW48">
        <v>1</v>
      </c>
      <c r="BX48">
        <v>1</v>
      </c>
      <c r="BY48">
        <v>1</v>
      </c>
    </row>
    <row r="49" spans="1:77" ht="375" x14ac:dyDescent="0.25">
      <c r="A49" t="s">
        <v>602</v>
      </c>
      <c r="B49" t="s">
        <v>225</v>
      </c>
      <c r="C49" t="s">
        <v>225</v>
      </c>
      <c r="D49">
        <v>1</v>
      </c>
      <c r="E49">
        <v>1.1534199999999999</v>
      </c>
      <c r="F49" s="3">
        <v>230010594</v>
      </c>
      <c r="G49">
        <v>72</v>
      </c>
      <c r="H49">
        <v>1</v>
      </c>
      <c r="I49" s="1">
        <v>45266</v>
      </c>
      <c r="J49" s="2">
        <v>0.35416666666666669</v>
      </c>
      <c r="K49" s="1">
        <v>45266</v>
      </c>
      <c r="L49" s="1">
        <v>45267</v>
      </c>
      <c r="M49">
        <v>9325344148</v>
      </c>
      <c r="O49">
        <v>10</v>
      </c>
      <c r="P49">
        <v>2</v>
      </c>
      <c r="Q49">
        <v>2</v>
      </c>
      <c r="R49">
        <v>2</v>
      </c>
      <c r="S49">
        <v>2</v>
      </c>
      <c r="T49">
        <v>2</v>
      </c>
      <c r="U49">
        <v>2</v>
      </c>
      <c r="V49">
        <v>2</v>
      </c>
      <c r="W49">
        <v>2</v>
      </c>
      <c r="X49">
        <v>2</v>
      </c>
      <c r="Y49">
        <v>2</v>
      </c>
      <c r="AA49">
        <v>12.1</v>
      </c>
      <c r="AB49">
        <v>43.2</v>
      </c>
      <c r="AC49">
        <v>98.6</v>
      </c>
      <c r="AD49">
        <v>77.569999999999993</v>
      </c>
      <c r="AE49">
        <v>5.3</v>
      </c>
      <c r="AF49">
        <v>166</v>
      </c>
      <c r="AG49">
        <v>123.4</v>
      </c>
      <c r="AH49">
        <v>25</v>
      </c>
      <c r="AI49">
        <v>88</v>
      </c>
      <c r="AJ49">
        <v>17.600000000000001</v>
      </c>
      <c r="AK49">
        <v>2000</v>
      </c>
      <c r="AO49" s="4" t="s">
        <v>226</v>
      </c>
      <c r="AQ49" s="4" t="s">
        <v>227</v>
      </c>
      <c r="AS49">
        <v>10</v>
      </c>
      <c r="AT49">
        <v>3</v>
      </c>
      <c r="AU49">
        <v>1</v>
      </c>
      <c r="AV49">
        <v>3</v>
      </c>
      <c r="AW49">
        <v>5</v>
      </c>
      <c r="AY49">
        <v>1</v>
      </c>
      <c r="AZ49">
        <v>1</v>
      </c>
      <c r="BA49">
        <v>2</v>
      </c>
      <c r="BC49">
        <v>4</v>
      </c>
      <c r="BD49">
        <v>2</v>
      </c>
      <c r="BE49">
        <v>2</v>
      </c>
      <c r="BF49">
        <v>2</v>
      </c>
      <c r="BG49">
        <v>80</v>
      </c>
      <c r="BH49">
        <v>0</v>
      </c>
      <c r="BI49">
        <v>0</v>
      </c>
      <c r="BJ49">
        <v>0</v>
      </c>
      <c r="BK49">
        <v>0</v>
      </c>
      <c r="BL49">
        <v>0</v>
      </c>
      <c r="BM49">
        <v>0</v>
      </c>
      <c r="BN49">
        <v>0</v>
      </c>
      <c r="BO49">
        <v>0</v>
      </c>
      <c r="BP49">
        <v>1</v>
      </c>
      <c r="BQ49">
        <v>2</v>
      </c>
      <c r="BR49">
        <v>2</v>
      </c>
      <c r="BS49">
        <v>1</v>
      </c>
      <c r="BT49">
        <v>1</v>
      </c>
      <c r="BU49">
        <v>1</v>
      </c>
      <c r="BV49">
        <v>8</v>
      </c>
      <c r="BW49">
        <v>0</v>
      </c>
      <c r="BX49">
        <v>0</v>
      </c>
      <c r="BY49">
        <v>0</v>
      </c>
    </row>
    <row r="50" spans="1:77" ht="285" x14ac:dyDescent="0.25">
      <c r="A50" t="s">
        <v>1157</v>
      </c>
      <c r="B50" t="s">
        <v>291</v>
      </c>
      <c r="C50" t="e">
        <v>#N/A</v>
      </c>
      <c r="D50">
        <v>1</v>
      </c>
      <c r="E50">
        <v>2.2731300000000001</v>
      </c>
      <c r="F50" s="3">
        <v>201200469</v>
      </c>
      <c r="G50">
        <v>73</v>
      </c>
      <c r="H50">
        <v>1</v>
      </c>
      <c r="I50" s="1">
        <v>45063</v>
      </c>
      <c r="K50" s="1">
        <v>45065</v>
      </c>
      <c r="L50" s="1">
        <v>45075</v>
      </c>
      <c r="M50">
        <v>9822495454</v>
      </c>
      <c r="O50">
        <v>6</v>
      </c>
      <c r="P50">
        <v>1</v>
      </c>
      <c r="Q50">
        <v>1</v>
      </c>
      <c r="R50">
        <v>1</v>
      </c>
      <c r="S50">
        <v>2</v>
      </c>
      <c r="T50">
        <v>2</v>
      </c>
      <c r="U50">
        <v>2</v>
      </c>
      <c r="V50">
        <v>2</v>
      </c>
      <c r="W50">
        <v>2</v>
      </c>
      <c r="X50">
        <v>2</v>
      </c>
      <c r="Y50">
        <v>1</v>
      </c>
      <c r="AA50">
        <v>12</v>
      </c>
      <c r="AB50">
        <v>40</v>
      </c>
      <c r="AC50">
        <v>84.6</v>
      </c>
      <c r="AE50">
        <v>7</v>
      </c>
      <c r="AK50">
        <v>806</v>
      </c>
      <c r="AO50" s="4" t="s">
        <v>292</v>
      </c>
      <c r="AQ50" s="4" t="s">
        <v>293</v>
      </c>
      <c r="AS50">
        <v>10</v>
      </c>
      <c r="AT50">
        <v>3</v>
      </c>
      <c r="AV50">
        <v>3</v>
      </c>
      <c r="AW50">
        <v>5</v>
      </c>
      <c r="AY50">
        <v>1</v>
      </c>
      <c r="AZ50">
        <v>2</v>
      </c>
      <c r="BA50">
        <v>2</v>
      </c>
      <c r="BD50">
        <v>2</v>
      </c>
      <c r="BE50">
        <v>2</v>
      </c>
      <c r="BH50" s="13"/>
      <c r="BI50" s="13"/>
      <c r="BJ50" s="13"/>
      <c r="BK50" s="13"/>
      <c r="BL50" s="13"/>
      <c r="BM50" s="13"/>
      <c r="BN50" s="13"/>
      <c r="BO50" s="13">
        <v>0</v>
      </c>
      <c r="BP50" s="13">
        <v>1</v>
      </c>
      <c r="BQ50" s="13">
        <v>2</v>
      </c>
      <c r="BR50" s="13">
        <v>2</v>
      </c>
      <c r="BS50" s="13">
        <v>1</v>
      </c>
      <c r="BT50" s="13">
        <v>1</v>
      </c>
      <c r="BU50" s="13">
        <v>1</v>
      </c>
      <c r="BV50" s="13">
        <v>8</v>
      </c>
      <c r="BW50" s="13">
        <v>1</v>
      </c>
      <c r="BX50" s="13">
        <v>1</v>
      </c>
      <c r="BY50" s="13"/>
    </row>
    <row r="51" spans="1:77" x14ac:dyDescent="0.25">
      <c r="A51" t="s">
        <v>922</v>
      </c>
      <c r="B51" t="s">
        <v>867</v>
      </c>
      <c r="C51" t="s">
        <v>1135</v>
      </c>
      <c r="D51">
        <v>0</v>
      </c>
      <c r="E51">
        <v>2.9219599999999999</v>
      </c>
      <c r="F51" s="3">
        <v>240000084164</v>
      </c>
      <c r="G51">
        <v>77</v>
      </c>
      <c r="H51">
        <v>1</v>
      </c>
      <c r="I51" s="1">
        <v>45563</v>
      </c>
      <c r="J51" s="2">
        <v>0.625</v>
      </c>
      <c r="K51" s="1">
        <v>45564</v>
      </c>
      <c r="L51" s="1">
        <v>45568</v>
      </c>
      <c r="M51">
        <v>9561573153</v>
      </c>
      <c r="O51">
        <v>11</v>
      </c>
      <c r="P51">
        <v>1</v>
      </c>
      <c r="Q51">
        <v>2</v>
      </c>
      <c r="R51">
        <v>2</v>
      </c>
      <c r="S51">
        <v>2</v>
      </c>
      <c r="T51">
        <v>2</v>
      </c>
      <c r="U51">
        <v>2</v>
      </c>
      <c r="V51">
        <v>2</v>
      </c>
      <c r="W51">
        <v>1</v>
      </c>
      <c r="X51">
        <v>2</v>
      </c>
      <c r="Y51">
        <v>1</v>
      </c>
      <c r="Z51" t="s">
        <v>868</v>
      </c>
      <c r="AA51">
        <v>14.4</v>
      </c>
      <c r="AB51">
        <v>44.2</v>
      </c>
      <c r="AC51">
        <v>88.8</v>
      </c>
      <c r="AD51">
        <v>26.4</v>
      </c>
      <c r="AE51">
        <v>5.8</v>
      </c>
      <c r="AF51">
        <v>216</v>
      </c>
      <c r="AG51">
        <v>156</v>
      </c>
      <c r="AH51">
        <v>44</v>
      </c>
      <c r="AI51">
        <v>76</v>
      </c>
      <c r="AJ51">
        <v>15.2</v>
      </c>
      <c r="AK51">
        <v>174</v>
      </c>
      <c r="AO51" t="s">
        <v>869</v>
      </c>
      <c r="AQ51" t="s">
        <v>870</v>
      </c>
      <c r="AS51">
        <v>9</v>
      </c>
      <c r="AT51">
        <v>3</v>
      </c>
      <c r="AU51">
        <v>1</v>
      </c>
      <c r="AV51">
        <v>3</v>
      </c>
      <c r="AW51">
        <v>5</v>
      </c>
      <c r="AY51">
        <v>1</v>
      </c>
      <c r="AZ51">
        <v>1</v>
      </c>
      <c r="BA51">
        <v>2</v>
      </c>
      <c r="BC51">
        <v>4</v>
      </c>
      <c r="BD51">
        <v>2</v>
      </c>
      <c r="BE51">
        <v>2</v>
      </c>
      <c r="BF51">
        <v>6</v>
      </c>
      <c r="BG51">
        <v>0</v>
      </c>
      <c r="BH51">
        <v>0</v>
      </c>
      <c r="BI51">
        <v>0</v>
      </c>
      <c r="BJ51">
        <v>0</v>
      </c>
      <c r="BK51">
        <v>0</v>
      </c>
      <c r="BL51">
        <v>0</v>
      </c>
      <c r="BM51">
        <v>0</v>
      </c>
      <c r="BN51">
        <v>0</v>
      </c>
      <c r="BO51">
        <v>0</v>
      </c>
      <c r="BP51">
        <v>1</v>
      </c>
      <c r="BQ51">
        <v>2</v>
      </c>
      <c r="BR51">
        <v>2</v>
      </c>
      <c r="BS51">
        <v>1</v>
      </c>
      <c r="BT51">
        <v>1</v>
      </c>
      <c r="BU51">
        <v>1</v>
      </c>
      <c r="BV51">
        <v>8</v>
      </c>
      <c r="BW51">
        <v>1</v>
      </c>
      <c r="BX51">
        <v>1</v>
      </c>
      <c r="BY51">
        <v>1</v>
      </c>
    </row>
    <row r="52" spans="1:77" ht="300" x14ac:dyDescent="0.25">
      <c r="A52" t="s">
        <v>597</v>
      </c>
      <c r="B52" t="s">
        <v>10</v>
      </c>
      <c r="C52" t="s">
        <v>970</v>
      </c>
      <c r="D52">
        <v>1</v>
      </c>
      <c r="E52">
        <v>3.5161199999999999</v>
      </c>
      <c r="F52" s="3">
        <v>200900562</v>
      </c>
      <c r="G52">
        <v>55</v>
      </c>
      <c r="H52">
        <v>1</v>
      </c>
      <c r="I52" s="1">
        <v>45180</v>
      </c>
      <c r="J52" s="2">
        <v>0.27083333333333331</v>
      </c>
      <c r="K52" s="1">
        <v>45180</v>
      </c>
      <c r="L52" s="1">
        <v>45204</v>
      </c>
      <c r="M52">
        <v>9890854804</v>
      </c>
      <c r="O52">
        <v>8</v>
      </c>
      <c r="P52">
        <v>1</v>
      </c>
      <c r="Q52">
        <v>1</v>
      </c>
      <c r="R52">
        <v>2</v>
      </c>
      <c r="S52">
        <v>2</v>
      </c>
      <c r="T52">
        <v>2</v>
      </c>
      <c r="U52">
        <v>2</v>
      </c>
      <c r="V52">
        <v>2</v>
      </c>
      <c r="W52">
        <v>1</v>
      </c>
      <c r="X52">
        <v>2</v>
      </c>
      <c r="Y52">
        <v>2</v>
      </c>
      <c r="Z52" t="s">
        <v>11</v>
      </c>
      <c r="AA52">
        <v>13.2</v>
      </c>
      <c r="AB52">
        <v>39.4</v>
      </c>
      <c r="AC52">
        <v>81.400000000000006</v>
      </c>
      <c r="AD52">
        <v>10.9</v>
      </c>
      <c r="AE52">
        <v>8.5</v>
      </c>
      <c r="AF52">
        <v>96</v>
      </c>
      <c r="AG52">
        <v>42.6</v>
      </c>
      <c r="AH52">
        <v>33</v>
      </c>
      <c r="AI52">
        <v>102</v>
      </c>
      <c r="AJ52">
        <v>20.399999999999999</v>
      </c>
      <c r="AK52">
        <v>213</v>
      </c>
      <c r="AO52" s="4" t="s">
        <v>12</v>
      </c>
      <c r="AQ52" s="4" t="s">
        <v>13</v>
      </c>
      <c r="AS52">
        <v>8</v>
      </c>
      <c r="AT52">
        <v>3</v>
      </c>
      <c r="AU52">
        <v>1</v>
      </c>
      <c r="AV52">
        <v>2</v>
      </c>
      <c r="AW52">
        <v>4</v>
      </c>
      <c r="AY52">
        <v>1</v>
      </c>
      <c r="AZ52">
        <v>2</v>
      </c>
      <c r="BA52">
        <v>2</v>
      </c>
      <c r="BD52">
        <v>2</v>
      </c>
      <c r="BE52">
        <v>1</v>
      </c>
      <c r="BF52">
        <v>4</v>
      </c>
      <c r="BG52">
        <v>45</v>
      </c>
      <c r="BH52">
        <v>0</v>
      </c>
      <c r="BI52">
        <v>2</v>
      </c>
      <c r="BJ52">
        <v>2</v>
      </c>
      <c r="BK52">
        <v>1</v>
      </c>
      <c r="BL52">
        <v>1</v>
      </c>
      <c r="BM52">
        <v>1</v>
      </c>
      <c r="BN52">
        <v>1</v>
      </c>
      <c r="BO52">
        <v>0</v>
      </c>
      <c r="BP52">
        <v>0</v>
      </c>
      <c r="BQ52">
        <v>0</v>
      </c>
      <c r="BR52">
        <v>0</v>
      </c>
      <c r="BS52">
        <v>0</v>
      </c>
      <c r="BT52">
        <v>0</v>
      </c>
      <c r="BU52">
        <v>0</v>
      </c>
      <c r="BV52">
        <v>8</v>
      </c>
      <c r="BW52">
        <v>1</v>
      </c>
      <c r="BX52">
        <v>0</v>
      </c>
      <c r="BY52" t="s">
        <v>971</v>
      </c>
    </row>
    <row r="53" spans="1:77" ht="285" x14ac:dyDescent="0.25">
      <c r="A53" t="s">
        <v>711</v>
      </c>
      <c r="B53" t="s">
        <v>412</v>
      </c>
      <c r="C53" t="s">
        <v>1085</v>
      </c>
      <c r="D53">
        <v>0</v>
      </c>
      <c r="E53">
        <v>7.3615700000000004</v>
      </c>
      <c r="F53" s="3">
        <v>240000023896</v>
      </c>
      <c r="G53">
        <v>74</v>
      </c>
      <c r="H53">
        <v>1</v>
      </c>
      <c r="I53" s="1">
        <v>45382</v>
      </c>
      <c r="K53" s="1">
        <v>45384</v>
      </c>
      <c r="L53" s="1">
        <v>45386</v>
      </c>
      <c r="M53">
        <v>9011783896</v>
      </c>
      <c r="O53">
        <v>15</v>
      </c>
      <c r="P53">
        <v>1</v>
      </c>
      <c r="Q53">
        <v>1</v>
      </c>
      <c r="R53">
        <v>2</v>
      </c>
      <c r="S53">
        <v>2</v>
      </c>
      <c r="T53">
        <v>2</v>
      </c>
      <c r="U53">
        <v>2</v>
      </c>
      <c r="V53">
        <v>2</v>
      </c>
      <c r="W53">
        <v>2</v>
      </c>
      <c r="X53">
        <v>2</v>
      </c>
      <c r="Y53">
        <v>2</v>
      </c>
      <c r="Z53" t="s">
        <v>23</v>
      </c>
      <c r="AA53">
        <v>9.9</v>
      </c>
      <c r="AB53">
        <v>30.3</v>
      </c>
      <c r="AC53">
        <v>85.9</v>
      </c>
      <c r="AD53">
        <v>16.739999999999998</v>
      </c>
      <c r="AE53">
        <v>7.6</v>
      </c>
      <c r="AF53">
        <v>148</v>
      </c>
      <c r="AG53">
        <v>67.400000000000006</v>
      </c>
      <c r="AH53">
        <v>34</v>
      </c>
      <c r="AI53">
        <v>233</v>
      </c>
      <c r="AJ53">
        <v>46.6</v>
      </c>
      <c r="AK53">
        <v>286</v>
      </c>
      <c r="AO53" s="4" t="s">
        <v>413</v>
      </c>
      <c r="AQ53" s="4" t="s">
        <v>414</v>
      </c>
      <c r="AS53">
        <v>9</v>
      </c>
      <c r="AT53">
        <v>3</v>
      </c>
      <c r="AU53">
        <v>1</v>
      </c>
      <c r="AV53">
        <v>3</v>
      </c>
      <c r="AW53">
        <v>5</v>
      </c>
      <c r="AY53">
        <v>1</v>
      </c>
      <c r="AZ53">
        <v>1</v>
      </c>
      <c r="BA53">
        <v>2</v>
      </c>
      <c r="BD53">
        <v>2</v>
      </c>
      <c r="BE53">
        <v>2</v>
      </c>
      <c r="BF53">
        <v>0</v>
      </c>
      <c r="BG53">
        <v>100</v>
      </c>
      <c r="BH53">
        <v>0</v>
      </c>
      <c r="BI53">
        <v>0</v>
      </c>
      <c r="BJ53">
        <v>0</v>
      </c>
      <c r="BK53">
        <v>0</v>
      </c>
      <c r="BL53">
        <v>0</v>
      </c>
      <c r="BM53">
        <v>0</v>
      </c>
      <c r="BN53">
        <v>0</v>
      </c>
      <c r="BO53">
        <v>0</v>
      </c>
      <c r="BP53">
        <v>1</v>
      </c>
      <c r="BQ53">
        <v>2</v>
      </c>
      <c r="BR53">
        <v>2</v>
      </c>
      <c r="BS53">
        <v>1</v>
      </c>
      <c r="BT53">
        <v>1</v>
      </c>
      <c r="BU53">
        <v>1</v>
      </c>
      <c r="BV53">
        <v>8</v>
      </c>
      <c r="BW53">
        <v>0</v>
      </c>
      <c r="BX53">
        <v>0</v>
      </c>
      <c r="BY53">
        <v>0</v>
      </c>
    </row>
    <row r="54" spans="1:77" ht="225" x14ac:dyDescent="0.25">
      <c r="A54" t="s">
        <v>601</v>
      </c>
      <c r="B54" t="s">
        <v>229</v>
      </c>
      <c r="C54" t="s">
        <v>1030</v>
      </c>
      <c r="D54">
        <v>1</v>
      </c>
      <c r="E54">
        <v>8.2649799999999995</v>
      </c>
      <c r="F54" s="3">
        <v>220602866</v>
      </c>
      <c r="G54">
        <v>80</v>
      </c>
      <c r="H54">
        <v>1</v>
      </c>
      <c r="K54" s="1">
        <v>44732</v>
      </c>
      <c r="L54" t="s">
        <v>230</v>
      </c>
      <c r="M54">
        <v>9822894046</v>
      </c>
      <c r="O54">
        <v>6</v>
      </c>
      <c r="P54">
        <v>2</v>
      </c>
      <c r="Q54">
        <v>1</v>
      </c>
      <c r="R54">
        <v>2</v>
      </c>
      <c r="S54">
        <v>2</v>
      </c>
      <c r="T54">
        <v>1</v>
      </c>
      <c r="U54">
        <v>2</v>
      </c>
      <c r="V54">
        <v>2</v>
      </c>
      <c r="W54">
        <v>2</v>
      </c>
      <c r="X54">
        <v>2</v>
      </c>
      <c r="Y54">
        <v>2</v>
      </c>
      <c r="Z54" t="s">
        <v>231</v>
      </c>
      <c r="AA54">
        <v>13.2</v>
      </c>
      <c r="AB54">
        <v>41</v>
      </c>
      <c r="AC54">
        <v>92</v>
      </c>
      <c r="AD54">
        <v>43.6</v>
      </c>
      <c r="AE54">
        <v>10.6</v>
      </c>
      <c r="AF54">
        <v>177</v>
      </c>
      <c r="AG54">
        <v>100</v>
      </c>
      <c r="AH54">
        <v>35</v>
      </c>
      <c r="AI54">
        <v>210</v>
      </c>
      <c r="AK54">
        <v>148</v>
      </c>
      <c r="AO54" s="4" t="s">
        <v>232</v>
      </c>
      <c r="AQ54" s="4"/>
      <c r="AS54">
        <v>7</v>
      </c>
      <c r="AT54">
        <v>3</v>
      </c>
      <c r="AU54">
        <v>1</v>
      </c>
      <c r="AV54">
        <v>3</v>
      </c>
      <c r="AW54">
        <v>5</v>
      </c>
      <c r="AY54">
        <v>1</v>
      </c>
      <c r="AZ54">
        <v>1</v>
      </c>
      <c r="BA54">
        <v>2</v>
      </c>
      <c r="BC54">
        <v>4</v>
      </c>
      <c r="BD54">
        <v>2</v>
      </c>
      <c r="BE54">
        <v>2</v>
      </c>
      <c r="BF54">
        <v>1</v>
      </c>
      <c r="BG54">
        <v>95</v>
      </c>
      <c r="BH54">
        <v>0</v>
      </c>
      <c r="BI54">
        <v>2</v>
      </c>
      <c r="BJ54">
        <v>2</v>
      </c>
      <c r="BK54">
        <v>2</v>
      </c>
      <c r="BL54">
        <v>1</v>
      </c>
      <c r="BM54">
        <v>0</v>
      </c>
      <c r="BN54">
        <v>1</v>
      </c>
      <c r="BO54">
        <v>0</v>
      </c>
      <c r="BP54">
        <v>0</v>
      </c>
      <c r="BQ54">
        <v>0</v>
      </c>
      <c r="BR54">
        <v>0</v>
      </c>
      <c r="BS54">
        <v>0</v>
      </c>
      <c r="BT54">
        <v>0</v>
      </c>
      <c r="BU54">
        <v>0</v>
      </c>
      <c r="BV54">
        <v>8</v>
      </c>
      <c r="BW54">
        <v>1</v>
      </c>
      <c r="BX54">
        <v>1</v>
      </c>
      <c r="BY54">
        <v>0</v>
      </c>
    </row>
    <row r="55" spans="1:77" ht="165" x14ac:dyDescent="0.25">
      <c r="A55" t="s">
        <v>594</v>
      </c>
      <c r="B55" t="s">
        <v>344</v>
      </c>
      <c r="C55" t="s">
        <v>1063</v>
      </c>
      <c r="D55">
        <v>1</v>
      </c>
      <c r="E55">
        <v>13.502700000000001</v>
      </c>
      <c r="F55" s="3">
        <v>24000005480</v>
      </c>
      <c r="G55">
        <v>50</v>
      </c>
      <c r="H55">
        <v>1</v>
      </c>
      <c r="I55" s="1">
        <v>45302</v>
      </c>
      <c r="J55" s="2">
        <v>0.66666666666666663</v>
      </c>
      <c r="K55" s="1">
        <v>45305</v>
      </c>
      <c r="L55" s="1">
        <v>45309</v>
      </c>
      <c r="M55">
        <v>9881713537</v>
      </c>
      <c r="P55">
        <v>1</v>
      </c>
      <c r="Q55">
        <v>1</v>
      </c>
      <c r="R55">
        <v>2</v>
      </c>
      <c r="S55">
        <v>2</v>
      </c>
      <c r="T55">
        <v>2</v>
      </c>
      <c r="U55">
        <v>2</v>
      </c>
      <c r="V55">
        <v>2</v>
      </c>
      <c r="W55">
        <v>2</v>
      </c>
      <c r="X55">
        <v>2</v>
      </c>
      <c r="Y55">
        <v>2</v>
      </c>
      <c r="AA55">
        <v>14.6</v>
      </c>
      <c r="AB55">
        <v>42.4</v>
      </c>
      <c r="AC55">
        <v>97.1</v>
      </c>
      <c r="AD55">
        <v>20.97</v>
      </c>
      <c r="AE55">
        <v>8.6999999999999993</v>
      </c>
      <c r="AF55">
        <v>145</v>
      </c>
      <c r="AG55">
        <v>85.2</v>
      </c>
      <c r="AH55">
        <v>31</v>
      </c>
      <c r="AI55">
        <v>144</v>
      </c>
      <c r="AJ55">
        <v>28.8</v>
      </c>
      <c r="AK55">
        <v>324</v>
      </c>
      <c r="AL55">
        <v>89</v>
      </c>
      <c r="AO55" s="4" t="s">
        <v>345</v>
      </c>
      <c r="AQ55" s="4" t="s">
        <v>346</v>
      </c>
      <c r="AS55">
        <v>9</v>
      </c>
      <c r="AT55">
        <v>3</v>
      </c>
      <c r="AU55">
        <v>1</v>
      </c>
      <c r="AV55">
        <v>3</v>
      </c>
      <c r="AW55">
        <v>5</v>
      </c>
      <c r="AY55">
        <v>1</v>
      </c>
      <c r="AZ55">
        <v>1</v>
      </c>
      <c r="BA55">
        <v>2</v>
      </c>
      <c r="BD55">
        <v>2</v>
      </c>
      <c r="BE55">
        <v>2</v>
      </c>
      <c r="BF55">
        <v>0</v>
      </c>
      <c r="BG55">
        <v>100</v>
      </c>
      <c r="BH55">
        <v>0</v>
      </c>
      <c r="BI55">
        <v>0</v>
      </c>
      <c r="BJ55">
        <v>0</v>
      </c>
      <c r="BK55">
        <v>0</v>
      </c>
      <c r="BL55">
        <v>0</v>
      </c>
      <c r="BM55">
        <v>0</v>
      </c>
      <c r="BN55">
        <v>0</v>
      </c>
      <c r="BO55">
        <v>0</v>
      </c>
      <c r="BP55">
        <v>1</v>
      </c>
      <c r="BQ55">
        <v>2</v>
      </c>
      <c r="BR55">
        <v>2</v>
      </c>
      <c r="BS55">
        <v>1</v>
      </c>
      <c r="BT55">
        <v>1</v>
      </c>
      <c r="BU55">
        <v>1</v>
      </c>
      <c r="BV55">
        <v>8</v>
      </c>
      <c r="BW55">
        <v>1</v>
      </c>
      <c r="BX55">
        <v>1</v>
      </c>
      <c r="BY55">
        <v>0</v>
      </c>
    </row>
    <row r="56" spans="1:77" x14ac:dyDescent="0.25">
      <c r="A56" t="s">
        <v>926</v>
      </c>
      <c r="B56" t="s">
        <v>901</v>
      </c>
      <c r="C56" t="s">
        <v>1139</v>
      </c>
      <c r="D56">
        <v>0</v>
      </c>
      <c r="E56">
        <v>17.155100000000001</v>
      </c>
      <c r="F56" s="3">
        <v>240000086837</v>
      </c>
      <c r="G56">
        <v>64</v>
      </c>
      <c r="H56">
        <v>1</v>
      </c>
      <c r="I56" s="1">
        <v>45568</v>
      </c>
      <c r="K56" s="1">
        <v>45573</v>
      </c>
      <c r="L56" s="1">
        <v>45575</v>
      </c>
      <c r="M56">
        <v>9764824294</v>
      </c>
      <c r="O56">
        <v>11</v>
      </c>
      <c r="P56">
        <v>2</v>
      </c>
      <c r="Q56">
        <v>2</v>
      </c>
      <c r="R56">
        <v>2</v>
      </c>
      <c r="S56">
        <v>2</v>
      </c>
      <c r="T56">
        <v>1</v>
      </c>
      <c r="U56">
        <v>2</v>
      </c>
      <c r="V56">
        <v>2</v>
      </c>
      <c r="W56">
        <v>2</v>
      </c>
      <c r="X56">
        <v>2</v>
      </c>
      <c r="Y56">
        <v>1</v>
      </c>
      <c r="Z56" t="s">
        <v>902</v>
      </c>
      <c r="AA56">
        <v>14.3</v>
      </c>
      <c r="AD56">
        <v>6.29</v>
      </c>
      <c r="AE56">
        <v>6.9</v>
      </c>
      <c r="AF56">
        <v>174</v>
      </c>
      <c r="AG56">
        <v>123</v>
      </c>
      <c r="AH56">
        <v>27</v>
      </c>
      <c r="AI56">
        <v>116</v>
      </c>
      <c r="AJ56">
        <v>23</v>
      </c>
      <c r="AO56" t="s">
        <v>70</v>
      </c>
      <c r="AQ56" t="s">
        <v>903</v>
      </c>
      <c r="AS56">
        <v>9</v>
      </c>
      <c r="AT56">
        <v>3</v>
      </c>
      <c r="AU56">
        <v>1</v>
      </c>
      <c r="AV56">
        <v>3</v>
      </c>
      <c r="AW56">
        <v>5</v>
      </c>
      <c r="AY56">
        <v>1</v>
      </c>
      <c r="AZ56">
        <v>1</v>
      </c>
      <c r="BA56">
        <v>2</v>
      </c>
      <c r="BC56">
        <v>4</v>
      </c>
      <c r="BD56">
        <v>2</v>
      </c>
      <c r="BE56">
        <v>2</v>
      </c>
      <c r="BF56">
        <v>2</v>
      </c>
      <c r="BG56">
        <v>60</v>
      </c>
      <c r="BH56">
        <v>0</v>
      </c>
      <c r="BI56">
        <v>1</v>
      </c>
      <c r="BJ56">
        <v>2</v>
      </c>
      <c r="BK56">
        <v>2</v>
      </c>
      <c r="BL56">
        <v>1</v>
      </c>
      <c r="BM56">
        <v>1</v>
      </c>
      <c r="BN56">
        <v>1</v>
      </c>
      <c r="BO56">
        <v>0</v>
      </c>
      <c r="BP56">
        <v>0</v>
      </c>
      <c r="BQ56">
        <v>0</v>
      </c>
      <c r="BR56">
        <v>0</v>
      </c>
      <c r="BS56">
        <v>0</v>
      </c>
      <c r="BT56">
        <v>0</v>
      </c>
      <c r="BU56">
        <v>0</v>
      </c>
      <c r="BV56">
        <v>8</v>
      </c>
      <c r="BW56">
        <v>1</v>
      </c>
      <c r="BX56">
        <v>1</v>
      </c>
      <c r="BY56">
        <v>1</v>
      </c>
    </row>
    <row r="57" spans="1:77" ht="225" x14ac:dyDescent="0.25">
      <c r="A57" t="s">
        <v>604</v>
      </c>
      <c r="B57" t="s">
        <v>94</v>
      </c>
      <c r="C57" t="s">
        <v>994</v>
      </c>
      <c r="D57">
        <v>1</v>
      </c>
      <c r="E57">
        <v>22.980699999999999</v>
      </c>
      <c r="F57" s="3">
        <v>230104311</v>
      </c>
      <c r="G57">
        <v>77</v>
      </c>
      <c r="H57">
        <v>2</v>
      </c>
      <c r="K57" s="1">
        <v>44949</v>
      </c>
      <c r="L57" s="1">
        <v>44959</v>
      </c>
      <c r="M57">
        <v>9730041275</v>
      </c>
      <c r="O57">
        <v>14</v>
      </c>
      <c r="P57">
        <v>2</v>
      </c>
      <c r="Q57">
        <v>2</v>
      </c>
      <c r="R57">
        <v>2</v>
      </c>
      <c r="S57">
        <v>2</v>
      </c>
      <c r="T57">
        <v>2</v>
      </c>
      <c r="U57">
        <v>2</v>
      </c>
      <c r="V57">
        <v>2</v>
      </c>
      <c r="W57">
        <v>2</v>
      </c>
      <c r="X57">
        <v>2</v>
      </c>
      <c r="Y57">
        <v>1</v>
      </c>
      <c r="AA57">
        <v>11.4</v>
      </c>
      <c r="AB57">
        <v>36</v>
      </c>
      <c r="AC57">
        <v>77.8</v>
      </c>
      <c r="AD57">
        <v>16.7</v>
      </c>
      <c r="AE57">
        <v>9.9</v>
      </c>
      <c r="AF57">
        <v>169</v>
      </c>
      <c r="AG57">
        <v>101</v>
      </c>
      <c r="AH57">
        <v>57</v>
      </c>
      <c r="AI57">
        <v>55</v>
      </c>
      <c r="AJ57">
        <v>11</v>
      </c>
      <c r="AK57">
        <v>1202</v>
      </c>
      <c r="AO57" s="4" t="s">
        <v>95</v>
      </c>
      <c r="AQ57" s="4" t="s">
        <v>96</v>
      </c>
      <c r="AS57">
        <v>10</v>
      </c>
      <c r="AT57">
        <v>3</v>
      </c>
      <c r="AU57">
        <v>1</v>
      </c>
      <c r="AV57">
        <v>3</v>
      </c>
      <c r="AW57">
        <v>4</v>
      </c>
      <c r="AY57">
        <v>1</v>
      </c>
      <c r="BA57">
        <v>2</v>
      </c>
      <c r="BC57">
        <v>2</v>
      </c>
      <c r="BF57">
        <v>4</v>
      </c>
      <c r="BG57">
        <v>20</v>
      </c>
      <c r="BH57">
        <v>0</v>
      </c>
      <c r="BI57">
        <v>0</v>
      </c>
      <c r="BJ57">
        <v>0</v>
      </c>
      <c r="BK57">
        <v>0</v>
      </c>
      <c r="BL57">
        <v>0</v>
      </c>
      <c r="BM57">
        <v>0</v>
      </c>
      <c r="BN57">
        <v>0</v>
      </c>
      <c r="BO57">
        <v>0</v>
      </c>
      <c r="BP57">
        <v>1</v>
      </c>
      <c r="BQ57">
        <v>2</v>
      </c>
      <c r="BR57">
        <v>2</v>
      </c>
      <c r="BS57">
        <v>1</v>
      </c>
      <c r="BT57">
        <v>1</v>
      </c>
      <c r="BU57">
        <v>1</v>
      </c>
      <c r="BV57">
        <v>8</v>
      </c>
      <c r="BW57">
        <v>1</v>
      </c>
      <c r="BX57">
        <v>1</v>
      </c>
      <c r="BY57">
        <v>0</v>
      </c>
    </row>
    <row r="58" spans="1:77" ht="90" x14ac:dyDescent="0.25">
      <c r="A58" t="s">
        <v>595</v>
      </c>
      <c r="B58" t="s">
        <v>214</v>
      </c>
      <c r="C58" t="s">
        <v>214</v>
      </c>
      <c r="D58">
        <v>1</v>
      </c>
      <c r="E58">
        <v>25.1892</v>
      </c>
      <c r="F58" s="3">
        <v>230000075100</v>
      </c>
      <c r="G58">
        <v>58</v>
      </c>
      <c r="H58">
        <v>1</v>
      </c>
      <c r="I58" s="1">
        <v>45285</v>
      </c>
      <c r="J58" s="2">
        <v>0.41666666666666669</v>
      </c>
      <c r="K58" s="1">
        <v>45285</v>
      </c>
      <c r="M58">
        <v>8320542903</v>
      </c>
      <c r="O58">
        <v>10</v>
      </c>
      <c r="P58">
        <v>2</v>
      </c>
      <c r="Q58">
        <v>1</v>
      </c>
      <c r="R58">
        <v>2</v>
      </c>
      <c r="S58">
        <v>2</v>
      </c>
      <c r="T58">
        <v>2</v>
      </c>
      <c r="U58">
        <v>2</v>
      </c>
      <c r="V58">
        <v>2</v>
      </c>
      <c r="W58">
        <v>1</v>
      </c>
      <c r="X58">
        <v>2</v>
      </c>
      <c r="Y58">
        <v>2</v>
      </c>
      <c r="Z58" t="s">
        <v>215</v>
      </c>
      <c r="AA58">
        <v>15.4</v>
      </c>
      <c r="AB58">
        <v>48.5</v>
      </c>
      <c r="AC58">
        <v>89.1</v>
      </c>
      <c r="AD58">
        <v>39.299999999999997</v>
      </c>
      <c r="AE58">
        <v>6.2</v>
      </c>
      <c r="AF58">
        <v>186</v>
      </c>
      <c r="AG58">
        <v>111</v>
      </c>
      <c r="AH58">
        <v>32</v>
      </c>
      <c r="AI58">
        <v>212</v>
      </c>
      <c r="AJ58">
        <v>42</v>
      </c>
      <c r="AK58">
        <v>148</v>
      </c>
      <c r="AL58">
        <v>88</v>
      </c>
      <c r="AO58" s="4" t="s">
        <v>216</v>
      </c>
      <c r="AQ58" s="4"/>
      <c r="AS58">
        <v>10</v>
      </c>
      <c r="AT58">
        <v>3</v>
      </c>
      <c r="AU58">
        <v>1</v>
      </c>
      <c r="AV58">
        <v>3</v>
      </c>
      <c r="AW58">
        <v>5</v>
      </c>
      <c r="AY58">
        <v>1</v>
      </c>
      <c r="AZ58">
        <v>2</v>
      </c>
      <c r="BA58">
        <v>1</v>
      </c>
      <c r="BB58">
        <v>2</v>
      </c>
      <c r="BD58">
        <v>2</v>
      </c>
      <c r="BE58">
        <v>2</v>
      </c>
      <c r="BF58">
        <v>0</v>
      </c>
      <c r="BG58">
        <v>100</v>
      </c>
      <c r="BH58">
        <v>0</v>
      </c>
      <c r="BI58">
        <v>0</v>
      </c>
      <c r="BJ58">
        <v>0</v>
      </c>
      <c r="BK58">
        <v>0</v>
      </c>
      <c r="BL58">
        <v>0</v>
      </c>
      <c r="BM58">
        <v>0</v>
      </c>
      <c r="BN58">
        <v>0</v>
      </c>
      <c r="BO58">
        <v>1</v>
      </c>
      <c r="BP58">
        <v>2</v>
      </c>
      <c r="BQ58">
        <v>2</v>
      </c>
      <c r="BR58">
        <v>2</v>
      </c>
      <c r="BS58">
        <v>0</v>
      </c>
      <c r="BT58">
        <v>0</v>
      </c>
      <c r="BU58">
        <v>1</v>
      </c>
      <c r="BV58">
        <v>8</v>
      </c>
      <c r="BW58">
        <v>0</v>
      </c>
      <c r="BX58">
        <v>0</v>
      </c>
      <c r="BY58">
        <v>0</v>
      </c>
    </row>
    <row r="59" spans="1:77" x14ac:dyDescent="0.25">
      <c r="A59" t="s">
        <v>813</v>
      </c>
      <c r="B59" t="s">
        <v>801</v>
      </c>
      <c r="C59" t="s">
        <v>1131</v>
      </c>
      <c r="D59">
        <v>0</v>
      </c>
      <c r="E59">
        <v>25.4313</v>
      </c>
      <c r="F59" s="3">
        <v>240000072341</v>
      </c>
      <c r="G59">
        <v>43</v>
      </c>
      <c r="H59">
        <v>1</v>
      </c>
      <c r="I59" t="s">
        <v>802</v>
      </c>
      <c r="J59" s="2">
        <v>0.85416666666666663</v>
      </c>
      <c r="K59" t="s">
        <v>802</v>
      </c>
      <c r="L59" t="s">
        <v>799</v>
      </c>
      <c r="M59">
        <v>7066240904</v>
      </c>
      <c r="O59">
        <v>16</v>
      </c>
      <c r="P59">
        <v>1</v>
      </c>
      <c r="Q59">
        <v>1</v>
      </c>
      <c r="R59">
        <v>1</v>
      </c>
      <c r="S59">
        <v>1</v>
      </c>
      <c r="T59">
        <v>2</v>
      </c>
      <c r="U59">
        <v>2</v>
      </c>
      <c r="V59">
        <v>2</v>
      </c>
      <c r="W59">
        <v>1</v>
      </c>
      <c r="X59">
        <v>2</v>
      </c>
      <c r="Y59">
        <v>2</v>
      </c>
      <c r="AA59">
        <v>12.3</v>
      </c>
      <c r="AB59">
        <v>37.9</v>
      </c>
      <c r="AC59">
        <v>82.6</v>
      </c>
      <c r="AD59">
        <v>23.91</v>
      </c>
      <c r="AF59">
        <v>153</v>
      </c>
      <c r="AG59">
        <v>105.6</v>
      </c>
      <c r="AH59">
        <v>29</v>
      </c>
      <c r="AI59">
        <v>92</v>
      </c>
      <c r="AJ59">
        <v>18.399999999999999</v>
      </c>
      <c r="AO59" t="s">
        <v>124</v>
      </c>
      <c r="AQ59" t="s">
        <v>803</v>
      </c>
      <c r="AS59">
        <v>8</v>
      </c>
      <c r="AT59">
        <v>3</v>
      </c>
      <c r="AU59">
        <v>1</v>
      </c>
      <c r="AV59">
        <v>3</v>
      </c>
      <c r="AW59">
        <v>4</v>
      </c>
      <c r="AY59">
        <v>1</v>
      </c>
      <c r="AZ59">
        <v>1</v>
      </c>
      <c r="BA59">
        <v>1</v>
      </c>
      <c r="BB59">
        <v>2</v>
      </c>
      <c r="BD59">
        <v>2</v>
      </c>
      <c r="BE59">
        <v>2</v>
      </c>
      <c r="BF59">
        <v>1</v>
      </c>
      <c r="BG59">
        <v>95</v>
      </c>
      <c r="BH59">
        <v>0</v>
      </c>
      <c r="BI59">
        <v>0</v>
      </c>
      <c r="BJ59">
        <v>0</v>
      </c>
      <c r="BK59">
        <v>0</v>
      </c>
      <c r="BL59">
        <v>0</v>
      </c>
      <c r="BM59">
        <v>0</v>
      </c>
      <c r="BN59">
        <v>0</v>
      </c>
      <c r="BO59">
        <v>1</v>
      </c>
      <c r="BP59">
        <v>2</v>
      </c>
      <c r="BQ59">
        <v>2</v>
      </c>
      <c r="BR59">
        <v>0</v>
      </c>
      <c r="BS59">
        <v>1</v>
      </c>
      <c r="BT59">
        <v>1</v>
      </c>
      <c r="BU59">
        <v>1</v>
      </c>
      <c r="BV59">
        <v>8</v>
      </c>
      <c r="BW59">
        <v>0</v>
      </c>
      <c r="BX59">
        <v>1</v>
      </c>
      <c r="BY59">
        <v>0</v>
      </c>
    </row>
    <row r="60" spans="1:77" ht="165" x14ac:dyDescent="0.25">
      <c r="A60" t="s">
        <v>598</v>
      </c>
      <c r="B60" t="s">
        <v>336</v>
      </c>
      <c r="C60" t="s">
        <v>336</v>
      </c>
      <c r="D60">
        <v>1</v>
      </c>
      <c r="E60">
        <v>34.250700000000002</v>
      </c>
      <c r="F60" s="3">
        <v>24000004454</v>
      </c>
      <c r="G60">
        <v>62</v>
      </c>
      <c r="H60">
        <v>1</v>
      </c>
      <c r="I60" s="1">
        <v>45301</v>
      </c>
      <c r="J60" s="2">
        <v>0.875</v>
      </c>
      <c r="K60" s="1">
        <v>45302</v>
      </c>
      <c r="L60" s="1">
        <v>45302</v>
      </c>
      <c r="M60">
        <v>8208224545</v>
      </c>
      <c r="N60">
        <v>7744911292</v>
      </c>
      <c r="O60">
        <v>5</v>
      </c>
      <c r="P60">
        <v>2</v>
      </c>
      <c r="Q60">
        <v>1</v>
      </c>
      <c r="R60">
        <v>2</v>
      </c>
      <c r="S60">
        <v>1</v>
      </c>
      <c r="T60">
        <v>1</v>
      </c>
      <c r="U60">
        <v>2</v>
      </c>
      <c r="V60">
        <v>2</v>
      </c>
      <c r="W60">
        <v>2</v>
      </c>
      <c r="X60">
        <v>2</v>
      </c>
      <c r="Y60">
        <v>2</v>
      </c>
      <c r="AA60">
        <v>13.4</v>
      </c>
      <c r="AB60">
        <v>39.799999999999997</v>
      </c>
      <c r="AC60">
        <v>90.5</v>
      </c>
      <c r="AD60">
        <v>10.59</v>
      </c>
      <c r="AF60">
        <v>209</v>
      </c>
      <c r="AG60">
        <v>135.4</v>
      </c>
      <c r="AH60">
        <v>29</v>
      </c>
      <c r="AI60">
        <v>223</v>
      </c>
      <c r="AJ60">
        <v>44.6</v>
      </c>
      <c r="AK60">
        <v>217</v>
      </c>
      <c r="AO60" s="4" t="s">
        <v>337</v>
      </c>
      <c r="AQ60" s="4" t="s">
        <v>338</v>
      </c>
      <c r="AS60">
        <v>9</v>
      </c>
      <c r="AT60">
        <v>3</v>
      </c>
      <c r="AU60">
        <v>1</v>
      </c>
      <c r="AV60">
        <v>3</v>
      </c>
      <c r="AW60">
        <v>5</v>
      </c>
      <c r="AY60">
        <v>2</v>
      </c>
      <c r="AZ60">
        <v>2</v>
      </c>
      <c r="BA60">
        <v>2</v>
      </c>
      <c r="BD60">
        <v>2</v>
      </c>
      <c r="BE60">
        <v>2</v>
      </c>
      <c r="BF60">
        <v>1</v>
      </c>
      <c r="BG60">
        <v>80</v>
      </c>
      <c r="BH60">
        <v>0</v>
      </c>
      <c r="BI60">
        <v>2</v>
      </c>
      <c r="BJ60">
        <v>2</v>
      </c>
      <c r="BK60">
        <v>2</v>
      </c>
      <c r="BL60">
        <v>1</v>
      </c>
      <c r="BM60">
        <v>0</v>
      </c>
      <c r="BN60">
        <v>1</v>
      </c>
      <c r="BO60">
        <v>0</v>
      </c>
      <c r="BP60">
        <v>0</v>
      </c>
      <c r="BQ60">
        <v>0</v>
      </c>
      <c r="BR60">
        <v>0</v>
      </c>
      <c r="BS60">
        <v>0</v>
      </c>
      <c r="BT60">
        <v>0</v>
      </c>
      <c r="BU60">
        <v>0</v>
      </c>
      <c r="BV60">
        <v>8</v>
      </c>
      <c r="BW60">
        <v>1</v>
      </c>
      <c r="BX60">
        <v>1</v>
      </c>
      <c r="BY60">
        <v>0</v>
      </c>
    </row>
    <row r="61" spans="1:77" ht="120" x14ac:dyDescent="0.25">
      <c r="A61" t="s">
        <v>599</v>
      </c>
      <c r="B61" t="s">
        <v>235</v>
      </c>
      <c r="C61" t="s">
        <v>1032</v>
      </c>
      <c r="D61">
        <v>1</v>
      </c>
      <c r="E61">
        <v>60.874600000000001</v>
      </c>
      <c r="F61" s="3">
        <v>220904362</v>
      </c>
      <c r="G61">
        <v>65</v>
      </c>
      <c r="H61">
        <v>2</v>
      </c>
      <c r="K61" s="1">
        <v>44827</v>
      </c>
      <c r="L61" s="1">
        <v>44829</v>
      </c>
      <c r="M61">
        <v>9657788822</v>
      </c>
      <c r="N61">
        <v>9112318022</v>
      </c>
      <c r="O61">
        <v>24</v>
      </c>
      <c r="P61">
        <v>1</v>
      </c>
      <c r="Q61">
        <v>2</v>
      </c>
      <c r="R61">
        <v>2</v>
      </c>
      <c r="S61">
        <v>2</v>
      </c>
      <c r="T61">
        <v>2</v>
      </c>
      <c r="U61">
        <v>2</v>
      </c>
      <c r="V61">
        <v>2</v>
      </c>
      <c r="W61">
        <v>2</v>
      </c>
      <c r="X61">
        <v>2</v>
      </c>
      <c r="Y61">
        <v>2</v>
      </c>
      <c r="Z61" t="s">
        <v>236</v>
      </c>
      <c r="AA61">
        <v>12</v>
      </c>
      <c r="AB61">
        <v>38.9</v>
      </c>
      <c r="AC61">
        <v>79.400000000000006</v>
      </c>
      <c r="AD61">
        <v>8</v>
      </c>
      <c r="AK61">
        <v>732</v>
      </c>
      <c r="AO61" s="4" t="s">
        <v>237</v>
      </c>
      <c r="AQ61" s="4" t="s">
        <v>238</v>
      </c>
      <c r="AS61">
        <v>8</v>
      </c>
      <c r="AT61">
        <v>3</v>
      </c>
      <c r="AU61">
        <v>2</v>
      </c>
      <c r="AV61">
        <v>3</v>
      </c>
      <c r="AW61">
        <v>4</v>
      </c>
      <c r="AY61">
        <v>1</v>
      </c>
      <c r="AZ61">
        <v>1</v>
      </c>
      <c r="BA61">
        <v>2</v>
      </c>
      <c r="BF61">
        <v>6</v>
      </c>
      <c r="BG61">
        <v>0</v>
      </c>
      <c r="BH61">
        <v>1</v>
      </c>
      <c r="BI61">
        <v>2</v>
      </c>
      <c r="BJ61">
        <v>1</v>
      </c>
      <c r="BK61">
        <v>1</v>
      </c>
      <c r="BL61">
        <v>1</v>
      </c>
      <c r="BM61">
        <v>1</v>
      </c>
      <c r="BN61">
        <v>1</v>
      </c>
      <c r="BO61">
        <v>0</v>
      </c>
      <c r="BP61">
        <v>0</v>
      </c>
      <c r="BQ61">
        <v>0</v>
      </c>
      <c r="BR61">
        <v>0</v>
      </c>
      <c r="BS61">
        <v>0</v>
      </c>
      <c r="BT61">
        <v>0</v>
      </c>
      <c r="BU61">
        <v>0</v>
      </c>
      <c r="BV61">
        <v>8</v>
      </c>
      <c r="BW61">
        <v>1</v>
      </c>
      <c r="BX61">
        <v>1</v>
      </c>
      <c r="BY61">
        <v>0</v>
      </c>
    </row>
    <row r="62" spans="1:77" ht="165" x14ac:dyDescent="0.25">
      <c r="A62" t="s">
        <v>589</v>
      </c>
      <c r="B62" t="s">
        <v>489</v>
      </c>
      <c r="C62" t="s">
        <v>489</v>
      </c>
      <c r="D62">
        <v>0</v>
      </c>
      <c r="E62">
        <v>186.369</v>
      </c>
      <c r="F62" s="3">
        <v>2400035365</v>
      </c>
      <c r="G62">
        <v>77</v>
      </c>
      <c r="H62">
        <v>2</v>
      </c>
      <c r="I62" s="1">
        <v>45446</v>
      </c>
      <c r="J62" s="2">
        <v>0.625</v>
      </c>
      <c r="K62" s="1">
        <v>45447</v>
      </c>
      <c r="L62" s="1">
        <v>45468</v>
      </c>
      <c r="M62">
        <v>9422987475</v>
      </c>
      <c r="O62">
        <v>19</v>
      </c>
      <c r="P62">
        <v>1</v>
      </c>
      <c r="Q62">
        <v>2</v>
      </c>
      <c r="R62">
        <v>1</v>
      </c>
      <c r="S62">
        <v>2</v>
      </c>
      <c r="T62">
        <v>2</v>
      </c>
      <c r="U62">
        <v>2</v>
      </c>
      <c r="V62">
        <v>2</v>
      </c>
      <c r="W62">
        <v>2</v>
      </c>
      <c r="X62">
        <v>2</v>
      </c>
      <c r="Y62">
        <v>2</v>
      </c>
      <c r="AA62">
        <v>11.9</v>
      </c>
      <c r="AB62">
        <v>36</v>
      </c>
      <c r="AC62">
        <v>97.4</v>
      </c>
      <c r="AO62" s="4" t="s">
        <v>490</v>
      </c>
      <c r="AQ62" s="4" t="s">
        <v>491</v>
      </c>
      <c r="AS62">
        <v>3</v>
      </c>
      <c r="AT62">
        <v>3</v>
      </c>
      <c r="AU62">
        <v>1</v>
      </c>
      <c r="AV62">
        <v>5</v>
      </c>
      <c r="AW62">
        <v>5</v>
      </c>
      <c r="AY62">
        <v>1</v>
      </c>
      <c r="BA62">
        <v>2</v>
      </c>
      <c r="BC62">
        <v>1</v>
      </c>
      <c r="BD62">
        <v>2</v>
      </c>
      <c r="BE62">
        <v>2</v>
      </c>
      <c r="BF62">
        <v>2</v>
      </c>
      <c r="BG62">
        <v>60</v>
      </c>
      <c r="BH62">
        <v>0</v>
      </c>
      <c r="BI62">
        <v>0</v>
      </c>
      <c r="BJ62">
        <v>0</v>
      </c>
      <c r="BK62">
        <v>0</v>
      </c>
      <c r="BL62">
        <v>0</v>
      </c>
      <c r="BM62">
        <v>0</v>
      </c>
      <c r="BN62">
        <v>0</v>
      </c>
      <c r="BO62">
        <v>0</v>
      </c>
      <c r="BP62">
        <v>2</v>
      </c>
      <c r="BQ62">
        <v>1</v>
      </c>
      <c r="BR62">
        <v>2</v>
      </c>
      <c r="BS62">
        <v>1</v>
      </c>
      <c r="BT62">
        <v>1</v>
      </c>
      <c r="BU62">
        <v>1</v>
      </c>
      <c r="BV62">
        <v>8</v>
      </c>
      <c r="BW62">
        <v>0</v>
      </c>
      <c r="BX62">
        <v>1</v>
      </c>
      <c r="BY62" t="s">
        <v>1004</v>
      </c>
    </row>
    <row r="63" spans="1:77" ht="60" x14ac:dyDescent="0.25">
      <c r="A63" t="s">
        <v>624</v>
      </c>
      <c r="B63" t="s">
        <v>424</v>
      </c>
      <c r="C63" t="s">
        <v>1088</v>
      </c>
      <c r="D63">
        <v>0</v>
      </c>
      <c r="E63">
        <v>0.305118</v>
      </c>
      <c r="F63" s="3">
        <v>240000038305</v>
      </c>
      <c r="G63">
        <v>59</v>
      </c>
      <c r="H63">
        <v>1</v>
      </c>
      <c r="I63" s="1">
        <v>45408</v>
      </c>
      <c r="J63" s="2">
        <v>0.875</v>
      </c>
      <c r="K63" s="1">
        <v>45408</v>
      </c>
      <c r="L63" s="1">
        <v>45409</v>
      </c>
      <c r="M63">
        <v>7387563186</v>
      </c>
      <c r="N63">
        <v>9665374777</v>
      </c>
      <c r="O63">
        <v>0</v>
      </c>
      <c r="P63">
        <v>1</v>
      </c>
      <c r="Q63">
        <v>2</v>
      </c>
      <c r="R63">
        <v>2</v>
      </c>
      <c r="S63">
        <v>2</v>
      </c>
      <c r="T63">
        <v>2</v>
      </c>
      <c r="U63">
        <v>2</v>
      </c>
      <c r="V63">
        <v>2</v>
      </c>
      <c r="W63">
        <v>2</v>
      </c>
      <c r="X63">
        <v>2</v>
      </c>
      <c r="Y63">
        <v>2</v>
      </c>
      <c r="AA63">
        <v>13.6</v>
      </c>
      <c r="AB63">
        <v>40.9</v>
      </c>
      <c r="AC63">
        <v>87.7</v>
      </c>
      <c r="AD63">
        <v>24.17</v>
      </c>
      <c r="AE63">
        <v>5.2</v>
      </c>
      <c r="AK63">
        <v>243</v>
      </c>
      <c r="AO63" s="4" t="s">
        <v>425</v>
      </c>
      <c r="AQ63" s="4"/>
      <c r="AS63">
        <v>9</v>
      </c>
      <c r="AT63">
        <v>3</v>
      </c>
      <c r="AU63">
        <v>1</v>
      </c>
      <c r="AV63">
        <v>3</v>
      </c>
      <c r="AW63">
        <v>5</v>
      </c>
      <c r="AY63">
        <v>1</v>
      </c>
      <c r="AZ63">
        <v>1</v>
      </c>
      <c r="BA63">
        <v>2</v>
      </c>
      <c r="BD63">
        <v>2</v>
      </c>
      <c r="BE63">
        <v>2</v>
      </c>
      <c r="BF63">
        <v>0</v>
      </c>
      <c r="BG63">
        <v>100</v>
      </c>
      <c r="BH63">
        <v>0</v>
      </c>
      <c r="BI63">
        <v>2</v>
      </c>
      <c r="BJ63">
        <v>2</v>
      </c>
      <c r="BK63">
        <v>2</v>
      </c>
      <c r="BL63">
        <v>1</v>
      </c>
      <c r="BM63">
        <v>1</v>
      </c>
      <c r="BN63">
        <v>1</v>
      </c>
      <c r="BO63">
        <v>0</v>
      </c>
      <c r="BP63">
        <v>0</v>
      </c>
      <c r="BQ63">
        <v>0</v>
      </c>
      <c r="BR63">
        <v>0</v>
      </c>
      <c r="BS63">
        <v>0</v>
      </c>
      <c r="BT63">
        <v>0</v>
      </c>
      <c r="BU63">
        <v>0</v>
      </c>
      <c r="BV63">
        <v>9</v>
      </c>
      <c r="BW63">
        <v>1</v>
      </c>
      <c r="BX63">
        <v>1</v>
      </c>
      <c r="BY63">
        <v>0</v>
      </c>
    </row>
    <row r="64" spans="1:77" ht="60" x14ac:dyDescent="0.25">
      <c r="A64" t="s">
        <v>647</v>
      </c>
      <c r="B64" t="s">
        <v>355</v>
      </c>
      <c r="C64" t="s">
        <v>1068</v>
      </c>
      <c r="D64">
        <v>0</v>
      </c>
      <c r="E64">
        <v>0.46494200000000002</v>
      </c>
      <c r="F64" s="3">
        <v>24000003430</v>
      </c>
      <c r="G64">
        <v>70</v>
      </c>
      <c r="H64">
        <v>1</v>
      </c>
      <c r="I64" s="1">
        <v>45351</v>
      </c>
      <c r="J64" s="2">
        <v>0.95833333333333337</v>
      </c>
      <c r="K64" s="1">
        <v>45352</v>
      </c>
      <c r="L64" s="1">
        <v>45353</v>
      </c>
      <c r="O64">
        <v>1</v>
      </c>
      <c r="P64">
        <v>1</v>
      </c>
      <c r="Q64">
        <v>1</v>
      </c>
      <c r="R64">
        <v>2</v>
      </c>
      <c r="S64">
        <v>1</v>
      </c>
      <c r="T64">
        <v>2</v>
      </c>
      <c r="U64">
        <v>2</v>
      </c>
      <c r="V64">
        <v>2</v>
      </c>
      <c r="W64">
        <v>2</v>
      </c>
      <c r="X64">
        <v>2</v>
      </c>
      <c r="Y64">
        <v>2</v>
      </c>
      <c r="AA64">
        <v>13.5</v>
      </c>
      <c r="AB64">
        <v>39.299999999999997</v>
      </c>
      <c r="AC64">
        <v>88.5</v>
      </c>
      <c r="AE64">
        <v>6.6</v>
      </c>
      <c r="AF64">
        <v>149</v>
      </c>
      <c r="AG64">
        <v>97.6</v>
      </c>
      <c r="AH64">
        <v>32</v>
      </c>
      <c r="AI64">
        <v>97</v>
      </c>
      <c r="AJ64">
        <v>19.399999999999999</v>
      </c>
      <c r="AK64">
        <v>304</v>
      </c>
      <c r="AO64" s="4" t="s">
        <v>356</v>
      </c>
      <c r="AQ64" s="4" t="s">
        <v>48</v>
      </c>
      <c r="AS64">
        <v>9</v>
      </c>
      <c r="AT64">
        <v>3</v>
      </c>
      <c r="AU64">
        <v>1</v>
      </c>
      <c r="AV64">
        <v>3</v>
      </c>
      <c r="AW64">
        <v>5</v>
      </c>
      <c r="AY64">
        <v>1</v>
      </c>
      <c r="AZ64">
        <v>1</v>
      </c>
      <c r="BA64">
        <v>2</v>
      </c>
      <c r="BD64">
        <v>2</v>
      </c>
      <c r="BE64">
        <v>2</v>
      </c>
      <c r="BF64">
        <v>0</v>
      </c>
      <c r="BG64">
        <v>100</v>
      </c>
      <c r="BH64">
        <v>0</v>
      </c>
      <c r="BI64">
        <v>0</v>
      </c>
      <c r="BJ64">
        <v>0</v>
      </c>
      <c r="BK64">
        <v>0</v>
      </c>
      <c r="BL64">
        <v>0</v>
      </c>
      <c r="BM64">
        <v>0</v>
      </c>
      <c r="BN64">
        <v>0</v>
      </c>
      <c r="BO64">
        <v>0</v>
      </c>
      <c r="BP64">
        <v>2</v>
      </c>
      <c r="BQ64">
        <v>2</v>
      </c>
      <c r="BR64">
        <v>2</v>
      </c>
      <c r="BS64">
        <v>1</v>
      </c>
      <c r="BT64">
        <v>1</v>
      </c>
      <c r="BU64">
        <v>1</v>
      </c>
      <c r="BV64">
        <v>9</v>
      </c>
      <c r="BW64">
        <v>1</v>
      </c>
      <c r="BX64">
        <v>1</v>
      </c>
      <c r="BY64">
        <v>0</v>
      </c>
    </row>
    <row r="65" spans="1:77" ht="150" x14ac:dyDescent="0.25">
      <c r="A65" t="s">
        <v>646</v>
      </c>
      <c r="B65" t="s">
        <v>547</v>
      </c>
      <c r="C65" t="s">
        <v>1123</v>
      </c>
      <c r="D65">
        <v>0</v>
      </c>
      <c r="E65">
        <v>1.0461199999999999</v>
      </c>
      <c r="F65" s="3">
        <v>23000032467</v>
      </c>
      <c r="G65">
        <v>77</v>
      </c>
      <c r="H65">
        <v>1</v>
      </c>
      <c r="I65" s="1">
        <v>45503</v>
      </c>
      <c r="J65" s="2">
        <v>0.375</v>
      </c>
      <c r="K65" s="1">
        <v>45503</v>
      </c>
      <c r="L65" s="1">
        <v>45505</v>
      </c>
      <c r="M65">
        <v>9860170340</v>
      </c>
      <c r="O65">
        <v>2</v>
      </c>
      <c r="P65">
        <v>2</v>
      </c>
      <c r="Q65">
        <v>1</v>
      </c>
      <c r="R65">
        <v>2</v>
      </c>
      <c r="S65">
        <v>2</v>
      </c>
      <c r="T65">
        <v>2</v>
      </c>
      <c r="U65">
        <v>2</v>
      </c>
      <c r="V65">
        <v>2</v>
      </c>
      <c r="W65">
        <v>1</v>
      </c>
      <c r="X65">
        <v>2</v>
      </c>
      <c r="Y65">
        <v>2</v>
      </c>
      <c r="Z65" t="s">
        <v>548</v>
      </c>
      <c r="AA65">
        <v>13.3</v>
      </c>
      <c r="AB65">
        <v>40.200000000000003</v>
      </c>
      <c r="AC65">
        <v>90.1</v>
      </c>
      <c r="AD65">
        <v>21.14</v>
      </c>
      <c r="AE65">
        <v>6.3</v>
      </c>
      <c r="AF65">
        <v>107</v>
      </c>
      <c r="AG65">
        <v>50.6</v>
      </c>
      <c r="AH65">
        <v>41</v>
      </c>
      <c r="AI65">
        <v>77</v>
      </c>
      <c r="AJ65">
        <v>15.4</v>
      </c>
      <c r="AK65">
        <v>425</v>
      </c>
      <c r="AO65" s="4" t="s">
        <v>549</v>
      </c>
      <c r="AQ65" s="4" t="s">
        <v>550</v>
      </c>
      <c r="AS65">
        <v>9</v>
      </c>
      <c r="AT65">
        <v>3</v>
      </c>
      <c r="AU65">
        <v>1</v>
      </c>
      <c r="AV65">
        <v>3</v>
      </c>
      <c r="AW65">
        <v>5</v>
      </c>
      <c r="AY65">
        <v>1</v>
      </c>
      <c r="AZ65">
        <v>1</v>
      </c>
      <c r="BA65">
        <v>2</v>
      </c>
      <c r="BD65">
        <v>2</v>
      </c>
      <c r="BE65">
        <v>2</v>
      </c>
      <c r="BF65">
        <v>1</v>
      </c>
      <c r="BG65">
        <v>80</v>
      </c>
      <c r="BH65">
        <v>0</v>
      </c>
      <c r="BI65">
        <v>0</v>
      </c>
      <c r="BJ65">
        <v>0</v>
      </c>
      <c r="BK65">
        <v>0</v>
      </c>
      <c r="BL65">
        <v>0</v>
      </c>
      <c r="BM65">
        <v>0</v>
      </c>
      <c r="BN65">
        <v>0</v>
      </c>
      <c r="BO65">
        <v>0</v>
      </c>
      <c r="BP65">
        <v>2</v>
      </c>
      <c r="BQ65">
        <v>2</v>
      </c>
      <c r="BR65">
        <v>2</v>
      </c>
      <c r="BS65">
        <v>1</v>
      </c>
      <c r="BT65">
        <v>1</v>
      </c>
      <c r="BU65">
        <v>1</v>
      </c>
      <c r="BV65">
        <v>9</v>
      </c>
      <c r="BW65">
        <v>0</v>
      </c>
      <c r="BX65">
        <v>0</v>
      </c>
      <c r="BY65" t="s">
        <v>1051</v>
      </c>
    </row>
    <row r="66" spans="1:77" ht="90" x14ac:dyDescent="0.25">
      <c r="A66" t="s">
        <v>626</v>
      </c>
      <c r="B66" t="s">
        <v>298</v>
      </c>
      <c r="C66" t="s">
        <v>1052</v>
      </c>
      <c r="D66">
        <v>1</v>
      </c>
      <c r="E66">
        <v>1.0848599999999999</v>
      </c>
      <c r="F66" s="3">
        <v>230402422</v>
      </c>
      <c r="G66">
        <v>46</v>
      </c>
      <c r="H66">
        <v>2</v>
      </c>
      <c r="K66" s="1">
        <v>45032</v>
      </c>
      <c r="M66">
        <v>9028922641</v>
      </c>
      <c r="O66">
        <v>4</v>
      </c>
      <c r="P66">
        <v>1</v>
      </c>
      <c r="Q66">
        <v>1</v>
      </c>
      <c r="R66">
        <v>2</v>
      </c>
      <c r="S66">
        <v>2</v>
      </c>
      <c r="T66">
        <v>2</v>
      </c>
      <c r="U66">
        <v>2</v>
      </c>
      <c r="V66">
        <v>2</v>
      </c>
      <c r="W66">
        <v>2</v>
      </c>
      <c r="X66">
        <v>2</v>
      </c>
      <c r="Y66">
        <v>2</v>
      </c>
      <c r="AA66">
        <v>13.9</v>
      </c>
      <c r="AB66">
        <v>41.6</v>
      </c>
      <c r="AC66">
        <v>86.6</v>
      </c>
      <c r="AD66">
        <v>7.47</v>
      </c>
      <c r="AE66">
        <v>13.4</v>
      </c>
      <c r="AF66">
        <v>296</v>
      </c>
      <c r="AG66">
        <v>193.6</v>
      </c>
      <c r="AH66">
        <v>47</v>
      </c>
      <c r="AI66">
        <v>277</v>
      </c>
      <c r="AK66">
        <v>282</v>
      </c>
      <c r="AO66" s="4" t="s">
        <v>299</v>
      </c>
      <c r="AQ66" s="4" t="s">
        <v>300</v>
      </c>
      <c r="AS66">
        <v>9</v>
      </c>
      <c r="AT66">
        <v>3</v>
      </c>
      <c r="AU66">
        <v>1</v>
      </c>
      <c r="AV66">
        <v>3</v>
      </c>
      <c r="AW66">
        <v>5</v>
      </c>
      <c r="AY66">
        <v>1</v>
      </c>
      <c r="AZ66">
        <v>2</v>
      </c>
      <c r="BA66">
        <v>1</v>
      </c>
      <c r="BB66">
        <v>1</v>
      </c>
      <c r="BD66">
        <v>2</v>
      </c>
      <c r="BE66">
        <v>2</v>
      </c>
      <c r="BF66">
        <v>1</v>
      </c>
      <c r="BG66">
        <v>100</v>
      </c>
      <c r="BH66">
        <v>0</v>
      </c>
      <c r="BI66">
        <v>0</v>
      </c>
      <c r="BJ66">
        <v>0</v>
      </c>
      <c r="BK66">
        <v>0</v>
      </c>
      <c r="BL66">
        <v>0</v>
      </c>
      <c r="BM66">
        <v>0</v>
      </c>
      <c r="BN66">
        <v>0</v>
      </c>
      <c r="BO66">
        <v>0</v>
      </c>
      <c r="BP66">
        <v>2</v>
      </c>
      <c r="BQ66">
        <v>2</v>
      </c>
      <c r="BR66">
        <v>2</v>
      </c>
      <c r="BS66">
        <v>1</v>
      </c>
      <c r="BT66">
        <v>1</v>
      </c>
      <c r="BU66">
        <v>1</v>
      </c>
      <c r="BV66">
        <v>9</v>
      </c>
      <c r="BW66">
        <v>1</v>
      </c>
      <c r="BX66">
        <v>0</v>
      </c>
      <c r="BY66">
        <v>0</v>
      </c>
    </row>
    <row r="67" spans="1:77" ht="150" x14ac:dyDescent="0.25">
      <c r="A67" t="s">
        <v>609</v>
      </c>
      <c r="B67" t="s">
        <v>352</v>
      </c>
      <c r="C67" t="s">
        <v>1067</v>
      </c>
      <c r="D67">
        <v>1</v>
      </c>
      <c r="E67">
        <v>1.44326</v>
      </c>
      <c r="F67" s="3">
        <v>240000000321</v>
      </c>
      <c r="G67">
        <v>77</v>
      </c>
      <c r="H67">
        <v>1</v>
      </c>
      <c r="I67" s="1">
        <v>45292</v>
      </c>
      <c r="J67" s="2">
        <v>0.5</v>
      </c>
      <c r="K67" s="1">
        <v>45292</v>
      </c>
      <c r="L67" s="1">
        <v>45294</v>
      </c>
      <c r="M67">
        <v>9403662700</v>
      </c>
      <c r="P67">
        <v>2</v>
      </c>
      <c r="Q67">
        <v>2</v>
      </c>
      <c r="R67">
        <v>2</v>
      </c>
      <c r="S67">
        <v>2</v>
      </c>
      <c r="T67">
        <v>2</v>
      </c>
      <c r="U67">
        <v>2</v>
      </c>
      <c r="V67">
        <v>1</v>
      </c>
      <c r="W67">
        <v>1</v>
      </c>
      <c r="X67">
        <v>2</v>
      </c>
      <c r="Y67">
        <v>2</v>
      </c>
      <c r="AA67">
        <v>9.6</v>
      </c>
      <c r="AB67">
        <v>31.9</v>
      </c>
      <c r="AC67">
        <v>69.8</v>
      </c>
      <c r="AD67">
        <v>13.55</v>
      </c>
      <c r="AE67">
        <v>5.6</v>
      </c>
      <c r="AF67">
        <v>124</v>
      </c>
      <c r="AG67">
        <v>70.400000000000006</v>
      </c>
      <c r="AH67">
        <v>35</v>
      </c>
      <c r="AI67">
        <v>93</v>
      </c>
      <c r="AJ67">
        <v>18.600000000000001</v>
      </c>
      <c r="AK67">
        <v>191</v>
      </c>
      <c r="AM67" t="s">
        <v>353</v>
      </c>
      <c r="AO67" s="4" t="s">
        <v>354</v>
      </c>
      <c r="AQ67" s="4"/>
      <c r="AS67">
        <v>9</v>
      </c>
      <c r="AT67">
        <v>3</v>
      </c>
      <c r="AU67">
        <v>1</v>
      </c>
      <c r="AV67">
        <v>3</v>
      </c>
      <c r="AW67">
        <v>5</v>
      </c>
      <c r="AY67">
        <v>1</v>
      </c>
      <c r="AZ67">
        <v>1</v>
      </c>
      <c r="BA67">
        <v>2</v>
      </c>
      <c r="BC67">
        <v>3</v>
      </c>
      <c r="BD67">
        <v>2</v>
      </c>
      <c r="BE67">
        <v>2</v>
      </c>
      <c r="BF67">
        <v>0</v>
      </c>
      <c r="BG67">
        <v>75</v>
      </c>
      <c r="BH67">
        <v>0</v>
      </c>
      <c r="BI67">
        <v>0</v>
      </c>
      <c r="BJ67">
        <v>0</v>
      </c>
      <c r="BK67">
        <v>0</v>
      </c>
      <c r="BL67">
        <v>0</v>
      </c>
      <c r="BM67">
        <v>0</v>
      </c>
      <c r="BN67">
        <v>0</v>
      </c>
      <c r="BO67">
        <v>1</v>
      </c>
      <c r="BP67">
        <v>1</v>
      </c>
      <c r="BQ67">
        <v>2</v>
      </c>
      <c r="BR67">
        <v>2</v>
      </c>
      <c r="BS67">
        <v>1</v>
      </c>
      <c r="BT67">
        <v>1</v>
      </c>
      <c r="BU67">
        <v>1</v>
      </c>
      <c r="BV67">
        <v>9</v>
      </c>
      <c r="BW67">
        <v>0</v>
      </c>
      <c r="BX67">
        <v>0</v>
      </c>
      <c r="BY67">
        <v>0</v>
      </c>
    </row>
    <row r="68" spans="1:77" ht="135" x14ac:dyDescent="0.25">
      <c r="A68" t="s">
        <v>612</v>
      </c>
      <c r="B68" t="s">
        <v>430</v>
      </c>
      <c r="C68" t="s">
        <v>1089</v>
      </c>
      <c r="D68">
        <v>0</v>
      </c>
      <c r="E68">
        <v>2.2907999999999999</v>
      </c>
      <c r="F68" s="3">
        <v>240000035534</v>
      </c>
      <c r="G68">
        <v>52</v>
      </c>
      <c r="H68">
        <v>1</v>
      </c>
      <c r="I68" s="1">
        <v>45398</v>
      </c>
      <c r="J68" s="2">
        <v>0.91666666666666663</v>
      </c>
      <c r="K68" s="1">
        <v>45399</v>
      </c>
      <c r="L68" s="1">
        <v>45402</v>
      </c>
      <c r="M68">
        <v>7219870581</v>
      </c>
      <c r="O68">
        <v>8</v>
      </c>
      <c r="P68">
        <v>1</v>
      </c>
      <c r="Q68">
        <v>1</v>
      </c>
      <c r="R68">
        <v>1</v>
      </c>
      <c r="S68">
        <v>2</v>
      </c>
      <c r="T68">
        <v>2</v>
      </c>
      <c r="U68">
        <v>2</v>
      </c>
      <c r="V68">
        <v>2</v>
      </c>
      <c r="W68">
        <v>2</v>
      </c>
      <c r="X68">
        <v>2</v>
      </c>
      <c r="Y68">
        <v>2</v>
      </c>
      <c r="AA68">
        <v>10.4</v>
      </c>
      <c r="AB68">
        <v>32.700000000000003</v>
      </c>
      <c r="AC68">
        <v>75.900000000000006</v>
      </c>
      <c r="AD68">
        <v>9.31</v>
      </c>
      <c r="AE68">
        <v>10.5</v>
      </c>
      <c r="AF68">
        <v>277</v>
      </c>
      <c r="AH68">
        <v>38</v>
      </c>
      <c r="AI68">
        <v>627</v>
      </c>
      <c r="AK68">
        <v>497</v>
      </c>
      <c r="AO68" s="4" t="s">
        <v>431</v>
      </c>
      <c r="AQ68" s="4" t="s">
        <v>432</v>
      </c>
      <c r="AS68">
        <v>9</v>
      </c>
      <c r="AT68">
        <v>3</v>
      </c>
      <c r="AU68">
        <v>1</v>
      </c>
      <c r="AV68">
        <v>3</v>
      </c>
      <c r="AW68">
        <v>5</v>
      </c>
      <c r="AY68">
        <v>1</v>
      </c>
      <c r="AZ68">
        <v>1</v>
      </c>
      <c r="BA68">
        <v>2</v>
      </c>
      <c r="BD68">
        <v>2</v>
      </c>
      <c r="BE68">
        <v>2</v>
      </c>
      <c r="BF68">
        <v>1</v>
      </c>
      <c r="BG68">
        <v>90</v>
      </c>
      <c r="BH68">
        <v>0</v>
      </c>
      <c r="BI68">
        <v>0</v>
      </c>
      <c r="BJ68">
        <v>0</v>
      </c>
      <c r="BK68">
        <v>0</v>
      </c>
      <c r="BL68">
        <v>0</v>
      </c>
      <c r="BM68">
        <v>0</v>
      </c>
      <c r="BN68">
        <v>0</v>
      </c>
      <c r="BO68">
        <v>0</v>
      </c>
      <c r="BP68">
        <v>2</v>
      </c>
      <c r="BQ68">
        <v>2</v>
      </c>
      <c r="BR68">
        <v>2</v>
      </c>
      <c r="BS68">
        <v>1</v>
      </c>
      <c r="BT68">
        <v>1</v>
      </c>
      <c r="BU68">
        <v>1</v>
      </c>
      <c r="BV68">
        <v>9</v>
      </c>
      <c r="BW68">
        <v>1</v>
      </c>
      <c r="BX68">
        <v>1</v>
      </c>
      <c r="BY68">
        <v>0</v>
      </c>
    </row>
    <row r="69" spans="1:77" ht="75" x14ac:dyDescent="0.25">
      <c r="A69" t="s">
        <v>708</v>
      </c>
      <c r="B69" t="s">
        <v>533</v>
      </c>
      <c r="C69" t="s">
        <v>1119</v>
      </c>
      <c r="D69">
        <v>0</v>
      </c>
      <c r="E69">
        <v>3.6420400000000002</v>
      </c>
      <c r="F69" s="3">
        <v>240000059229</v>
      </c>
      <c r="G69">
        <v>65</v>
      </c>
      <c r="H69">
        <v>2</v>
      </c>
      <c r="I69" s="1">
        <v>45480</v>
      </c>
      <c r="J69" s="2">
        <v>0.40625</v>
      </c>
      <c r="K69" s="1">
        <v>45480</v>
      </c>
      <c r="L69" s="1">
        <v>45483</v>
      </c>
      <c r="M69">
        <v>9096181488</v>
      </c>
      <c r="O69">
        <v>6</v>
      </c>
      <c r="P69">
        <v>2</v>
      </c>
      <c r="Q69">
        <v>2</v>
      </c>
      <c r="R69">
        <v>2</v>
      </c>
      <c r="S69">
        <v>1</v>
      </c>
      <c r="T69">
        <v>2</v>
      </c>
      <c r="U69">
        <v>2</v>
      </c>
      <c r="V69">
        <v>1</v>
      </c>
      <c r="W69">
        <v>2</v>
      </c>
      <c r="X69">
        <v>2</v>
      </c>
      <c r="Y69">
        <v>2</v>
      </c>
      <c r="AA69">
        <v>12.3</v>
      </c>
      <c r="AB69">
        <v>37.200000000000003</v>
      </c>
      <c r="AC69">
        <v>92.4</v>
      </c>
      <c r="AD69">
        <v>10.210000000000001</v>
      </c>
      <c r="AK69">
        <v>2000</v>
      </c>
      <c r="AM69" t="s">
        <v>534</v>
      </c>
      <c r="AO69" s="4" t="s">
        <v>535</v>
      </c>
      <c r="AQ69" s="4" t="s">
        <v>536</v>
      </c>
      <c r="AS69">
        <v>10</v>
      </c>
      <c r="AT69">
        <v>3</v>
      </c>
      <c r="AU69">
        <v>1</v>
      </c>
      <c r="AV69">
        <v>3</v>
      </c>
      <c r="AW69">
        <v>4</v>
      </c>
      <c r="AY69">
        <v>1</v>
      </c>
      <c r="AZ69">
        <v>2</v>
      </c>
      <c r="BA69">
        <v>1</v>
      </c>
      <c r="BB69">
        <v>2</v>
      </c>
      <c r="BC69">
        <v>3</v>
      </c>
      <c r="BD69">
        <v>2</v>
      </c>
      <c r="BE69">
        <v>2</v>
      </c>
      <c r="BF69">
        <v>0</v>
      </c>
      <c r="BG69">
        <v>100</v>
      </c>
      <c r="BH69">
        <v>1</v>
      </c>
      <c r="BI69">
        <v>2</v>
      </c>
      <c r="BJ69">
        <v>1</v>
      </c>
      <c r="BK69">
        <v>2</v>
      </c>
      <c r="BL69">
        <v>1</v>
      </c>
      <c r="BM69">
        <v>1</v>
      </c>
      <c r="BN69">
        <v>1</v>
      </c>
      <c r="BO69">
        <v>0</v>
      </c>
      <c r="BP69">
        <v>0</v>
      </c>
      <c r="BQ69">
        <v>0</v>
      </c>
      <c r="BR69">
        <v>0</v>
      </c>
      <c r="BS69">
        <v>0</v>
      </c>
      <c r="BT69">
        <v>0</v>
      </c>
      <c r="BU69">
        <v>0</v>
      </c>
      <c r="BV69">
        <v>9</v>
      </c>
      <c r="BW69">
        <v>1</v>
      </c>
      <c r="BX69">
        <v>1</v>
      </c>
      <c r="BY69">
        <v>0</v>
      </c>
    </row>
    <row r="70" spans="1:77" ht="240" x14ac:dyDescent="0.25">
      <c r="A70" t="s">
        <v>614</v>
      </c>
      <c r="B70" t="s">
        <v>409</v>
      </c>
      <c r="C70" t="s">
        <v>1083</v>
      </c>
      <c r="D70">
        <v>1</v>
      </c>
      <c r="E70">
        <v>4.1505700000000001</v>
      </c>
      <c r="F70" s="3">
        <v>240000031873</v>
      </c>
      <c r="G70">
        <v>58</v>
      </c>
      <c r="H70">
        <v>1</v>
      </c>
      <c r="J70" s="2">
        <v>0.95833333333333337</v>
      </c>
      <c r="K70" s="1">
        <v>45385</v>
      </c>
      <c r="L70" s="1">
        <v>45387</v>
      </c>
      <c r="M70">
        <v>9763068303</v>
      </c>
      <c r="O70">
        <v>2</v>
      </c>
      <c r="P70">
        <v>1</v>
      </c>
      <c r="Q70">
        <v>1</v>
      </c>
      <c r="R70">
        <v>2</v>
      </c>
      <c r="S70">
        <v>2</v>
      </c>
      <c r="T70">
        <v>2</v>
      </c>
      <c r="U70">
        <v>2</v>
      </c>
      <c r="V70">
        <v>2</v>
      </c>
      <c r="W70">
        <v>2</v>
      </c>
      <c r="X70">
        <v>2</v>
      </c>
      <c r="Y70">
        <v>2</v>
      </c>
      <c r="AA70">
        <v>12.4</v>
      </c>
      <c r="AB70">
        <v>38.6</v>
      </c>
      <c r="AC70">
        <v>83.2</v>
      </c>
      <c r="AD70">
        <v>18.309999999999999</v>
      </c>
      <c r="AE70">
        <v>9.1999999999999993</v>
      </c>
      <c r="AF70">
        <v>115</v>
      </c>
      <c r="AG70">
        <v>68.2</v>
      </c>
      <c r="AH70">
        <v>19</v>
      </c>
      <c r="AI70">
        <v>139</v>
      </c>
      <c r="AJ70">
        <v>27.8</v>
      </c>
      <c r="AK70">
        <v>209</v>
      </c>
      <c r="AO70" s="4" t="s">
        <v>410</v>
      </c>
      <c r="AQ70" s="4" t="s">
        <v>411</v>
      </c>
      <c r="AS70">
        <v>10</v>
      </c>
      <c r="AT70">
        <v>3</v>
      </c>
      <c r="AU70">
        <v>1</v>
      </c>
      <c r="AV70">
        <v>3</v>
      </c>
      <c r="AW70">
        <v>5</v>
      </c>
      <c r="AY70">
        <v>1</v>
      </c>
      <c r="AZ70">
        <v>1</v>
      </c>
      <c r="BA70">
        <v>2</v>
      </c>
      <c r="BD70">
        <v>2</v>
      </c>
      <c r="BE70">
        <v>2</v>
      </c>
      <c r="BF70">
        <v>1</v>
      </c>
      <c r="BG70">
        <v>100</v>
      </c>
      <c r="BH70">
        <v>0</v>
      </c>
      <c r="BI70">
        <v>2</v>
      </c>
      <c r="BJ70">
        <v>2</v>
      </c>
      <c r="BK70">
        <v>2</v>
      </c>
      <c r="BL70">
        <v>1</v>
      </c>
      <c r="BM70">
        <v>1</v>
      </c>
      <c r="BN70">
        <v>1</v>
      </c>
      <c r="BO70">
        <v>0</v>
      </c>
      <c r="BP70">
        <v>0</v>
      </c>
      <c r="BQ70">
        <v>0</v>
      </c>
      <c r="BR70">
        <v>0</v>
      </c>
      <c r="BS70">
        <v>0</v>
      </c>
      <c r="BT70">
        <v>0</v>
      </c>
      <c r="BU70">
        <v>0</v>
      </c>
      <c r="BV70">
        <v>9</v>
      </c>
      <c r="BW70">
        <v>1</v>
      </c>
      <c r="BX70">
        <v>0</v>
      </c>
      <c r="BY70" t="s">
        <v>1084</v>
      </c>
    </row>
    <row r="71" spans="1:77" ht="195" x14ac:dyDescent="0.25">
      <c r="A71" t="s">
        <v>623</v>
      </c>
      <c r="B71" t="s">
        <v>477</v>
      </c>
      <c r="C71" t="s">
        <v>1102</v>
      </c>
      <c r="D71">
        <v>0</v>
      </c>
      <c r="E71">
        <v>5.0174899999999996</v>
      </c>
      <c r="F71" s="3">
        <v>24000043531</v>
      </c>
      <c r="G71">
        <v>54</v>
      </c>
      <c r="H71">
        <v>1</v>
      </c>
      <c r="I71" s="1">
        <v>45426</v>
      </c>
      <c r="J71" s="2">
        <v>0.29166666666666669</v>
      </c>
      <c r="K71" s="1">
        <v>45427</v>
      </c>
      <c r="L71" s="1">
        <v>45430</v>
      </c>
      <c r="M71">
        <v>9405605463</v>
      </c>
      <c r="N71">
        <v>9766993768</v>
      </c>
      <c r="O71">
        <v>3</v>
      </c>
      <c r="P71">
        <v>1</v>
      </c>
      <c r="Q71">
        <v>2</v>
      </c>
      <c r="R71">
        <v>1</v>
      </c>
      <c r="S71">
        <v>1</v>
      </c>
      <c r="T71">
        <v>1</v>
      </c>
      <c r="U71">
        <v>2</v>
      </c>
      <c r="V71">
        <v>2</v>
      </c>
      <c r="W71">
        <v>2</v>
      </c>
      <c r="X71">
        <v>2</v>
      </c>
      <c r="Y71">
        <v>2</v>
      </c>
      <c r="AA71">
        <v>16</v>
      </c>
      <c r="AB71">
        <v>47.2</v>
      </c>
      <c r="AC71">
        <v>96.7</v>
      </c>
      <c r="AD71">
        <v>16.260000000000002</v>
      </c>
      <c r="AE71">
        <v>5.4</v>
      </c>
      <c r="AK71">
        <v>178</v>
      </c>
      <c r="AO71" s="4" t="s">
        <v>478</v>
      </c>
      <c r="AQ71" s="4"/>
      <c r="AS71">
        <v>8</v>
      </c>
      <c r="AT71">
        <v>3</v>
      </c>
      <c r="AU71">
        <v>1</v>
      </c>
      <c r="AV71">
        <v>3</v>
      </c>
      <c r="AW71">
        <v>5</v>
      </c>
      <c r="AY71">
        <v>1</v>
      </c>
      <c r="AZ71">
        <v>1</v>
      </c>
      <c r="BA71">
        <v>2</v>
      </c>
      <c r="BD71">
        <v>2</v>
      </c>
      <c r="BE71">
        <v>2</v>
      </c>
      <c r="BF71">
        <v>0</v>
      </c>
      <c r="BG71">
        <v>100</v>
      </c>
      <c r="BH71">
        <v>0</v>
      </c>
      <c r="BI71">
        <v>0</v>
      </c>
      <c r="BJ71">
        <v>0</v>
      </c>
      <c r="BK71">
        <v>0</v>
      </c>
      <c r="BL71">
        <v>0</v>
      </c>
      <c r="BM71">
        <v>0</v>
      </c>
      <c r="BN71">
        <v>0</v>
      </c>
      <c r="BO71">
        <v>0</v>
      </c>
      <c r="BP71">
        <v>2</v>
      </c>
      <c r="BQ71">
        <v>2</v>
      </c>
      <c r="BR71">
        <v>2</v>
      </c>
      <c r="BS71">
        <v>1</v>
      </c>
      <c r="BT71">
        <v>1</v>
      </c>
      <c r="BU71">
        <v>1</v>
      </c>
      <c r="BV71">
        <v>9</v>
      </c>
      <c r="BW71">
        <v>1</v>
      </c>
      <c r="BX71">
        <v>1</v>
      </c>
      <c r="BY71">
        <v>0</v>
      </c>
    </row>
    <row r="72" spans="1:77" x14ac:dyDescent="0.25">
      <c r="A72" t="s">
        <v>940</v>
      </c>
      <c r="B72" t="s">
        <v>130</v>
      </c>
      <c r="C72" t="s">
        <v>130</v>
      </c>
      <c r="D72">
        <v>1</v>
      </c>
      <c r="E72">
        <v>8.0977300000000003</v>
      </c>
      <c r="F72" s="3">
        <v>24000078481</v>
      </c>
      <c r="G72">
        <v>85</v>
      </c>
      <c r="H72">
        <v>1</v>
      </c>
      <c r="I72" s="1">
        <v>45545</v>
      </c>
      <c r="J72" s="2">
        <v>0.20833333333333334</v>
      </c>
      <c r="M72">
        <v>9130111834</v>
      </c>
      <c r="O72">
        <v>7</v>
      </c>
      <c r="P72">
        <v>1</v>
      </c>
      <c r="Q72">
        <v>2</v>
      </c>
      <c r="R72">
        <v>2</v>
      </c>
      <c r="S72">
        <v>1</v>
      </c>
      <c r="T72">
        <v>2</v>
      </c>
      <c r="U72">
        <v>2</v>
      </c>
      <c r="V72">
        <v>2</v>
      </c>
      <c r="W72">
        <v>2</v>
      </c>
      <c r="X72">
        <v>2</v>
      </c>
      <c r="Y72">
        <v>2</v>
      </c>
      <c r="Z72" t="s">
        <v>881</v>
      </c>
      <c r="AO72" t="s">
        <v>882</v>
      </c>
      <c r="AQ72" t="s">
        <v>883</v>
      </c>
      <c r="AS72">
        <v>8</v>
      </c>
      <c r="AT72">
        <v>3</v>
      </c>
      <c r="AU72">
        <v>1</v>
      </c>
      <c r="AV72">
        <v>3</v>
      </c>
      <c r="AW72">
        <v>5</v>
      </c>
      <c r="AY72">
        <v>1</v>
      </c>
      <c r="AZ72">
        <v>1</v>
      </c>
      <c r="BA72">
        <v>2</v>
      </c>
      <c r="BC72">
        <v>4</v>
      </c>
      <c r="BD72">
        <v>2</v>
      </c>
      <c r="BE72">
        <v>2</v>
      </c>
      <c r="BF72">
        <v>1</v>
      </c>
      <c r="BG72">
        <v>85</v>
      </c>
      <c r="BH72">
        <v>0</v>
      </c>
      <c r="BI72">
        <v>0</v>
      </c>
      <c r="BJ72">
        <v>0</v>
      </c>
      <c r="BK72">
        <v>0</v>
      </c>
      <c r="BL72">
        <v>0</v>
      </c>
      <c r="BM72">
        <v>0</v>
      </c>
      <c r="BN72">
        <v>0</v>
      </c>
      <c r="BO72">
        <v>1</v>
      </c>
      <c r="BP72">
        <v>1</v>
      </c>
      <c r="BQ72">
        <v>2</v>
      </c>
      <c r="BR72">
        <v>2</v>
      </c>
      <c r="BS72">
        <v>1</v>
      </c>
      <c r="BT72">
        <v>1</v>
      </c>
      <c r="BU72">
        <v>1</v>
      </c>
      <c r="BV72">
        <v>9</v>
      </c>
      <c r="BW72">
        <v>1</v>
      </c>
      <c r="BX72">
        <v>1</v>
      </c>
      <c r="BY72">
        <v>0</v>
      </c>
    </row>
    <row r="73" spans="1:77" ht="300" x14ac:dyDescent="0.25">
      <c r="A73" t="s">
        <v>617</v>
      </c>
      <c r="B73" t="s">
        <v>317</v>
      </c>
      <c r="C73" t="s">
        <v>1058</v>
      </c>
      <c r="D73">
        <v>1</v>
      </c>
      <c r="E73">
        <v>11.7882</v>
      </c>
      <c r="F73" s="3">
        <v>20100124342</v>
      </c>
      <c r="G73">
        <v>56</v>
      </c>
      <c r="H73">
        <v>1</v>
      </c>
      <c r="K73" s="1">
        <v>44978</v>
      </c>
      <c r="M73">
        <v>8975275847</v>
      </c>
      <c r="O73">
        <v>2</v>
      </c>
      <c r="P73">
        <v>2</v>
      </c>
      <c r="Q73">
        <v>1</v>
      </c>
      <c r="R73">
        <v>2</v>
      </c>
      <c r="S73">
        <v>2</v>
      </c>
      <c r="T73">
        <v>2</v>
      </c>
      <c r="U73">
        <v>2</v>
      </c>
      <c r="V73">
        <v>2</v>
      </c>
      <c r="W73">
        <v>2</v>
      </c>
      <c r="X73">
        <v>2</v>
      </c>
      <c r="Y73">
        <v>2</v>
      </c>
      <c r="AA73">
        <v>15.1</v>
      </c>
      <c r="AD73">
        <v>30.87</v>
      </c>
      <c r="AE73">
        <v>17.100000000000001</v>
      </c>
      <c r="AK73">
        <v>183</v>
      </c>
      <c r="AO73" s="4" t="s">
        <v>318</v>
      </c>
      <c r="AQ73" s="4"/>
      <c r="AS73">
        <v>9</v>
      </c>
      <c r="AT73">
        <v>3</v>
      </c>
      <c r="AU73">
        <v>1</v>
      </c>
      <c r="AV73">
        <v>3</v>
      </c>
      <c r="AW73">
        <v>5</v>
      </c>
      <c r="AY73">
        <v>1</v>
      </c>
      <c r="AZ73">
        <v>1</v>
      </c>
      <c r="BA73">
        <v>2</v>
      </c>
      <c r="BD73">
        <v>2</v>
      </c>
      <c r="BE73">
        <v>2</v>
      </c>
      <c r="BF73">
        <v>1</v>
      </c>
      <c r="BG73">
        <v>85</v>
      </c>
      <c r="BH73">
        <v>0</v>
      </c>
      <c r="BI73">
        <v>0</v>
      </c>
      <c r="BJ73">
        <v>0</v>
      </c>
      <c r="BK73">
        <v>0</v>
      </c>
      <c r="BL73">
        <v>0</v>
      </c>
      <c r="BM73">
        <v>0</v>
      </c>
      <c r="BN73">
        <v>0</v>
      </c>
      <c r="BO73">
        <v>1</v>
      </c>
      <c r="BP73">
        <v>1</v>
      </c>
      <c r="BQ73">
        <v>2</v>
      </c>
      <c r="BR73">
        <v>2</v>
      </c>
      <c r="BS73">
        <v>1</v>
      </c>
      <c r="BT73">
        <v>1</v>
      </c>
      <c r="BU73">
        <v>1</v>
      </c>
      <c r="BV73">
        <v>9</v>
      </c>
      <c r="BW73">
        <v>1</v>
      </c>
      <c r="BX73">
        <v>1</v>
      </c>
      <c r="BY73">
        <v>0</v>
      </c>
    </row>
    <row r="74" spans="1:77" x14ac:dyDescent="0.25">
      <c r="A74" t="s">
        <v>962</v>
      </c>
      <c r="B74" t="s">
        <v>943</v>
      </c>
      <c r="C74" t="s">
        <v>1146</v>
      </c>
      <c r="D74">
        <v>0</v>
      </c>
      <c r="E74">
        <v>12.2241</v>
      </c>
      <c r="F74" s="3">
        <v>240000098101</v>
      </c>
      <c r="G74">
        <v>50</v>
      </c>
      <c r="H74">
        <v>1</v>
      </c>
      <c r="I74" s="1">
        <v>45616</v>
      </c>
      <c r="J74" s="2">
        <v>0.20833333333333334</v>
      </c>
      <c r="K74" s="1">
        <v>45616</v>
      </c>
      <c r="L74" s="1">
        <v>45618</v>
      </c>
      <c r="M74">
        <v>9850868611</v>
      </c>
      <c r="N74">
        <v>9922941022</v>
      </c>
      <c r="O74">
        <v>9</v>
      </c>
      <c r="P74">
        <v>1</v>
      </c>
      <c r="Q74">
        <v>2</v>
      </c>
      <c r="R74">
        <v>2</v>
      </c>
      <c r="S74">
        <v>2</v>
      </c>
      <c r="T74">
        <v>1</v>
      </c>
      <c r="U74">
        <v>2</v>
      </c>
      <c r="V74">
        <v>2</v>
      </c>
      <c r="W74">
        <v>2</v>
      </c>
      <c r="X74">
        <v>2</v>
      </c>
      <c r="Y74">
        <v>2</v>
      </c>
      <c r="AA74">
        <v>15.8</v>
      </c>
      <c r="AD74">
        <v>10.83</v>
      </c>
      <c r="AE74">
        <v>6.2</v>
      </c>
      <c r="AK74">
        <v>911</v>
      </c>
      <c r="AO74" t="s">
        <v>944</v>
      </c>
      <c r="AQ74" t="s">
        <v>945</v>
      </c>
      <c r="AS74">
        <v>9</v>
      </c>
      <c r="AT74">
        <v>3</v>
      </c>
      <c r="AU74">
        <v>1</v>
      </c>
      <c r="AV74">
        <v>3</v>
      </c>
      <c r="AW74">
        <v>5</v>
      </c>
      <c r="AY74">
        <v>1</v>
      </c>
      <c r="AZ74">
        <v>1</v>
      </c>
      <c r="BA74">
        <v>2</v>
      </c>
      <c r="BC74">
        <v>4</v>
      </c>
      <c r="BD74">
        <v>2</v>
      </c>
      <c r="BE74">
        <v>2</v>
      </c>
      <c r="BF74">
        <v>0</v>
      </c>
      <c r="BG74">
        <v>100</v>
      </c>
      <c r="BH74">
        <v>1</v>
      </c>
      <c r="BI74">
        <v>1</v>
      </c>
      <c r="BJ74">
        <v>2</v>
      </c>
      <c r="BK74">
        <v>2</v>
      </c>
      <c r="BL74">
        <v>1</v>
      </c>
      <c r="BM74">
        <v>1</v>
      </c>
      <c r="BN74">
        <v>1</v>
      </c>
      <c r="BO74">
        <v>0</v>
      </c>
      <c r="BP74">
        <v>0</v>
      </c>
      <c r="BQ74">
        <v>0</v>
      </c>
      <c r="BR74">
        <v>0</v>
      </c>
      <c r="BS74">
        <v>0</v>
      </c>
      <c r="BT74">
        <v>0</v>
      </c>
      <c r="BU74">
        <v>0</v>
      </c>
      <c r="BV74">
        <v>9</v>
      </c>
      <c r="BW74">
        <v>1</v>
      </c>
      <c r="BX74">
        <v>1</v>
      </c>
      <c r="BY74">
        <v>1</v>
      </c>
    </row>
    <row r="75" spans="1:77" ht="135" x14ac:dyDescent="0.25">
      <c r="A75" t="s">
        <v>648</v>
      </c>
      <c r="B75" t="s">
        <v>154</v>
      </c>
      <c r="C75" t="s">
        <v>1007</v>
      </c>
      <c r="D75">
        <v>1</v>
      </c>
      <c r="E75">
        <v>12.790699999999999</v>
      </c>
      <c r="F75" s="3">
        <v>230803603</v>
      </c>
      <c r="G75">
        <v>33</v>
      </c>
      <c r="H75">
        <v>1</v>
      </c>
      <c r="I75" s="1">
        <v>45161</v>
      </c>
      <c r="J75" s="2">
        <v>0.9375</v>
      </c>
      <c r="K75" s="1">
        <v>45161</v>
      </c>
      <c r="L75" s="1">
        <v>45167</v>
      </c>
      <c r="M75">
        <v>9637311461</v>
      </c>
      <c r="O75">
        <v>9</v>
      </c>
      <c r="P75">
        <v>1</v>
      </c>
      <c r="Q75">
        <v>2</v>
      </c>
      <c r="R75">
        <v>1</v>
      </c>
      <c r="S75">
        <v>2</v>
      </c>
      <c r="T75">
        <v>1</v>
      </c>
      <c r="U75">
        <v>2</v>
      </c>
      <c r="V75">
        <v>2</v>
      </c>
      <c r="W75">
        <v>1</v>
      </c>
      <c r="X75">
        <v>2</v>
      </c>
      <c r="Y75">
        <v>1</v>
      </c>
      <c r="AA75">
        <v>15.9</v>
      </c>
      <c r="AB75">
        <v>49.5</v>
      </c>
      <c r="AC75">
        <v>90</v>
      </c>
      <c r="AD75">
        <v>39.44</v>
      </c>
      <c r="AE75">
        <v>5.9</v>
      </c>
      <c r="AF75">
        <v>167</v>
      </c>
      <c r="AG75">
        <v>107</v>
      </c>
      <c r="AH75">
        <v>31</v>
      </c>
      <c r="AI75">
        <v>142</v>
      </c>
      <c r="AJ75">
        <v>28.4</v>
      </c>
      <c r="AK75">
        <v>207</v>
      </c>
      <c r="AO75" s="4" t="s">
        <v>124</v>
      </c>
      <c r="AQ75" s="4" t="s">
        <v>155</v>
      </c>
      <c r="AS75">
        <v>10</v>
      </c>
      <c r="AT75">
        <v>3</v>
      </c>
      <c r="AU75">
        <v>1</v>
      </c>
      <c r="AV75">
        <v>3</v>
      </c>
      <c r="AW75">
        <v>4</v>
      </c>
      <c r="AY75">
        <v>1</v>
      </c>
      <c r="AZ75">
        <v>2</v>
      </c>
      <c r="BA75">
        <v>1</v>
      </c>
      <c r="BB75">
        <v>2</v>
      </c>
      <c r="BC75">
        <v>1</v>
      </c>
      <c r="BF75">
        <v>1</v>
      </c>
      <c r="BG75">
        <v>95</v>
      </c>
      <c r="BH75">
        <v>0</v>
      </c>
      <c r="BI75">
        <v>0</v>
      </c>
      <c r="BJ75">
        <v>0</v>
      </c>
      <c r="BK75">
        <v>0</v>
      </c>
      <c r="BL75">
        <v>0</v>
      </c>
      <c r="BM75">
        <v>0</v>
      </c>
      <c r="BN75">
        <v>0</v>
      </c>
      <c r="BO75">
        <v>1</v>
      </c>
      <c r="BP75">
        <v>2</v>
      </c>
      <c r="BQ75">
        <v>2</v>
      </c>
      <c r="BR75">
        <v>2</v>
      </c>
      <c r="BS75">
        <v>1</v>
      </c>
      <c r="BT75">
        <v>0</v>
      </c>
      <c r="BU75">
        <v>1</v>
      </c>
      <c r="BV75">
        <v>9</v>
      </c>
      <c r="BW75">
        <v>1</v>
      </c>
      <c r="BX75">
        <v>1</v>
      </c>
      <c r="BY75">
        <v>0</v>
      </c>
    </row>
    <row r="76" spans="1:77" x14ac:dyDescent="0.25">
      <c r="A76" s="8" t="s">
        <v>969</v>
      </c>
      <c r="B76" s="8" t="s">
        <v>474</v>
      </c>
      <c r="C76" s="8" t="s">
        <v>1101</v>
      </c>
      <c r="D76" s="8">
        <v>0</v>
      </c>
      <c r="E76" s="8">
        <v>13.173299999999999</v>
      </c>
      <c r="F76" s="9">
        <v>240000043565</v>
      </c>
      <c r="G76" s="8">
        <v>47</v>
      </c>
      <c r="H76" s="8">
        <v>2</v>
      </c>
      <c r="I76" s="10">
        <v>45426</v>
      </c>
      <c r="J76" s="11">
        <v>0.29166666666666669</v>
      </c>
      <c r="K76" s="10">
        <v>45427</v>
      </c>
      <c r="L76" s="10">
        <v>45429</v>
      </c>
      <c r="M76" s="8">
        <v>9545440049</v>
      </c>
      <c r="N76" s="8"/>
      <c r="O76" s="8">
        <v>5</v>
      </c>
      <c r="P76" s="8">
        <v>2</v>
      </c>
      <c r="Q76" s="8">
        <v>1</v>
      </c>
      <c r="R76" s="8">
        <v>2</v>
      </c>
      <c r="S76" s="8">
        <v>1</v>
      </c>
      <c r="T76" s="8">
        <v>2</v>
      </c>
      <c r="U76" s="8">
        <v>2</v>
      </c>
      <c r="V76" s="8">
        <v>2</v>
      </c>
      <c r="W76" s="8">
        <v>2</v>
      </c>
      <c r="X76" s="8">
        <v>2</v>
      </c>
      <c r="Y76" s="8">
        <v>2</v>
      </c>
      <c r="Z76" s="8"/>
      <c r="AA76" s="8">
        <v>12.6</v>
      </c>
      <c r="AB76" s="8">
        <v>38.299999999999997</v>
      </c>
      <c r="AC76" s="8">
        <v>77</v>
      </c>
      <c r="AD76" s="8">
        <v>3.26</v>
      </c>
      <c r="AE76" s="8">
        <v>13</v>
      </c>
      <c r="AF76" s="8"/>
      <c r="AG76" s="8"/>
      <c r="AH76" s="8"/>
      <c r="AI76" s="8"/>
      <c r="AJ76" s="8"/>
      <c r="AK76" s="8">
        <v>2000</v>
      </c>
      <c r="AL76" s="8"/>
      <c r="AM76" s="8"/>
      <c r="AN76" s="8"/>
      <c r="AO76" s="8" t="s">
        <v>475</v>
      </c>
      <c r="AP76" s="8"/>
      <c r="AQ76" s="8" t="s">
        <v>476</v>
      </c>
      <c r="AR76" s="8"/>
      <c r="AS76" s="8">
        <v>9</v>
      </c>
      <c r="AT76" s="8">
        <v>3</v>
      </c>
      <c r="AU76" s="8">
        <v>1</v>
      </c>
      <c r="AV76" s="8">
        <v>3</v>
      </c>
      <c r="AW76" s="8">
        <v>5</v>
      </c>
      <c r="AX76" s="8"/>
      <c r="AY76" s="8">
        <v>1</v>
      </c>
      <c r="AZ76" s="8">
        <v>1</v>
      </c>
      <c r="BA76" s="8">
        <v>2</v>
      </c>
      <c r="BB76" s="8"/>
      <c r="BC76" s="8"/>
      <c r="BD76" s="8">
        <v>2</v>
      </c>
      <c r="BE76" s="8">
        <v>2</v>
      </c>
      <c r="BF76" s="8">
        <v>0</v>
      </c>
      <c r="BG76" s="8">
        <v>100</v>
      </c>
      <c r="BH76" s="8">
        <v>0</v>
      </c>
      <c r="BI76" s="8">
        <v>2</v>
      </c>
      <c r="BJ76" s="8">
        <v>2</v>
      </c>
      <c r="BK76" s="8">
        <v>2</v>
      </c>
      <c r="BL76" s="8">
        <v>1</v>
      </c>
      <c r="BM76" s="8">
        <v>1</v>
      </c>
      <c r="BN76" s="8">
        <v>1</v>
      </c>
      <c r="BO76" s="8"/>
      <c r="BP76" s="8"/>
      <c r="BQ76" s="8"/>
      <c r="BR76" s="8"/>
      <c r="BS76" s="8"/>
      <c r="BT76" s="8"/>
      <c r="BU76" s="8"/>
      <c r="BV76" s="8">
        <v>9</v>
      </c>
      <c r="BW76" s="8">
        <v>1</v>
      </c>
      <c r="BX76" s="8">
        <v>0</v>
      </c>
      <c r="BY76" s="8"/>
    </row>
    <row r="77" spans="1:77" ht="255" x14ac:dyDescent="0.25">
      <c r="A77" t="s">
        <v>633</v>
      </c>
      <c r="B77" t="s">
        <v>440</v>
      </c>
      <c r="C77" t="s">
        <v>440</v>
      </c>
      <c r="D77">
        <v>1</v>
      </c>
      <c r="E77">
        <v>25.111699999999999</v>
      </c>
      <c r="F77" s="3">
        <v>240014382</v>
      </c>
      <c r="G77">
        <v>75</v>
      </c>
      <c r="H77">
        <v>1</v>
      </c>
      <c r="I77" s="1">
        <v>45386</v>
      </c>
      <c r="J77" s="2">
        <v>0.47916666666666669</v>
      </c>
      <c r="K77" s="1">
        <v>45387</v>
      </c>
      <c r="L77" s="1">
        <v>45394</v>
      </c>
      <c r="M77">
        <v>9923064112</v>
      </c>
      <c r="N77">
        <v>7972930241</v>
      </c>
      <c r="O77">
        <v>18</v>
      </c>
      <c r="P77">
        <v>2</v>
      </c>
      <c r="Q77">
        <v>2</v>
      </c>
      <c r="R77">
        <v>2</v>
      </c>
      <c r="S77">
        <v>2</v>
      </c>
      <c r="T77">
        <v>2</v>
      </c>
      <c r="U77">
        <v>2</v>
      </c>
      <c r="V77">
        <v>2</v>
      </c>
      <c r="W77">
        <v>2</v>
      </c>
      <c r="X77">
        <v>2</v>
      </c>
      <c r="Y77">
        <v>2</v>
      </c>
      <c r="Z77" t="s">
        <v>441</v>
      </c>
      <c r="AA77">
        <v>6.7</v>
      </c>
      <c r="AB77">
        <v>20.6</v>
      </c>
      <c r="AC77">
        <v>83.4</v>
      </c>
      <c r="AD77">
        <v>22.4</v>
      </c>
      <c r="AE77">
        <v>5.4</v>
      </c>
      <c r="AF77">
        <v>93</v>
      </c>
      <c r="AG77">
        <v>33.799999999999997</v>
      </c>
      <c r="AH77">
        <v>15</v>
      </c>
      <c r="AI77">
        <v>221</v>
      </c>
      <c r="AJ77">
        <v>44.2</v>
      </c>
      <c r="AK77">
        <v>148</v>
      </c>
      <c r="AM77" t="s">
        <v>442</v>
      </c>
      <c r="AO77" s="4" t="s">
        <v>443</v>
      </c>
      <c r="AQ77" s="4" t="s">
        <v>444</v>
      </c>
      <c r="AS77">
        <v>8</v>
      </c>
      <c r="AT77">
        <v>3</v>
      </c>
      <c r="AU77">
        <v>1</v>
      </c>
      <c r="AV77">
        <v>3</v>
      </c>
      <c r="AW77">
        <v>5</v>
      </c>
      <c r="AY77">
        <v>1</v>
      </c>
      <c r="AZ77">
        <v>1</v>
      </c>
      <c r="BA77">
        <v>2</v>
      </c>
      <c r="BD77">
        <v>2</v>
      </c>
      <c r="BE77">
        <v>2</v>
      </c>
      <c r="BF77">
        <v>1</v>
      </c>
      <c r="BG77">
        <v>70</v>
      </c>
      <c r="BH77">
        <v>0</v>
      </c>
      <c r="BI77">
        <v>2</v>
      </c>
      <c r="BJ77">
        <v>2</v>
      </c>
      <c r="BK77">
        <v>2</v>
      </c>
      <c r="BL77">
        <v>1</v>
      </c>
      <c r="BM77">
        <v>1</v>
      </c>
      <c r="BN77">
        <v>1</v>
      </c>
      <c r="BO77">
        <v>0</v>
      </c>
      <c r="BP77">
        <v>0</v>
      </c>
      <c r="BQ77">
        <v>0</v>
      </c>
      <c r="BR77">
        <v>0</v>
      </c>
      <c r="BS77">
        <v>0</v>
      </c>
      <c r="BT77">
        <v>0</v>
      </c>
      <c r="BU77">
        <v>0</v>
      </c>
      <c r="BV77">
        <v>9</v>
      </c>
      <c r="BW77">
        <v>1</v>
      </c>
      <c r="BX77">
        <v>1</v>
      </c>
      <c r="BY77">
        <v>0</v>
      </c>
    </row>
    <row r="78" spans="1:77" ht="60" x14ac:dyDescent="0.25">
      <c r="A78" t="s">
        <v>635</v>
      </c>
      <c r="B78" t="s">
        <v>118</v>
      </c>
      <c r="C78" t="s">
        <v>118</v>
      </c>
      <c r="D78">
        <v>1</v>
      </c>
      <c r="E78">
        <v>32.797699999999999</v>
      </c>
      <c r="F78" s="3">
        <v>230104302</v>
      </c>
      <c r="G78">
        <v>52</v>
      </c>
      <c r="H78">
        <v>1</v>
      </c>
      <c r="K78" s="1">
        <v>44949</v>
      </c>
      <c r="L78" s="1">
        <v>44950</v>
      </c>
      <c r="M78">
        <v>9545062949</v>
      </c>
      <c r="O78">
        <v>6</v>
      </c>
      <c r="P78">
        <v>1</v>
      </c>
      <c r="Q78">
        <v>2</v>
      </c>
      <c r="R78">
        <v>2</v>
      </c>
      <c r="S78">
        <v>2</v>
      </c>
      <c r="T78">
        <v>2</v>
      </c>
      <c r="U78">
        <v>2</v>
      </c>
      <c r="V78">
        <v>2</v>
      </c>
      <c r="W78">
        <v>2</v>
      </c>
      <c r="X78">
        <v>2</v>
      </c>
      <c r="Y78">
        <v>2</v>
      </c>
      <c r="Z78" t="s">
        <v>119</v>
      </c>
      <c r="AA78">
        <v>13.4</v>
      </c>
      <c r="AB78">
        <v>41.5</v>
      </c>
      <c r="AC78">
        <v>83.6</v>
      </c>
      <c r="AD78">
        <v>40.79</v>
      </c>
      <c r="AK78">
        <v>241</v>
      </c>
      <c r="AO78" s="4" t="s">
        <v>120</v>
      </c>
      <c r="AQ78" s="4" t="s">
        <v>121</v>
      </c>
      <c r="AS78">
        <v>8</v>
      </c>
      <c r="AT78">
        <v>3</v>
      </c>
      <c r="AU78">
        <v>1</v>
      </c>
      <c r="AV78">
        <v>3</v>
      </c>
      <c r="AW78">
        <v>5</v>
      </c>
      <c r="AY78">
        <v>1</v>
      </c>
      <c r="AZ78">
        <v>1</v>
      </c>
      <c r="BA78">
        <v>2</v>
      </c>
      <c r="BC78">
        <v>4</v>
      </c>
      <c r="BF78">
        <v>0</v>
      </c>
      <c r="BG78">
        <v>100</v>
      </c>
      <c r="BH78">
        <v>0</v>
      </c>
      <c r="BI78">
        <v>0</v>
      </c>
      <c r="BJ78">
        <v>0</v>
      </c>
      <c r="BK78">
        <v>0</v>
      </c>
      <c r="BL78">
        <v>0</v>
      </c>
      <c r="BM78">
        <v>0</v>
      </c>
      <c r="BN78">
        <v>0</v>
      </c>
      <c r="BO78">
        <v>1</v>
      </c>
      <c r="BP78">
        <v>2</v>
      </c>
      <c r="BQ78">
        <v>2</v>
      </c>
      <c r="BR78">
        <v>2</v>
      </c>
      <c r="BS78">
        <v>1</v>
      </c>
      <c r="BT78">
        <v>0</v>
      </c>
      <c r="BU78">
        <v>1</v>
      </c>
      <c r="BV78">
        <v>9</v>
      </c>
      <c r="BW78">
        <v>1</v>
      </c>
      <c r="BX78">
        <v>1</v>
      </c>
      <c r="BY78">
        <v>0</v>
      </c>
    </row>
    <row r="79" spans="1:77" ht="30" x14ac:dyDescent="0.25">
      <c r="A79" t="s">
        <v>642</v>
      </c>
      <c r="B79" t="s">
        <v>233</v>
      </c>
      <c r="C79" t="s">
        <v>1031</v>
      </c>
      <c r="D79">
        <v>1</v>
      </c>
      <c r="E79">
        <v>84.561199999999999</v>
      </c>
      <c r="F79" s="3">
        <v>130700886</v>
      </c>
      <c r="G79">
        <v>42</v>
      </c>
      <c r="H79">
        <v>1</v>
      </c>
      <c r="K79" s="1">
        <v>44761</v>
      </c>
      <c r="L79" s="1">
        <v>44793</v>
      </c>
      <c r="M79">
        <v>8149566554</v>
      </c>
      <c r="O79">
        <v>22</v>
      </c>
      <c r="P79">
        <v>1</v>
      </c>
      <c r="Q79">
        <v>2</v>
      </c>
      <c r="R79">
        <v>1</v>
      </c>
      <c r="S79">
        <v>2</v>
      </c>
      <c r="T79">
        <v>2</v>
      </c>
      <c r="U79">
        <v>2</v>
      </c>
      <c r="V79">
        <v>2</v>
      </c>
      <c r="W79">
        <v>1</v>
      </c>
      <c r="X79">
        <v>2</v>
      </c>
      <c r="Y79">
        <v>1</v>
      </c>
      <c r="AA79">
        <v>12.9</v>
      </c>
      <c r="AB79">
        <v>34.6</v>
      </c>
      <c r="AD79">
        <v>29.76</v>
      </c>
      <c r="AF79">
        <v>5.8</v>
      </c>
      <c r="AG79">
        <v>111.6</v>
      </c>
      <c r="AH79">
        <v>25</v>
      </c>
      <c r="AI79">
        <v>147</v>
      </c>
      <c r="AK79">
        <v>176</v>
      </c>
      <c r="AO79" s="4" t="s">
        <v>124</v>
      </c>
      <c r="AQ79" s="4" t="s">
        <v>234</v>
      </c>
      <c r="AS79">
        <v>7</v>
      </c>
      <c r="AT79">
        <v>3</v>
      </c>
      <c r="AU79">
        <v>2</v>
      </c>
      <c r="AV79">
        <v>2</v>
      </c>
      <c r="AW79">
        <v>4</v>
      </c>
      <c r="AY79">
        <v>1</v>
      </c>
      <c r="AZ79">
        <v>2</v>
      </c>
      <c r="BA79">
        <v>1</v>
      </c>
      <c r="BB79">
        <v>1</v>
      </c>
      <c r="BC79">
        <v>4</v>
      </c>
      <c r="BD79">
        <v>2</v>
      </c>
      <c r="BE79">
        <v>1</v>
      </c>
      <c r="BF79">
        <v>1</v>
      </c>
      <c r="BG79">
        <v>100</v>
      </c>
      <c r="BH79">
        <v>0</v>
      </c>
      <c r="BI79">
        <v>0</v>
      </c>
      <c r="BJ79">
        <v>0</v>
      </c>
      <c r="BK79">
        <v>0</v>
      </c>
      <c r="BL79">
        <v>0</v>
      </c>
      <c r="BM79">
        <v>0</v>
      </c>
      <c r="BN79">
        <v>0</v>
      </c>
      <c r="BO79">
        <v>1</v>
      </c>
      <c r="BP79">
        <v>2</v>
      </c>
      <c r="BQ79">
        <v>2</v>
      </c>
      <c r="BR79">
        <v>2</v>
      </c>
      <c r="BS79">
        <v>0</v>
      </c>
      <c r="BT79">
        <v>1</v>
      </c>
      <c r="BU79">
        <v>1</v>
      </c>
      <c r="BV79">
        <v>9</v>
      </c>
      <c r="BW79">
        <v>1</v>
      </c>
      <c r="BX79">
        <v>1</v>
      </c>
      <c r="BY79">
        <v>0</v>
      </c>
    </row>
    <row r="80" spans="1:77" ht="60" x14ac:dyDescent="0.25">
      <c r="A80" t="s">
        <v>720</v>
      </c>
      <c r="B80" t="s">
        <v>565</v>
      </c>
      <c r="C80" t="s">
        <v>1129</v>
      </c>
      <c r="D80">
        <v>0</v>
      </c>
      <c r="E80">
        <v>88.934600000000003</v>
      </c>
      <c r="F80" s="3">
        <v>240000059246</v>
      </c>
      <c r="G80">
        <v>50</v>
      </c>
      <c r="H80">
        <v>1</v>
      </c>
      <c r="I80" s="1">
        <v>45481</v>
      </c>
      <c r="J80" s="2">
        <v>0.16666666666666666</v>
      </c>
      <c r="K80" s="1">
        <v>45481</v>
      </c>
      <c r="L80" s="1">
        <v>45487</v>
      </c>
      <c r="M80">
        <v>9922075213</v>
      </c>
      <c r="O80">
        <v>17</v>
      </c>
      <c r="P80">
        <v>2</v>
      </c>
      <c r="Q80">
        <v>2</v>
      </c>
      <c r="R80">
        <v>1</v>
      </c>
      <c r="S80">
        <v>2</v>
      </c>
      <c r="T80">
        <v>2</v>
      </c>
      <c r="U80">
        <v>2</v>
      </c>
      <c r="V80">
        <v>2</v>
      </c>
      <c r="W80">
        <v>2</v>
      </c>
      <c r="X80">
        <v>2</v>
      </c>
      <c r="Y80">
        <v>2</v>
      </c>
      <c r="AA80">
        <v>12.1</v>
      </c>
      <c r="AB80">
        <v>35.200000000000003</v>
      </c>
      <c r="AC80">
        <v>95.6</v>
      </c>
      <c r="AD80">
        <v>16.89</v>
      </c>
      <c r="AF80">
        <v>193</v>
      </c>
      <c r="AG80">
        <v>132.19999999999999</v>
      </c>
      <c r="AH80">
        <v>40</v>
      </c>
      <c r="AI80">
        <v>104</v>
      </c>
      <c r="AJ80">
        <v>20.8</v>
      </c>
      <c r="AO80" s="4" t="s">
        <v>566</v>
      </c>
      <c r="AQ80" s="4" t="s">
        <v>567</v>
      </c>
      <c r="AS80">
        <v>8</v>
      </c>
      <c r="AT80">
        <v>3</v>
      </c>
      <c r="AU80">
        <v>1</v>
      </c>
      <c r="AV80">
        <v>2</v>
      </c>
      <c r="AW80">
        <v>5</v>
      </c>
      <c r="AY80">
        <v>1</v>
      </c>
      <c r="AZ80">
        <v>2</v>
      </c>
      <c r="BA80">
        <v>2</v>
      </c>
      <c r="BD80">
        <v>2</v>
      </c>
      <c r="BE80">
        <v>2</v>
      </c>
      <c r="BF80">
        <v>6</v>
      </c>
      <c r="BG80">
        <v>0</v>
      </c>
      <c r="BH80">
        <v>0</v>
      </c>
      <c r="BI80">
        <v>0</v>
      </c>
      <c r="BJ80">
        <v>0</v>
      </c>
      <c r="BK80">
        <v>0</v>
      </c>
      <c r="BL80">
        <v>0</v>
      </c>
      <c r="BM80">
        <v>0</v>
      </c>
      <c r="BN80">
        <v>0</v>
      </c>
      <c r="BO80">
        <v>1</v>
      </c>
      <c r="BP80">
        <v>2</v>
      </c>
      <c r="BQ80">
        <v>2</v>
      </c>
      <c r="BR80">
        <v>1</v>
      </c>
      <c r="BS80">
        <v>1</v>
      </c>
      <c r="BT80">
        <v>1</v>
      </c>
      <c r="BU80">
        <v>1</v>
      </c>
      <c r="BV80">
        <v>9</v>
      </c>
      <c r="BW80">
        <v>1</v>
      </c>
      <c r="BX80">
        <v>1</v>
      </c>
      <c r="BY80">
        <v>0</v>
      </c>
    </row>
    <row r="81" spans="1:77" x14ac:dyDescent="0.25">
      <c r="A81" t="s">
        <v>964</v>
      </c>
      <c r="B81" t="s">
        <v>949</v>
      </c>
      <c r="C81" t="s">
        <v>1147</v>
      </c>
      <c r="D81">
        <v>0</v>
      </c>
      <c r="E81">
        <v>121.777</v>
      </c>
      <c r="F81" s="3">
        <v>240000097863</v>
      </c>
      <c r="G81">
        <v>53</v>
      </c>
      <c r="H81">
        <v>2</v>
      </c>
      <c r="I81" s="1">
        <v>45615</v>
      </c>
      <c r="J81" s="2">
        <v>0.45833333333333331</v>
      </c>
      <c r="K81" s="1">
        <v>45615</v>
      </c>
      <c r="L81" s="1">
        <v>45622</v>
      </c>
      <c r="M81">
        <v>9325380795</v>
      </c>
      <c r="O81">
        <v>7</v>
      </c>
      <c r="P81">
        <v>1</v>
      </c>
      <c r="Q81">
        <v>1</v>
      </c>
      <c r="R81">
        <v>2</v>
      </c>
      <c r="S81">
        <v>2</v>
      </c>
      <c r="T81">
        <v>2</v>
      </c>
      <c r="U81">
        <v>2</v>
      </c>
      <c r="V81">
        <v>2</v>
      </c>
      <c r="W81">
        <v>2</v>
      </c>
      <c r="X81">
        <v>2</v>
      </c>
      <c r="Y81">
        <v>1</v>
      </c>
      <c r="Z81" t="s">
        <v>950</v>
      </c>
      <c r="AA81">
        <v>13.9</v>
      </c>
      <c r="AB81">
        <v>41.8</v>
      </c>
      <c r="AC81">
        <v>87.6</v>
      </c>
      <c r="AD81">
        <v>10</v>
      </c>
      <c r="AE81">
        <v>12.4</v>
      </c>
      <c r="AF81">
        <v>195</v>
      </c>
      <c r="AG81">
        <v>138</v>
      </c>
      <c r="AH81">
        <v>35</v>
      </c>
      <c r="AI81">
        <v>109</v>
      </c>
      <c r="AJ81">
        <v>21.8</v>
      </c>
      <c r="AK81">
        <v>148</v>
      </c>
      <c r="AO81" t="s">
        <v>951</v>
      </c>
      <c r="AQ81" t="s">
        <v>952</v>
      </c>
      <c r="AS81">
        <v>8</v>
      </c>
      <c r="AT81">
        <v>3</v>
      </c>
      <c r="AU81">
        <v>1</v>
      </c>
      <c r="AV81">
        <v>3</v>
      </c>
      <c r="AW81">
        <v>4</v>
      </c>
      <c r="AY81">
        <v>1</v>
      </c>
      <c r="AZ81">
        <v>2</v>
      </c>
      <c r="BA81">
        <v>2</v>
      </c>
      <c r="BC81">
        <v>4</v>
      </c>
      <c r="BD81">
        <v>2</v>
      </c>
      <c r="BE81">
        <v>2</v>
      </c>
      <c r="BF81">
        <v>1</v>
      </c>
      <c r="BG81">
        <v>100</v>
      </c>
      <c r="BH81">
        <v>1</v>
      </c>
      <c r="BI81">
        <v>2</v>
      </c>
      <c r="BJ81">
        <v>2</v>
      </c>
      <c r="BK81">
        <v>2</v>
      </c>
      <c r="BL81">
        <v>1</v>
      </c>
      <c r="BM81">
        <v>0</v>
      </c>
      <c r="BN81">
        <v>1</v>
      </c>
      <c r="BO81">
        <v>0</v>
      </c>
      <c r="BP81">
        <v>0</v>
      </c>
      <c r="BQ81">
        <v>0</v>
      </c>
      <c r="BR81">
        <v>0</v>
      </c>
      <c r="BS81">
        <v>0</v>
      </c>
      <c r="BT81">
        <v>0</v>
      </c>
      <c r="BU81">
        <v>0</v>
      </c>
      <c r="BV81">
        <v>9</v>
      </c>
      <c r="BW81">
        <v>1</v>
      </c>
      <c r="BX81">
        <v>1</v>
      </c>
      <c r="BY81">
        <v>1</v>
      </c>
    </row>
    <row r="82" spans="1:77" ht="105" x14ac:dyDescent="0.25">
      <c r="A82" t="s">
        <v>722</v>
      </c>
      <c r="B82" t="s">
        <v>433</v>
      </c>
      <c r="C82" t="s">
        <v>1090</v>
      </c>
      <c r="D82">
        <v>0</v>
      </c>
      <c r="E82" t="s">
        <v>1091</v>
      </c>
      <c r="F82" s="3">
        <v>230000022720</v>
      </c>
      <c r="G82">
        <v>75</v>
      </c>
      <c r="H82">
        <v>2</v>
      </c>
      <c r="I82" s="1">
        <v>45398</v>
      </c>
      <c r="J82" s="2">
        <v>0.3125</v>
      </c>
      <c r="K82" s="1">
        <v>45398</v>
      </c>
      <c r="M82">
        <v>9890084283</v>
      </c>
      <c r="N82">
        <v>9970150799</v>
      </c>
      <c r="O82">
        <v>26</v>
      </c>
      <c r="P82">
        <v>1</v>
      </c>
      <c r="Q82">
        <v>2</v>
      </c>
      <c r="R82">
        <v>2</v>
      </c>
      <c r="S82">
        <v>2</v>
      </c>
      <c r="T82">
        <v>2</v>
      </c>
      <c r="U82">
        <v>2</v>
      </c>
      <c r="V82">
        <v>2</v>
      </c>
      <c r="W82">
        <v>2</v>
      </c>
      <c r="X82">
        <v>2</v>
      </c>
      <c r="Y82">
        <v>2</v>
      </c>
      <c r="AA82">
        <v>12.7</v>
      </c>
      <c r="AB82">
        <v>39</v>
      </c>
      <c r="AC82">
        <v>88.7</v>
      </c>
      <c r="AD82">
        <v>14.48</v>
      </c>
      <c r="AK82">
        <v>711</v>
      </c>
      <c r="AO82" s="4" t="s">
        <v>434</v>
      </c>
      <c r="AQ82" s="4" t="s">
        <v>435</v>
      </c>
      <c r="AS82">
        <v>6</v>
      </c>
      <c r="AT82">
        <v>3</v>
      </c>
      <c r="AU82">
        <v>1</v>
      </c>
      <c r="AV82">
        <v>3</v>
      </c>
      <c r="AW82">
        <v>4</v>
      </c>
      <c r="AY82">
        <v>1</v>
      </c>
      <c r="AZ82">
        <v>2</v>
      </c>
      <c r="BA82">
        <v>2</v>
      </c>
      <c r="BB82">
        <v>2</v>
      </c>
      <c r="BD82">
        <v>2</v>
      </c>
      <c r="BE82">
        <v>2</v>
      </c>
      <c r="BF82">
        <v>6</v>
      </c>
      <c r="BG82">
        <v>0</v>
      </c>
      <c r="BH82">
        <v>1</v>
      </c>
      <c r="BI82">
        <v>2</v>
      </c>
      <c r="BJ82">
        <v>2</v>
      </c>
      <c r="BK82">
        <v>2</v>
      </c>
      <c r="BL82">
        <v>1</v>
      </c>
      <c r="BM82">
        <v>0</v>
      </c>
      <c r="BN82">
        <v>1</v>
      </c>
      <c r="BO82">
        <v>0</v>
      </c>
      <c r="BP82">
        <v>0</v>
      </c>
      <c r="BQ82">
        <v>0</v>
      </c>
      <c r="BR82">
        <v>0</v>
      </c>
      <c r="BS82">
        <v>0</v>
      </c>
      <c r="BT82">
        <v>0</v>
      </c>
      <c r="BU82">
        <v>0</v>
      </c>
      <c r="BV82">
        <v>9</v>
      </c>
      <c r="BW82">
        <v>0</v>
      </c>
      <c r="BX82">
        <v>0</v>
      </c>
      <c r="BY82" t="s">
        <v>1040</v>
      </c>
    </row>
    <row r="83" spans="1:77" ht="270" x14ac:dyDescent="0.25">
      <c r="A83" t="s">
        <v>657</v>
      </c>
      <c r="B83" t="s">
        <v>86</v>
      </c>
      <c r="C83" t="s">
        <v>992</v>
      </c>
      <c r="D83">
        <v>1</v>
      </c>
      <c r="E83">
        <v>0.26637300000000003</v>
      </c>
      <c r="F83" s="3">
        <v>230305267</v>
      </c>
      <c r="G83">
        <v>80</v>
      </c>
      <c r="H83">
        <v>1</v>
      </c>
      <c r="I83" s="1">
        <v>45012</v>
      </c>
      <c r="J83" s="2">
        <v>0.25</v>
      </c>
      <c r="K83" s="1">
        <v>45012</v>
      </c>
      <c r="L83" s="1">
        <v>45033</v>
      </c>
      <c r="M83">
        <v>9850853398</v>
      </c>
      <c r="P83">
        <v>2</v>
      </c>
      <c r="Q83">
        <v>2</v>
      </c>
      <c r="R83">
        <v>2</v>
      </c>
      <c r="S83">
        <v>2</v>
      </c>
      <c r="T83">
        <v>1</v>
      </c>
      <c r="U83">
        <v>2</v>
      </c>
      <c r="V83">
        <v>2</v>
      </c>
      <c r="W83">
        <v>2</v>
      </c>
      <c r="X83">
        <v>2</v>
      </c>
      <c r="Y83">
        <v>2</v>
      </c>
      <c r="AA83">
        <v>12.6</v>
      </c>
      <c r="AB83">
        <v>36.299999999999997</v>
      </c>
      <c r="AC83">
        <v>96.7</v>
      </c>
      <c r="AD83">
        <v>14.5</v>
      </c>
      <c r="AE83">
        <v>5.0999999999999996</v>
      </c>
      <c r="AK83">
        <v>197</v>
      </c>
      <c r="AO83" s="4" t="s">
        <v>87</v>
      </c>
      <c r="AQ83" s="4"/>
      <c r="AS83">
        <v>9</v>
      </c>
      <c r="AT83">
        <v>3</v>
      </c>
      <c r="AU83">
        <v>1</v>
      </c>
      <c r="AV83">
        <v>3</v>
      </c>
      <c r="AW83">
        <v>5</v>
      </c>
      <c r="AY83">
        <v>1</v>
      </c>
      <c r="AZ83">
        <v>1</v>
      </c>
      <c r="BA83">
        <v>2</v>
      </c>
      <c r="BC83">
        <v>4</v>
      </c>
      <c r="BF83">
        <v>4</v>
      </c>
      <c r="BG83">
        <v>45</v>
      </c>
      <c r="BH83">
        <v>0</v>
      </c>
      <c r="BI83">
        <v>0</v>
      </c>
      <c r="BJ83">
        <v>0</v>
      </c>
      <c r="BK83">
        <v>0</v>
      </c>
      <c r="BL83">
        <v>0</v>
      </c>
      <c r="BM83">
        <v>0</v>
      </c>
      <c r="BN83">
        <v>0</v>
      </c>
      <c r="BO83">
        <v>1</v>
      </c>
      <c r="BP83">
        <v>2</v>
      </c>
      <c r="BQ83">
        <v>2</v>
      </c>
      <c r="BR83">
        <v>2</v>
      </c>
      <c r="BS83">
        <v>1</v>
      </c>
      <c r="BT83">
        <v>1</v>
      </c>
      <c r="BU83">
        <v>1</v>
      </c>
      <c r="BV83">
        <v>10</v>
      </c>
      <c r="BW83">
        <v>1</v>
      </c>
      <c r="BX83">
        <v>1</v>
      </c>
      <c r="BY83">
        <v>0</v>
      </c>
    </row>
    <row r="84" spans="1:77" ht="135" x14ac:dyDescent="0.25">
      <c r="A84" t="s">
        <v>658</v>
      </c>
      <c r="B84" t="s">
        <v>305</v>
      </c>
      <c r="C84" t="s">
        <v>1054</v>
      </c>
      <c r="D84">
        <v>1</v>
      </c>
      <c r="E84">
        <v>0.47059200000000001</v>
      </c>
      <c r="F84" s="3">
        <v>131202821</v>
      </c>
      <c r="G84">
        <v>32</v>
      </c>
      <c r="H84">
        <v>1</v>
      </c>
      <c r="K84" s="1">
        <v>44982</v>
      </c>
      <c r="L84" s="1">
        <v>44986</v>
      </c>
      <c r="M84">
        <v>9823579765</v>
      </c>
      <c r="O84">
        <v>1</v>
      </c>
      <c r="P84">
        <v>2</v>
      </c>
      <c r="Q84">
        <v>2</v>
      </c>
      <c r="R84">
        <v>2</v>
      </c>
      <c r="S84">
        <v>2</v>
      </c>
      <c r="T84">
        <v>2</v>
      </c>
      <c r="U84">
        <v>2</v>
      </c>
      <c r="V84">
        <v>2</v>
      </c>
      <c r="W84">
        <v>2</v>
      </c>
      <c r="X84">
        <v>2</v>
      </c>
      <c r="Y84">
        <v>2</v>
      </c>
      <c r="AA84">
        <v>14.6</v>
      </c>
      <c r="AD84">
        <v>27</v>
      </c>
      <c r="AF84">
        <v>237</v>
      </c>
      <c r="AG84">
        <v>156</v>
      </c>
      <c r="AH84">
        <v>54</v>
      </c>
      <c r="AI84">
        <v>133</v>
      </c>
      <c r="AJ84">
        <v>26</v>
      </c>
      <c r="AK84">
        <v>156</v>
      </c>
      <c r="AO84" s="4" t="s">
        <v>306</v>
      </c>
      <c r="AQ84" s="4" t="s">
        <v>307</v>
      </c>
      <c r="AS84">
        <v>10</v>
      </c>
      <c r="AT84">
        <v>3</v>
      </c>
      <c r="AU84">
        <v>1</v>
      </c>
      <c r="AV84">
        <v>3</v>
      </c>
      <c r="AW84">
        <v>5</v>
      </c>
      <c r="AY84">
        <v>1</v>
      </c>
      <c r="AZ84">
        <v>1</v>
      </c>
      <c r="BA84">
        <v>2</v>
      </c>
      <c r="BC84">
        <v>4</v>
      </c>
      <c r="BD84">
        <v>2</v>
      </c>
      <c r="BE84">
        <v>2</v>
      </c>
      <c r="BF84">
        <v>1</v>
      </c>
      <c r="BG84">
        <v>95</v>
      </c>
      <c r="BH84">
        <v>0</v>
      </c>
      <c r="BI84">
        <v>0</v>
      </c>
      <c r="BJ84">
        <v>0</v>
      </c>
      <c r="BK84">
        <v>0</v>
      </c>
      <c r="BL84">
        <v>0</v>
      </c>
      <c r="BM84">
        <v>0</v>
      </c>
      <c r="BN84">
        <v>0</v>
      </c>
      <c r="BO84">
        <v>1</v>
      </c>
      <c r="BP84">
        <v>2</v>
      </c>
      <c r="BQ84">
        <v>2</v>
      </c>
      <c r="BR84">
        <v>2</v>
      </c>
      <c r="BS84">
        <v>1</v>
      </c>
      <c r="BT84">
        <v>1</v>
      </c>
      <c r="BU84">
        <v>1</v>
      </c>
      <c r="BV84">
        <v>10</v>
      </c>
      <c r="BW84">
        <v>0</v>
      </c>
      <c r="BX84">
        <v>1</v>
      </c>
      <c r="BY84">
        <v>0</v>
      </c>
    </row>
    <row r="85" spans="1:77" ht="105" x14ac:dyDescent="0.25">
      <c r="A85" t="s">
        <v>701</v>
      </c>
      <c r="B85" t="s">
        <v>220</v>
      </c>
      <c r="C85" t="s">
        <v>1025</v>
      </c>
      <c r="D85">
        <v>0</v>
      </c>
      <c r="E85">
        <v>0.71678500000000001</v>
      </c>
      <c r="F85" s="3">
        <v>230010831</v>
      </c>
      <c r="G85">
        <v>32</v>
      </c>
      <c r="H85">
        <v>1</v>
      </c>
      <c r="I85" s="1">
        <v>45267</v>
      </c>
      <c r="J85" s="2">
        <v>0.39583333333333331</v>
      </c>
      <c r="K85" s="1">
        <v>45267</v>
      </c>
      <c r="L85" s="1">
        <v>45239</v>
      </c>
      <c r="M85">
        <v>9923173137</v>
      </c>
      <c r="N85">
        <v>9028021092</v>
      </c>
      <c r="O85">
        <v>2</v>
      </c>
      <c r="P85">
        <v>1</v>
      </c>
      <c r="Q85">
        <v>2</v>
      </c>
      <c r="R85">
        <v>2</v>
      </c>
      <c r="S85">
        <v>2</v>
      </c>
      <c r="T85">
        <v>2</v>
      </c>
      <c r="U85">
        <v>2</v>
      </c>
      <c r="V85">
        <v>2</v>
      </c>
      <c r="W85">
        <v>2</v>
      </c>
      <c r="X85">
        <v>2</v>
      </c>
      <c r="Y85">
        <v>2</v>
      </c>
      <c r="Z85" t="s">
        <v>112</v>
      </c>
      <c r="AA85">
        <v>15.1</v>
      </c>
      <c r="AB85">
        <v>45.3</v>
      </c>
      <c r="AC85">
        <v>85.9</v>
      </c>
      <c r="AD85">
        <v>24.49</v>
      </c>
      <c r="AE85">
        <v>5.2</v>
      </c>
      <c r="AK85">
        <v>148</v>
      </c>
      <c r="AO85" s="4" t="s">
        <v>221</v>
      </c>
      <c r="AQ85" s="4" t="s">
        <v>48</v>
      </c>
      <c r="AS85">
        <v>10</v>
      </c>
      <c r="AT85">
        <v>3</v>
      </c>
      <c r="AU85">
        <v>1</v>
      </c>
      <c r="AV85">
        <v>3</v>
      </c>
      <c r="AW85">
        <v>5</v>
      </c>
      <c r="AY85">
        <v>1</v>
      </c>
      <c r="AZ85">
        <v>1</v>
      </c>
      <c r="BA85">
        <v>2</v>
      </c>
      <c r="BC85">
        <v>4</v>
      </c>
      <c r="BD85">
        <v>2</v>
      </c>
      <c r="BE85">
        <v>2</v>
      </c>
      <c r="BF85">
        <v>0</v>
      </c>
      <c r="BG85">
        <v>100</v>
      </c>
      <c r="BH85">
        <v>1</v>
      </c>
      <c r="BI85">
        <v>2</v>
      </c>
      <c r="BJ85">
        <v>2</v>
      </c>
      <c r="BK85">
        <v>2</v>
      </c>
      <c r="BL85">
        <v>1</v>
      </c>
      <c r="BM85">
        <v>1</v>
      </c>
      <c r="BN85">
        <v>1</v>
      </c>
      <c r="BO85">
        <v>0</v>
      </c>
      <c r="BP85">
        <v>0</v>
      </c>
      <c r="BQ85">
        <v>0</v>
      </c>
      <c r="BR85">
        <v>0</v>
      </c>
      <c r="BS85">
        <v>0</v>
      </c>
      <c r="BT85">
        <v>0</v>
      </c>
      <c r="BU85">
        <v>0</v>
      </c>
      <c r="BV85">
        <v>10</v>
      </c>
      <c r="BW85">
        <v>1</v>
      </c>
      <c r="BX85">
        <v>1</v>
      </c>
      <c r="BY85">
        <v>0</v>
      </c>
    </row>
    <row r="86" spans="1:77" ht="150" x14ac:dyDescent="0.25">
      <c r="A86" t="s">
        <v>660</v>
      </c>
      <c r="B86" t="s">
        <v>347</v>
      </c>
      <c r="C86" t="s">
        <v>1065</v>
      </c>
      <c r="D86">
        <v>1</v>
      </c>
      <c r="E86">
        <v>0.72162800000000005</v>
      </c>
      <c r="F86" s="3">
        <v>24000002182</v>
      </c>
      <c r="G86">
        <v>30</v>
      </c>
      <c r="H86">
        <v>1</v>
      </c>
      <c r="I86" s="1">
        <v>45296</v>
      </c>
      <c r="J86" s="2">
        <v>0.91666666666666663</v>
      </c>
      <c r="K86" s="1">
        <v>45297</v>
      </c>
      <c r="L86" s="1">
        <v>45297</v>
      </c>
      <c r="M86">
        <v>9595462767</v>
      </c>
      <c r="N86">
        <v>9049331113</v>
      </c>
      <c r="O86">
        <v>1</v>
      </c>
      <c r="P86">
        <v>2</v>
      </c>
      <c r="Q86">
        <v>2</v>
      </c>
      <c r="R86">
        <v>2</v>
      </c>
      <c r="S86">
        <v>2</v>
      </c>
      <c r="T86">
        <v>2</v>
      </c>
      <c r="U86">
        <v>2</v>
      </c>
      <c r="V86">
        <v>2</v>
      </c>
      <c r="W86">
        <v>2</v>
      </c>
      <c r="X86">
        <v>2</v>
      </c>
      <c r="Y86">
        <v>2</v>
      </c>
      <c r="AA86">
        <v>15.4</v>
      </c>
      <c r="AB86">
        <v>46.4</v>
      </c>
      <c r="AC86">
        <v>85.9</v>
      </c>
      <c r="AD86">
        <v>16.399999999999999</v>
      </c>
      <c r="AF86">
        <v>144</v>
      </c>
      <c r="AG86">
        <v>96.6</v>
      </c>
      <c r="AH86">
        <v>32</v>
      </c>
      <c r="AI86">
        <v>77</v>
      </c>
      <c r="AJ86">
        <v>15.4</v>
      </c>
      <c r="AK86">
        <v>184</v>
      </c>
      <c r="AO86" s="4" t="s">
        <v>348</v>
      </c>
      <c r="AQ86" s="4" t="s">
        <v>49</v>
      </c>
      <c r="AS86">
        <v>9</v>
      </c>
      <c r="AT86">
        <v>3</v>
      </c>
      <c r="AU86">
        <v>1</v>
      </c>
      <c r="AV86">
        <v>3</v>
      </c>
      <c r="AW86">
        <v>5</v>
      </c>
      <c r="AY86">
        <v>1</v>
      </c>
      <c r="AZ86">
        <v>1</v>
      </c>
      <c r="BA86">
        <v>2</v>
      </c>
      <c r="BD86">
        <v>2</v>
      </c>
      <c r="BE86">
        <v>2</v>
      </c>
      <c r="BF86">
        <v>0</v>
      </c>
      <c r="BG86">
        <v>100</v>
      </c>
      <c r="BH86">
        <v>1</v>
      </c>
      <c r="BI86">
        <v>2</v>
      </c>
      <c r="BJ86">
        <v>2</v>
      </c>
      <c r="BK86">
        <v>2</v>
      </c>
      <c r="BL86">
        <v>1</v>
      </c>
      <c r="BM86">
        <v>1</v>
      </c>
      <c r="BN86">
        <v>1</v>
      </c>
      <c r="BO86">
        <v>0</v>
      </c>
      <c r="BP86">
        <v>0</v>
      </c>
      <c r="BQ86">
        <v>0</v>
      </c>
      <c r="BR86">
        <v>0</v>
      </c>
      <c r="BS86">
        <v>0</v>
      </c>
      <c r="BT86">
        <v>0</v>
      </c>
      <c r="BU86">
        <v>0</v>
      </c>
      <c r="BV86">
        <v>10</v>
      </c>
      <c r="BW86">
        <v>1</v>
      </c>
      <c r="BX86">
        <v>1</v>
      </c>
      <c r="BY86">
        <v>0</v>
      </c>
    </row>
    <row r="87" spans="1:77" x14ac:dyDescent="0.25">
      <c r="A87" t="s">
        <v>857</v>
      </c>
      <c r="B87" t="s">
        <v>406</v>
      </c>
      <c r="C87" t="s">
        <v>1082</v>
      </c>
      <c r="D87">
        <v>1</v>
      </c>
      <c r="E87">
        <v>0.72162800000000005</v>
      </c>
      <c r="F87" s="3">
        <v>240000031562</v>
      </c>
      <c r="G87">
        <v>50</v>
      </c>
      <c r="H87">
        <v>1</v>
      </c>
      <c r="I87" s="1">
        <v>45385</v>
      </c>
      <c r="J87" s="2">
        <v>8.3333333333333329E-2</v>
      </c>
      <c r="K87" s="1">
        <v>45385</v>
      </c>
      <c r="L87" s="1">
        <v>45385</v>
      </c>
      <c r="M87">
        <v>9689125965</v>
      </c>
      <c r="O87">
        <v>3</v>
      </c>
      <c r="P87">
        <v>2</v>
      </c>
      <c r="Q87">
        <v>1</v>
      </c>
      <c r="R87">
        <v>1</v>
      </c>
      <c r="S87">
        <v>1</v>
      </c>
      <c r="T87">
        <v>2</v>
      </c>
      <c r="U87">
        <v>2</v>
      </c>
      <c r="V87">
        <v>2</v>
      </c>
      <c r="W87">
        <v>2</v>
      </c>
      <c r="X87">
        <v>2</v>
      </c>
      <c r="Y87">
        <v>2</v>
      </c>
      <c r="AO87" t="s">
        <v>407</v>
      </c>
      <c r="AQ87" t="s">
        <v>408</v>
      </c>
      <c r="AS87">
        <v>10</v>
      </c>
      <c r="AT87">
        <v>3</v>
      </c>
      <c r="AU87">
        <v>1</v>
      </c>
      <c r="AV87">
        <v>3</v>
      </c>
      <c r="AW87">
        <v>5</v>
      </c>
      <c r="AY87">
        <v>2</v>
      </c>
      <c r="AZ87">
        <v>2</v>
      </c>
      <c r="BA87">
        <v>2</v>
      </c>
      <c r="BD87">
        <v>2</v>
      </c>
      <c r="BE87">
        <v>2</v>
      </c>
      <c r="BF87">
        <v>0</v>
      </c>
      <c r="BG87">
        <v>100</v>
      </c>
      <c r="BH87">
        <v>0</v>
      </c>
      <c r="BI87">
        <v>0</v>
      </c>
      <c r="BJ87">
        <v>0</v>
      </c>
      <c r="BK87">
        <v>0</v>
      </c>
      <c r="BL87">
        <v>0</v>
      </c>
      <c r="BM87">
        <v>0</v>
      </c>
      <c r="BN87">
        <v>0</v>
      </c>
      <c r="BO87">
        <v>1</v>
      </c>
      <c r="BP87">
        <v>2</v>
      </c>
      <c r="BQ87">
        <v>2</v>
      </c>
      <c r="BR87">
        <v>2</v>
      </c>
      <c r="BS87">
        <v>1</v>
      </c>
      <c r="BT87">
        <v>1</v>
      </c>
      <c r="BU87">
        <v>1</v>
      </c>
      <c r="BV87">
        <v>10</v>
      </c>
      <c r="BW87">
        <v>1</v>
      </c>
      <c r="BX87">
        <v>1</v>
      </c>
      <c r="BY87">
        <v>0</v>
      </c>
    </row>
    <row r="88" spans="1:77" ht="90" x14ac:dyDescent="0.25">
      <c r="A88" t="s">
        <v>661</v>
      </c>
      <c r="B88" t="s">
        <v>315</v>
      </c>
      <c r="C88" t="s">
        <v>1057</v>
      </c>
      <c r="D88">
        <v>1</v>
      </c>
      <c r="E88">
        <v>0.91022599999999998</v>
      </c>
      <c r="F88" s="3">
        <v>220402573</v>
      </c>
      <c r="G88">
        <v>50</v>
      </c>
      <c r="H88">
        <v>1</v>
      </c>
      <c r="K88" s="1">
        <v>44974</v>
      </c>
      <c r="L88" s="1">
        <v>44979</v>
      </c>
      <c r="M88">
        <v>9373878732</v>
      </c>
      <c r="O88">
        <v>3</v>
      </c>
      <c r="P88">
        <v>1</v>
      </c>
      <c r="Q88">
        <v>2</v>
      </c>
      <c r="R88">
        <v>2</v>
      </c>
      <c r="S88">
        <v>2</v>
      </c>
      <c r="T88">
        <v>2</v>
      </c>
      <c r="U88">
        <v>2</v>
      </c>
      <c r="V88">
        <v>2</v>
      </c>
      <c r="W88">
        <v>2</v>
      </c>
      <c r="X88">
        <v>2</v>
      </c>
      <c r="Y88">
        <v>2</v>
      </c>
      <c r="AA88">
        <v>16.2</v>
      </c>
      <c r="AB88">
        <v>47</v>
      </c>
      <c r="AC88">
        <v>96</v>
      </c>
      <c r="AD88">
        <v>70</v>
      </c>
      <c r="AE88">
        <v>5.4</v>
      </c>
      <c r="AK88">
        <v>153</v>
      </c>
      <c r="AO88" s="4" t="s">
        <v>316</v>
      </c>
      <c r="AQ88" s="4"/>
      <c r="AS88">
        <v>10</v>
      </c>
      <c r="AT88">
        <v>3</v>
      </c>
      <c r="AU88">
        <v>1</v>
      </c>
      <c r="AV88">
        <v>3</v>
      </c>
      <c r="AW88">
        <v>5</v>
      </c>
      <c r="AY88">
        <v>1</v>
      </c>
      <c r="AZ88">
        <v>2</v>
      </c>
      <c r="BA88">
        <v>1</v>
      </c>
      <c r="BB88">
        <v>1</v>
      </c>
      <c r="BD88">
        <v>2</v>
      </c>
      <c r="BE88">
        <v>2</v>
      </c>
      <c r="BF88">
        <v>1</v>
      </c>
      <c r="BG88">
        <v>85</v>
      </c>
      <c r="BH88">
        <v>1</v>
      </c>
      <c r="BI88">
        <v>2</v>
      </c>
      <c r="BJ88">
        <v>2</v>
      </c>
      <c r="BK88">
        <v>2</v>
      </c>
      <c r="BL88">
        <v>1</v>
      </c>
      <c r="BM88">
        <v>1</v>
      </c>
      <c r="BN88">
        <v>1</v>
      </c>
      <c r="BO88">
        <v>0</v>
      </c>
      <c r="BP88">
        <v>0</v>
      </c>
      <c r="BQ88">
        <v>0</v>
      </c>
      <c r="BR88">
        <v>0</v>
      </c>
      <c r="BS88">
        <v>0</v>
      </c>
      <c r="BT88">
        <v>0</v>
      </c>
      <c r="BU88">
        <v>0</v>
      </c>
      <c r="BV88">
        <v>10</v>
      </c>
      <c r="BW88">
        <v>1</v>
      </c>
      <c r="BX88">
        <v>1</v>
      </c>
      <c r="BY88">
        <v>0</v>
      </c>
    </row>
    <row r="89" spans="1:77" ht="60" x14ac:dyDescent="0.25">
      <c r="A89" t="s">
        <v>664</v>
      </c>
      <c r="B89" t="s">
        <v>339</v>
      </c>
      <c r="C89" t="s">
        <v>1062</v>
      </c>
      <c r="D89">
        <v>1</v>
      </c>
      <c r="E89">
        <v>0.93472599999999995</v>
      </c>
      <c r="F89" s="3">
        <v>24000002722</v>
      </c>
      <c r="G89">
        <v>54</v>
      </c>
      <c r="H89">
        <v>1</v>
      </c>
      <c r="I89" s="1">
        <v>45298</v>
      </c>
      <c r="J89" s="2">
        <v>0.58333333333333337</v>
      </c>
      <c r="K89" s="1">
        <v>45298</v>
      </c>
      <c r="L89" s="1">
        <v>45300</v>
      </c>
      <c r="M89">
        <v>8390060098</v>
      </c>
      <c r="N89">
        <v>7350544384</v>
      </c>
      <c r="O89">
        <v>2</v>
      </c>
      <c r="P89">
        <v>1</v>
      </c>
      <c r="Q89">
        <v>2</v>
      </c>
      <c r="R89">
        <v>2</v>
      </c>
      <c r="S89">
        <v>2</v>
      </c>
      <c r="T89">
        <v>2</v>
      </c>
      <c r="U89">
        <v>2</v>
      </c>
      <c r="V89">
        <v>2</v>
      </c>
      <c r="W89">
        <v>2</v>
      </c>
      <c r="X89">
        <v>2</v>
      </c>
      <c r="Y89">
        <v>2</v>
      </c>
      <c r="Z89" t="s">
        <v>340</v>
      </c>
      <c r="AA89">
        <v>13.2</v>
      </c>
      <c r="AB89">
        <v>39.299999999999997</v>
      </c>
      <c r="AC89">
        <v>82.9</v>
      </c>
      <c r="AD89">
        <v>48.66</v>
      </c>
      <c r="AF89">
        <v>145</v>
      </c>
      <c r="AG89">
        <v>94.6</v>
      </c>
      <c r="AH89">
        <v>43</v>
      </c>
      <c r="AI89">
        <v>37</v>
      </c>
      <c r="AJ89">
        <v>7.4</v>
      </c>
      <c r="AK89">
        <v>148</v>
      </c>
      <c r="AO89" s="4" t="s">
        <v>341</v>
      </c>
      <c r="AQ89" s="4"/>
      <c r="AS89">
        <v>9</v>
      </c>
      <c r="AT89">
        <v>3</v>
      </c>
      <c r="AU89">
        <v>1</v>
      </c>
      <c r="AV89">
        <v>3</v>
      </c>
      <c r="AW89">
        <v>5</v>
      </c>
      <c r="AY89">
        <v>1</v>
      </c>
      <c r="AZ89">
        <v>1</v>
      </c>
      <c r="BA89">
        <v>2</v>
      </c>
      <c r="BD89">
        <v>2</v>
      </c>
      <c r="BE89">
        <v>2</v>
      </c>
      <c r="BF89">
        <v>0</v>
      </c>
      <c r="BG89">
        <v>100</v>
      </c>
      <c r="BH89">
        <v>1</v>
      </c>
      <c r="BI89">
        <v>2</v>
      </c>
      <c r="BJ89">
        <v>2</v>
      </c>
      <c r="BK89">
        <v>2</v>
      </c>
      <c r="BL89">
        <v>1</v>
      </c>
      <c r="BM89">
        <v>1</v>
      </c>
      <c r="BN89">
        <v>1</v>
      </c>
      <c r="BO89">
        <v>0</v>
      </c>
      <c r="BP89">
        <v>0</v>
      </c>
      <c r="BQ89">
        <v>0</v>
      </c>
      <c r="BR89">
        <v>0</v>
      </c>
      <c r="BS89">
        <v>0</v>
      </c>
      <c r="BT89">
        <v>0</v>
      </c>
      <c r="BU89">
        <v>0</v>
      </c>
      <c r="BV89">
        <v>10</v>
      </c>
      <c r="BW89">
        <v>1</v>
      </c>
      <c r="BX89">
        <v>1</v>
      </c>
      <c r="BY89">
        <v>0</v>
      </c>
    </row>
    <row r="90" spans="1:77" ht="409.5" x14ac:dyDescent="0.25">
      <c r="A90" t="s">
        <v>702</v>
      </c>
      <c r="B90" t="s">
        <v>217</v>
      </c>
      <c r="C90" t="s">
        <v>1024</v>
      </c>
      <c r="D90">
        <v>0</v>
      </c>
      <c r="E90">
        <v>0.98799999999999999</v>
      </c>
      <c r="F90" s="3">
        <v>230000077005</v>
      </c>
      <c r="G90">
        <v>45</v>
      </c>
      <c r="H90">
        <v>1</v>
      </c>
      <c r="I90" s="1">
        <v>45289</v>
      </c>
      <c r="J90" s="2">
        <v>0.39583333333333331</v>
      </c>
      <c r="K90" s="1">
        <v>45289</v>
      </c>
      <c r="M90">
        <v>9950627520</v>
      </c>
      <c r="N90">
        <v>9545324206</v>
      </c>
      <c r="O90">
        <v>1</v>
      </c>
      <c r="P90">
        <v>2</v>
      </c>
      <c r="Q90">
        <v>1</v>
      </c>
      <c r="R90">
        <v>2</v>
      </c>
      <c r="S90">
        <v>2</v>
      </c>
      <c r="T90">
        <v>2</v>
      </c>
      <c r="U90">
        <v>2</v>
      </c>
      <c r="V90">
        <v>2</v>
      </c>
      <c r="W90">
        <v>2</v>
      </c>
      <c r="X90">
        <v>2</v>
      </c>
      <c r="Y90">
        <v>2</v>
      </c>
      <c r="AA90">
        <v>14.6</v>
      </c>
      <c r="AB90">
        <v>43.8</v>
      </c>
      <c r="AC90">
        <v>80.5</v>
      </c>
      <c r="AD90">
        <v>13.4</v>
      </c>
      <c r="AE90">
        <v>10.9</v>
      </c>
      <c r="AF90">
        <v>246</v>
      </c>
      <c r="AG90">
        <v>174.4</v>
      </c>
      <c r="AH90">
        <v>38</v>
      </c>
      <c r="AI90">
        <v>168</v>
      </c>
      <c r="AJ90">
        <v>33.6</v>
      </c>
      <c r="AO90" s="4" t="s">
        <v>218</v>
      </c>
      <c r="AQ90" s="4" t="s">
        <v>219</v>
      </c>
      <c r="AS90">
        <v>10</v>
      </c>
      <c r="AT90">
        <v>3</v>
      </c>
      <c r="AU90">
        <v>1</v>
      </c>
      <c r="AV90">
        <v>3</v>
      </c>
      <c r="AW90">
        <v>5</v>
      </c>
      <c r="AY90">
        <v>1</v>
      </c>
      <c r="AZ90">
        <v>1</v>
      </c>
      <c r="BA90">
        <v>2</v>
      </c>
      <c r="BF90">
        <v>0</v>
      </c>
      <c r="BG90">
        <v>100</v>
      </c>
      <c r="BH90">
        <v>0</v>
      </c>
      <c r="BI90">
        <v>0</v>
      </c>
      <c r="BJ90">
        <v>0</v>
      </c>
      <c r="BK90">
        <v>0</v>
      </c>
      <c r="BL90">
        <v>0</v>
      </c>
      <c r="BM90">
        <v>0</v>
      </c>
      <c r="BN90">
        <v>0</v>
      </c>
      <c r="BO90">
        <v>1</v>
      </c>
      <c r="BP90">
        <v>2</v>
      </c>
      <c r="BQ90">
        <v>2</v>
      </c>
      <c r="BR90">
        <v>2</v>
      </c>
      <c r="BS90">
        <v>1</v>
      </c>
      <c r="BT90">
        <v>1</v>
      </c>
      <c r="BU90">
        <v>1</v>
      </c>
      <c r="BV90">
        <v>10</v>
      </c>
      <c r="BW90">
        <v>1</v>
      </c>
      <c r="BX90">
        <v>1</v>
      </c>
      <c r="BY90">
        <v>0</v>
      </c>
    </row>
    <row r="91" spans="1:77" ht="105" x14ac:dyDescent="0.25">
      <c r="A91" t="s">
        <v>666</v>
      </c>
      <c r="B91" t="s">
        <v>239</v>
      </c>
      <c r="C91" t="s">
        <v>1033</v>
      </c>
      <c r="D91">
        <v>1</v>
      </c>
      <c r="E91">
        <v>1.06549</v>
      </c>
      <c r="F91" s="3">
        <v>180100273</v>
      </c>
      <c r="G91">
        <v>38</v>
      </c>
      <c r="H91">
        <v>1</v>
      </c>
      <c r="K91" s="1">
        <v>44789</v>
      </c>
      <c r="L91" s="1">
        <v>44791</v>
      </c>
      <c r="M91">
        <v>8022554869</v>
      </c>
      <c r="O91">
        <v>3</v>
      </c>
      <c r="P91">
        <v>1</v>
      </c>
      <c r="Q91">
        <v>2</v>
      </c>
      <c r="R91">
        <v>2</v>
      </c>
      <c r="S91">
        <v>2</v>
      </c>
      <c r="T91">
        <v>2</v>
      </c>
      <c r="U91">
        <v>2</v>
      </c>
      <c r="V91">
        <v>2</v>
      </c>
      <c r="W91">
        <v>2</v>
      </c>
      <c r="X91">
        <v>2</v>
      </c>
      <c r="Y91">
        <v>2</v>
      </c>
      <c r="AA91">
        <v>15.1</v>
      </c>
      <c r="AC91">
        <v>82.6</v>
      </c>
      <c r="AD91">
        <v>18.440000000000001</v>
      </c>
      <c r="AE91">
        <v>5.9</v>
      </c>
      <c r="AF91">
        <v>168</v>
      </c>
      <c r="AG91">
        <v>111.2</v>
      </c>
      <c r="AH91">
        <v>33</v>
      </c>
      <c r="AI91">
        <v>114</v>
      </c>
      <c r="AJ91">
        <v>23.8</v>
      </c>
      <c r="AK91">
        <v>163</v>
      </c>
      <c r="AO91" s="4" t="s">
        <v>240</v>
      </c>
      <c r="AQ91" s="4" t="s">
        <v>241</v>
      </c>
      <c r="AS91">
        <v>9</v>
      </c>
      <c r="AT91">
        <v>3</v>
      </c>
      <c r="AU91">
        <v>1</v>
      </c>
      <c r="AV91">
        <v>3</v>
      </c>
      <c r="AW91">
        <v>5</v>
      </c>
      <c r="AY91">
        <v>1</v>
      </c>
      <c r="AZ91">
        <v>1</v>
      </c>
      <c r="BA91">
        <v>2</v>
      </c>
      <c r="BC91">
        <v>4</v>
      </c>
      <c r="BD91">
        <v>2</v>
      </c>
      <c r="BE91">
        <v>2</v>
      </c>
      <c r="BF91">
        <v>3</v>
      </c>
      <c r="BG91">
        <v>65</v>
      </c>
      <c r="BH91">
        <v>0</v>
      </c>
      <c r="BI91">
        <v>0</v>
      </c>
      <c r="BJ91">
        <v>0</v>
      </c>
      <c r="BK91">
        <v>0</v>
      </c>
      <c r="BL91">
        <v>0</v>
      </c>
      <c r="BM91">
        <v>0</v>
      </c>
      <c r="BN91">
        <v>0</v>
      </c>
      <c r="BO91">
        <v>1</v>
      </c>
      <c r="BP91">
        <v>2</v>
      </c>
      <c r="BQ91">
        <v>2</v>
      </c>
      <c r="BR91">
        <v>2</v>
      </c>
      <c r="BS91">
        <v>1</v>
      </c>
      <c r="BT91">
        <v>1</v>
      </c>
      <c r="BU91">
        <v>1</v>
      </c>
      <c r="BV91">
        <v>10</v>
      </c>
      <c r="BW91">
        <v>1</v>
      </c>
      <c r="BX91">
        <v>0</v>
      </c>
      <c r="BY91">
        <v>0</v>
      </c>
    </row>
    <row r="92" spans="1:77" ht="165" x14ac:dyDescent="0.25">
      <c r="A92" t="s">
        <v>703</v>
      </c>
      <c r="B92" t="s">
        <v>459</v>
      </c>
      <c r="C92" t="s">
        <v>1096</v>
      </c>
      <c r="D92">
        <v>0</v>
      </c>
      <c r="E92">
        <v>1.3124899999999999</v>
      </c>
      <c r="F92" s="3">
        <v>24000039524</v>
      </c>
      <c r="G92">
        <v>21</v>
      </c>
      <c r="H92">
        <v>1</v>
      </c>
      <c r="I92" s="1">
        <v>45413</v>
      </c>
      <c r="J92" s="2">
        <v>0.72916666666666663</v>
      </c>
      <c r="M92">
        <v>9765666465</v>
      </c>
      <c r="O92">
        <v>4</v>
      </c>
      <c r="P92">
        <v>2</v>
      </c>
      <c r="Q92">
        <v>2</v>
      </c>
      <c r="R92">
        <v>2</v>
      </c>
      <c r="S92">
        <v>1</v>
      </c>
      <c r="T92">
        <v>2</v>
      </c>
      <c r="U92">
        <v>2</v>
      </c>
      <c r="V92">
        <v>2</v>
      </c>
      <c r="W92">
        <v>2</v>
      </c>
      <c r="X92">
        <v>2</v>
      </c>
      <c r="Y92">
        <v>2</v>
      </c>
      <c r="AO92" s="4" t="s">
        <v>460</v>
      </c>
      <c r="AQ92" s="4" t="s">
        <v>461</v>
      </c>
      <c r="AS92">
        <v>9</v>
      </c>
      <c r="AT92">
        <v>3</v>
      </c>
      <c r="AU92">
        <v>1</v>
      </c>
      <c r="AV92">
        <v>3</v>
      </c>
      <c r="AW92">
        <v>5</v>
      </c>
      <c r="AY92">
        <v>1</v>
      </c>
      <c r="AZ92">
        <v>1</v>
      </c>
      <c r="BA92">
        <v>2</v>
      </c>
      <c r="BC92">
        <v>4</v>
      </c>
      <c r="BD92">
        <v>2</v>
      </c>
      <c r="BE92">
        <v>2</v>
      </c>
      <c r="BF92">
        <v>0</v>
      </c>
      <c r="BG92">
        <v>100</v>
      </c>
      <c r="BH92">
        <v>0</v>
      </c>
      <c r="BI92">
        <v>0</v>
      </c>
      <c r="BJ92">
        <v>0</v>
      </c>
      <c r="BK92">
        <v>0</v>
      </c>
      <c r="BL92">
        <v>0</v>
      </c>
      <c r="BM92">
        <v>0</v>
      </c>
      <c r="BN92">
        <v>0</v>
      </c>
      <c r="BO92">
        <v>1</v>
      </c>
      <c r="BP92">
        <v>2</v>
      </c>
      <c r="BQ92">
        <v>2</v>
      </c>
      <c r="BR92">
        <v>2</v>
      </c>
      <c r="BS92">
        <v>1</v>
      </c>
      <c r="BT92">
        <v>1</v>
      </c>
      <c r="BU92">
        <v>1</v>
      </c>
      <c r="BV92">
        <v>10</v>
      </c>
      <c r="BW92">
        <v>0</v>
      </c>
      <c r="BX92">
        <v>1</v>
      </c>
      <c r="BY92">
        <v>0</v>
      </c>
    </row>
    <row r="93" spans="1:77" ht="409.5" x14ac:dyDescent="0.25">
      <c r="A93" t="s">
        <v>685</v>
      </c>
      <c r="B93" t="s">
        <v>452</v>
      </c>
      <c r="C93" t="s">
        <v>1094</v>
      </c>
      <c r="D93">
        <v>0</v>
      </c>
      <c r="E93">
        <v>1.38998</v>
      </c>
      <c r="F93" s="3">
        <v>240021466</v>
      </c>
      <c r="G93">
        <v>63</v>
      </c>
      <c r="H93">
        <v>1</v>
      </c>
      <c r="I93" s="1">
        <v>45435</v>
      </c>
      <c r="J93" s="2">
        <v>0.25</v>
      </c>
      <c r="K93" s="1">
        <v>45435</v>
      </c>
      <c r="L93" s="1">
        <v>45437</v>
      </c>
      <c r="M93">
        <v>9372820801</v>
      </c>
      <c r="O93">
        <v>5</v>
      </c>
      <c r="P93">
        <v>2</v>
      </c>
      <c r="Q93">
        <v>2</v>
      </c>
      <c r="R93">
        <v>1</v>
      </c>
      <c r="S93">
        <v>1</v>
      </c>
      <c r="T93">
        <v>2</v>
      </c>
      <c r="U93">
        <v>2</v>
      </c>
      <c r="V93">
        <v>2</v>
      </c>
      <c r="W93">
        <v>2</v>
      </c>
      <c r="X93">
        <v>2</v>
      </c>
      <c r="Y93">
        <v>2</v>
      </c>
      <c r="AA93">
        <v>13.3</v>
      </c>
      <c r="AB93">
        <v>41.6</v>
      </c>
      <c r="AC93">
        <v>88.7</v>
      </c>
      <c r="AD93">
        <v>81.180000000000007</v>
      </c>
      <c r="AE93">
        <v>5.8</v>
      </c>
      <c r="AF93">
        <v>174</v>
      </c>
      <c r="AG93">
        <v>111.6</v>
      </c>
      <c r="AH93">
        <v>33</v>
      </c>
      <c r="AI93">
        <v>147</v>
      </c>
      <c r="AJ93">
        <v>29.4</v>
      </c>
      <c r="AK93">
        <v>148</v>
      </c>
      <c r="AO93" s="4" t="s">
        <v>453</v>
      </c>
      <c r="AQ93" s="4" t="s">
        <v>454</v>
      </c>
      <c r="AS93">
        <v>9</v>
      </c>
      <c r="AT93">
        <v>3</v>
      </c>
      <c r="AU93">
        <v>1</v>
      </c>
      <c r="AV93">
        <v>3</v>
      </c>
      <c r="AW93">
        <v>5</v>
      </c>
      <c r="AY93">
        <v>1</v>
      </c>
      <c r="AZ93">
        <v>1</v>
      </c>
      <c r="BA93">
        <v>2</v>
      </c>
      <c r="BD93">
        <v>2</v>
      </c>
      <c r="BE93">
        <v>2</v>
      </c>
      <c r="BF93">
        <v>0</v>
      </c>
      <c r="BG93">
        <v>100</v>
      </c>
      <c r="BH93">
        <v>0</v>
      </c>
      <c r="BI93">
        <v>0</v>
      </c>
      <c r="BJ93">
        <v>0</v>
      </c>
      <c r="BK93">
        <v>0</v>
      </c>
      <c r="BL93">
        <v>0</v>
      </c>
      <c r="BM93">
        <v>0</v>
      </c>
      <c r="BN93">
        <v>0</v>
      </c>
      <c r="BO93">
        <v>1</v>
      </c>
      <c r="BP93">
        <v>2</v>
      </c>
      <c r="BQ93">
        <v>2</v>
      </c>
      <c r="BR93">
        <v>2</v>
      </c>
      <c r="BS93">
        <v>1</v>
      </c>
      <c r="BT93">
        <v>1</v>
      </c>
      <c r="BU93">
        <v>1</v>
      </c>
      <c r="BV93">
        <v>10</v>
      </c>
      <c r="BW93">
        <v>1</v>
      </c>
      <c r="BX93">
        <v>0</v>
      </c>
      <c r="BY93" t="s">
        <v>1040</v>
      </c>
    </row>
    <row r="94" spans="1:77" x14ac:dyDescent="0.25">
      <c r="A94" t="s">
        <v>1158</v>
      </c>
      <c r="B94" t="s">
        <v>898</v>
      </c>
      <c r="C94" t="e">
        <v>#N/A</v>
      </c>
      <c r="E94" s="13">
        <v>1.42388</v>
      </c>
      <c r="F94" s="3">
        <v>240000078953</v>
      </c>
      <c r="G94">
        <v>73</v>
      </c>
      <c r="H94">
        <v>1</v>
      </c>
      <c r="I94" s="1">
        <v>45546</v>
      </c>
      <c r="J94" s="2">
        <v>0.41666666666666669</v>
      </c>
      <c r="K94" s="1">
        <v>45546</v>
      </c>
      <c r="L94" s="1">
        <v>45548</v>
      </c>
      <c r="M94">
        <v>992280463</v>
      </c>
      <c r="O94">
        <v>13</v>
      </c>
      <c r="P94">
        <v>1</v>
      </c>
      <c r="Q94">
        <v>2</v>
      </c>
      <c r="R94">
        <v>2</v>
      </c>
      <c r="S94">
        <v>2</v>
      </c>
      <c r="T94">
        <v>2</v>
      </c>
      <c r="U94">
        <v>2</v>
      </c>
      <c r="V94">
        <v>2</v>
      </c>
      <c r="W94">
        <v>2</v>
      </c>
      <c r="X94">
        <v>2</v>
      </c>
      <c r="Y94">
        <v>1</v>
      </c>
      <c r="Z94" t="s">
        <v>899</v>
      </c>
      <c r="AA94">
        <v>13.3</v>
      </c>
      <c r="AD94">
        <v>23</v>
      </c>
      <c r="AE94">
        <v>5.5</v>
      </c>
      <c r="AF94">
        <v>121</v>
      </c>
      <c r="AG94">
        <v>59.4</v>
      </c>
      <c r="AH94">
        <v>40</v>
      </c>
      <c r="AI94">
        <v>108</v>
      </c>
      <c r="AJ94">
        <v>21</v>
      </c>
      <c r="AK94">
        <v>148</v>
      </c>
      <c r="AO94" t="s">
        <v>900</v>
      </c>
      <c r="AQ94" t="s">
        <v>49</v>
      </c>
      <c r="AS94">
        <v>9</v>
      </c>
      <c r="AT94">
        <v>3</v>
      </c>
      <c r="AU94">
        <v>1</v>
      </c>
      <c r="AV94">
        <v>3</v>
      </c>
      <c r="AW94">
        <v>5</v>
      </c>
      <c r="AY94">
        <v>1</v>
      </c>
      <c r="AZ94">
        <v>1</v>
      </c>
      <c r="BA94">
        <v>2</v>
      </c>
      <c r="BC94">
        <v>4</v>
      </c>
      <c r="BD94">
        <v>2</v>
      </c>
      <c r="BE94">
        <v>2</v>
      </c>
      <c r="BH94" s="13"/>
      <c r="BI94" s="13"/>
      <c r="BJ94" s="13"/>
      <c r="BK94" s="13"/>
      <c r="BL94" s="13"/>
      <c r="BM94" s="13"/>
      <c r="BN94" s="13"/>
      <c r="BO94" s="13">
        <v>1</v>
      </c>
      <c r="BP94" s="13">
        <v>2</v>
      </c>
      <c r="BQ94" s="13">
        <v>2</v>
      </c>
      <c r="BR94" s="13">
        <v>2</v>
      </c>
      <c r="BS94" s="13">
        <v>1</v>
      </c>
      <c r="BT94" s="13">
        <v>1</v>
      </c>
      <c r="BU94" s="13">
        <v>1</v>
      </c>
      <c r="BV94" s="13">
        <v>10</v>
      </c>
      <c r="BW94" s="13">
        <v>1</v>
      </c>
      <c r="BX94" s="13">
        <v>1</v>
      </c>
      <c r="BY94" s="13"/>
    </row>
    <row r="95" spans="1:77" ht="225" x14ac:dyDescent="0.25">
      <c r="A95" t="s">
        <v>668</v>
      </c>
      <c r="B95" t="s">
        <v>372</v>
      </c>
      <c r="C95" t="s">
        <v>1073</v>
      </c>
      <c r="D95">
        <v>1</v>
      </c>
      <c r="E95">
        <v>1.6671800000000001</v>
      </c>
      <c r="F95" s="3">
        <v>24000012783</v>
      </c>
      <c r="G95">
        <v>40</v>
      </c>
      <c r="H95">
        <v>1</v>
      </c>
      <c r="I95" s="1">
        <v>45326</v>
      </c>
      <c r="J95" s="2">
        <v>0.75</v>
      </c>
      <c r="K95" s="1">
        <v>45327</v>
      </c>
      <c r="M95">
        <v>8007484789</v>
      </c>
      <c r="O95">
        <v>3</v>
      </c>
      <c r="P95">
        <v>2</v>
      </c>
      <c r="Q95">
        <v>2</v>
      </c>
      <c r="R95">
        <v>2</v>
      </c>
      <c r="S95">
        <v>2</v>
      </c>
      <c r="T95">
        <v>2</v>
      </c>
      <c r="U95">
        <v>2</v>
      </c>
      <c r="V95">
        <v>2</v>
      </c>
      <c r="W95">
        <v>2</v>
      </c>
      <c r="X95">
        <v>2</v>
      </c>
      <c r="Y95">
        <v>2</v>
      </c>
      <c r="AA95">
        <v>17.100000000000001</v>
      </c>
      <c r="AB95">
        <v>50.5</v>
      </c>
      <c r="AC95">
        <v>79.2</v>
      </c>
      <c r="AD95">
        <v>30.87</v>
      </c>
      <c r="AE95">
        <v>6.7</v>
      </c>
      <c r="AK95">
        <v>225</v>
      </c>
      <c r="AL95">
        <v>153</v>
      </c>
      <c r="AO95" s="4" t="s">
        <v>373</v>
      </c>
      <c r="AQ95" s="4" t="s">
        <v>374</v>
      </c>
      <c r="AS95">
        <v>8</v>
      </c>
      <c r="AT95">
        <v>3</v>
      </c>
      <c r="AU95">
        <v>1</v>
      </c>
      <c r="AV95">
        <v>3</v>
      </c>
      <c r="AW95">
        <v>5</v>
      </c>
      <c r="AY95">
        <v>1</v>
      </c>
      <c r="AZ95">
        <v>1</v>
      </c>
      <c r="BA95">
        <v>2</v>
      </c>
      <c r="BD95">
        <v>2</v>
      </c>
      <c r="BE95">
        <v>2</v>
      </c>
      <c r="BF95">
        <v>0</v>
      </c>
      <c r="BG95">
        <v>100</v>
      </c>
      <c r="BH95">
        <v>0</v>
      </c>
      <c r="BI95">
        <v>0</v>
      </c>
      <c r="BJ95">
        <v>0</v>
      </c>
      <c r="BK95">
        <v>0</v>
      </c>
      <c r="BL95">
        <v>0</v>
      </c>
      <c r="BM95">
        <v>0</v>
      </c>
      <c r="BN95">
        <v>0</v>
      </c>
      <c r="BO95">
        <v>1</v>
      </c>
      <c r="BP95">
        <v>2</v>
      </c>
      <c r="BQ95">
        <v>2</v>
      </c>
      <c r="BR95">
        <v>2</v>
      </c>
      <c r="BS95">
        <v>1</v>
      </c>
      <c r="BT95">
        <v>1</v>
      </c>
      <c r="BU95">
        <v>1</v>
      </c>
      <c r="BV95">
        <v>10</v>
      </c>
      <c r="BW95">
        <v>1</v>
      </c>
      <c r="BX95">
        <v>1</v>
      </c>
      <c r="BY95">
        <v>0</v>
      </c>
    </row>
    <row r="96" spans="1:77" ht="60" x14ac:dyDescent="0.25">
      <c r="A96" t="s">
        <v>669</v>
      </c>
      <c r="B96" t="s">
        <v>223</v>
      </c>
      <c r="C96" t="s">
        <v>1027</v>
      </c>
      <c r="D96">
        <v>1</v>
      </c>
      <c r="E96">
        <v>1.74837</v>
      </c>
      <c r="F96" s="3">
        <v>230000069464</v>
      </c>
      <c r="G96">
        <v>50</v>
      </c>
      <c r="H96">
        <v>2</v>
      </c>
      <c r="I96" s="1">
        <v>45271</v>
      </c>
      <c r="J96" s="2">
        <v>0.58333333333333337</v>
      </c>
      <c r="K96" s="1">
        <v>45272</v>
      </c>
      <c r="L96" s="1">
        <v>45272</v>
      </c>
      <c r="M96">
        <v>9764791613</v>
      </c>
      <c r="N96">
        <v>7385001613</v>
      </c>
      <c r="O96">
        <v>4</v>
      </c>
      <c r="P96">
        <v>2</v>
      </c>
      <c r="Q96">
        <v>1</v>
      </c>
      <c r="R96">
        <v>2</v>
      </c>
      <c r="S96">
        <v>1</v>
      </c>
      <c r="T96">
        <v>2</v>
      </c>
      <c r="U96">
        <v>2</v>
      </c>
      <c r="V96">
        <v>2</v>
      </c>
      <c r="W96">
        <v>2</v>
      </c>
      <c r="X96">
        <v>2</v>
      </c>
      <c r="Y96">
        <v>2</v>
      </c>
      <c r="AA96">
        <v>10.5</v>
      </c>
      <c r="AB96">
        <v>33.9</v>
      </c>
      <c r="AC96">
        <v>75.900000000000006</v>
      </c>
      <c r="AD96">
        <v>14.8</v>
      </c>
      <c r="AF96">
        <v>293</v>
      </c>
      <c r="AG96">
        <v>207.4</v>
      </c>
      <c r="AH96">
        <v>73</v>
      </c>
      <c r="AI96">
        <v>63</v>
      </c>
      <c r="AJ96">
        <v>12.6</v>
      </c>
      <c r="AK96">
        <v>194</v>
      </c>
      <c r="AO96" s="4" t="s">
        <v>224</v>
      </c>
      <c r="AQ96" s="4"/>
      <c r="AS96">
        <v>9</v>
      </c>
      <c r="AT96">
        <v>3</v>
      </c>
      <c r="AU96">
        <v>1</v>
      </c>
      <c r="AV96">
        <v>3</v>
      </c>
      <c r="AW96">
        <v>5</v>
      </c>
      <c r="AY96">
        <v>1</v>
      </c>
      <c r="AZ96">
        <v>1</v>
      </c>
      <c r="BA96">
        <v>2</v>
      </c>
      <c r="BC96">
        <v>4</v>
      </c>
      <c r="BE96">
        <v>2</v>
      </c>
      <c r="BF96">
        <v>1</v>
      </c>
      <c r="BG96">
        <v>95</v>
      </c>
      <c r="BH96">
        <v>1</v>
      </c>
      <c r="BI96">
        <v>2</v>
      </c>
      <c r="BJ96">
        <v>2</v>
      </c>
      <c r="BK96">
        <v>2</v>
      </c>
      <c r="BL96">
        <v>1</v>
      </c>
      <c r="BM96">
        <v>1</v>
      </c>
      <c r="BN96">
        <v>1</v>
      </c>
      <c r="BO96">
        <v>0</v>
      </c>
      <c r="BP96">
        <v>0</v>
      </c>
      <c r="BQ96">
        <v>0</v>
      </c>
      <c r="BR96">
        <v>0</v>
      </c>
      <c r="BS96">
        <v>0</v>
      </c>
      <c r="BT96">
        <v>0</v>
      </c>
      <c r="BU96">
        <v>0</v>
      </c>
      <c r="BV96">
        <v>10</v>
      </c>
      <c r="BW96">
        <v>1</v>
      </c>
      <c r="BX96">
        <v>1</v>
      </c>
      <c r="BY96">
        <v>0</v>
      </c>
    </row>
    <row r="97" spans="1:77" ht="135" x14ac:dyDescent="0.25">
      <c r="A97" t="s">
        <v>938</v>
      </c>
      <c r="B97" t="s">
        <v>492</v>
      </c>
      <c r="C97" t="s">
        <v>1106</v>
      </c>
      <c r="D97">
        <v>0</v>
      </c>
      <c r="E97">
        <v>1.74837</v>
      </c>
      <c r="F97" s="3">
        <v>240000056670</v>
      </c>
      <c r="G97">
        <v>46</v>
      </c>
      <c r="H97">
        <v>1</v>
      </c>
      <c r="I97" s="1">
        <v>45471</v>
      </c>
      <c r="J97" s="2">
        <v>0.5</v>
      </c>
      <c r="K97" s="1">
        <v>45471</v>
      </c>
      <c r="L97" s="1">
        <v>45474</v>
      </c>
      <c r="M97">
        <v>9763443333</v>
      </c>
      <c r="O97">
        <v>8</v>
      </c>
      <c r="P97">
        <v>1</v>
      </c>
      <c r="Q97">
        <v>1</v>
      </c>
      <c r="R97">
        <v>2</v>
      </c>
      <c r="S97">
        <v>2</v>
      </c>
      <c r="T97">
        <v>2</v>
      </c>
      <c r="U97">
        <v>2</v>
      </c>
      <c r="V97">
        <v>2</v>
      </c>
      <c r="W97">
        <v>2</v>
      </c>
      <c r="X97">
        <v>2</v>
      </c>
      <c r="Y97">
        <v>2</v>
      </c>
      <c r="AA97">
        <v>11.4</v>
      </c>
      <c r="AB97">
        <v>36.700000000000003</v>
      </c>
      <c r="AC97">
        <v>63.4</v>
      </c>
      <c r="AD97">
        <v>8.7100000000000009</v>
      </c>
      <c r="AE97">
        <v>10.4</v>
      </c>
      <c r="AF97">
        <v>86</v>
      </c>
      <c r="AG97">
        <v>35.4</v>
      </c>
      <c r="AH97">
        <v>24</v>
      </c>
      <c r="AI97">
        <v>133</v>
      </c>
      <c r="AJ97">
        <v>26.6</v>
      </c>
      <c r="AK97">
        <v>519</v>
      </c>
      <c r="AO97" s="4" t="s">
        <v>493</v>
      </c>
      <c r="AQ97" s="4" t="s">
        <v>494</v>
      </c>
      <c r="AS97">
        <v>10</v>
      </c>
      <c r="AT97">
        <v>3</v>
      </c>
      <c r="AU97">
        <v>1</v>
      </c>
      <c r="AV97">
        <v>2</v>
      </c>
      <c r="AW97">
        <v>5</v>
      </c>
      <c r="AY97">
        <v>1</v>
      </c>
      <c r="AZ97">
        <v>1</v>
      </c>
      <c r="BA97">
        <v>2</v>
      </c>
      <c r="BD97">
        <v>2</v>
      </c>
      <c r="BE97">
        <v>2</v>
      </c>
      <c r="BF97">
        <v>1</v>
      </c>
      <c r="BG97">
        <v>100</v>
      </c>
      <c r="BH97">
        <v>0</v>
      </c>
      <c r="BI97">
        <v>0</v>
      </c>
      <c r="BJ97">
        <v>0</v>
      </c>
      <c r="BK97">
        <v>0</v>
      </c>
      <c r="BL97">
        <v>0</v>
      </c>
      <c r="BM97">
        <v>0</v>
      </c>
      <c r="BN97">
        <v>0</v>
      </c>
      <c r="BO97">
        <v>1</v>
      </c>
      <c r="BP97">
        <v>2</v>
      </c>
      <c r="BQ97">
        <v>2</v>
      </c>
      <c r="BR97">
        <v>2</v>
      </c>
      <c r="BS97">
        <v>1</v>
      </c>
      <c r="BT97">
        <v>1</v>
      </c>
      <c r="BU97">
        <v>1</v>
      </c>
      <c r="BV97">
        <v>10</v>
      </c>
      <c r="BW97">
        <v>1</v>
      </c>
      <c r="BX97">
        <v>1</v>
      </c>
      <c r="BY97">
        <v>1</v>
      </c>
    </row>
    <row r="98" spans="1:77" x14ac:dyDescent="0.25">
      <c r="A98" t="s">
        <v>920</v>
      </c>
      <c r="B98" t="s">
        <v>858</v>
      </c>
      <c r="C98" t="s">
        <v>1133</v>
      </c>
      <c r="D98">
        <v>0</v>
      </c>
      <c r="E98">
        <v>1.7822800000000001</v>
      </c>
      <c r="F98" s="3">
        <v>23000020106</v>
      </c>
      <c r="G98">
        <v>63</v>
      </c>
      <c r="H98">
        <v>2</v>
      </c>
      <c r="I98" s="1">
        <v>45509</v>
      </c>
      <c r="J98" s="2">
        <v>0.875</v>
      </c>
      <c r="K98" s="1">
        <v>45509</v>
      </c>
      <c r="L98" s="1">
        <v>45513</v>
      </c>
      <c r="M98">
        <v>8308312736</v>
      </c>
      <c r="O98">
        <v>5</v>
      </c>
      <c r="P98">
        <v>1</v>
      </c>
      <c r="Q98">
        <v>1</v>
      </c>
      <c r="R98">
        <v>2</v>
      </c>
      <c r="S98">
        <v>2</v>
      </c>
      <c r="T98">
        <v>2</v>
      </c>
      <c r="U98">
        <v>2</v>
      </c>
      <c r="V98">
        <v>2</v>
      </c>
      <c r="W98">
        <v>2</v>
      </c>
      <c r="X98">
        <v>2</v>
      </c>
      <c r="Y98">
        <v>2</v>
      </c>
      <c r="AA98">
        <v>12.4</v>
      </c>
      <c r="AB98">
        <v>36.799999999999997</v>
      </c>
      <c r="AC98">
        <v>85.3</v>
      </c>
      <c r="AD98">
        <v>11.81</v>
      </c>
      <c r="AE98">
        <v>6.3</v>
      </c>
      <c r="AF98">
        <v>171</v>
      </c>
      <c r="AG98">
        <v>94</v>
      </c>
      <c r="AH98">
        <v>28</v>
      </c>
      <c r="AI98">
        <v>245</v>
      </c>
      <c r="AJ98">
        <v>49</v>
      </c>
      <c r="AO98" t="s">
        <v>859</v>
      </c>
      <c r="AQ98" t="s">
        <v>49</v>
      </c>
      <c r="AS98">
        <v>9</v>
      </c>
      <c r="AT98">
        <v>3</v>
      </c>
      <c r="AU98">
        <v>1</v>
      </c>
      <c r="AV98">
        <v>3</v>
      </c>
      <c r="AW98">
        <v>5</v>
      </c>
      <c r="AY98">
        <v>1</v>
      </c>
      <c r="AZ98">
        <v>2</v>
      </c>
      <c r="BA98">
        <v>1</v>
      </c>
      <c r="BB98">
        <v>2</v>
      </c>
      <c r="BD98">
        <v>2</v>
      </c>
      <c r="BE98">
        <v>2</v>
      </c>
      <c r="BF98">
        <v>1</v>
      </c>
      <c r="BG98">
        <v>65</v>
      </c>
      <c r="BH98">
        <v>0</v>
      </c>
      <c r="BI98">
        <v>0</v>
      </c>
      <c r="BJ98">
        <v>0</v>
      </c>
      <c r="BK98">
        <v>0</v>
      </c>
      <c r="BL98">
        <v>0</v>
      </c>
      <c r="BM98">
        <v>0</v>
      </c>
      <c r="BN98">
        <v>0</v>
      </c>
      <c r="BO98">
        <v>1</v>
      </c>
      <c r="BP98">
        <v>2</v>
      </c>
      <c r="BQ98">
        <v>2</v>
      </c>
      <c r="BR98">
        <v>2</v>
      </c>
      <c r="BS98">
        <v>1</v>
      </c>
      <c r="BT98">
        <v>1</v>
      </c>
      <c r="BU98">
        <v>1</v>
      </c>
      <c r="BV98">
        <v>10</v>
      </c>
      <c r="BW98">
        <v>1</v>
      </c>
      <c r="BX98">
        <v>1</v>
      </c>
      <c r="BY98">
        <v>0</v>
      </c>
    </row>
    <row r="99" spans="1:77" ht="120" x14ac:dyDescent="0.25">
      <c r="A99" t="s">
        <v>691</v>
      </c>
      <c r="B99" t="s">
        <v>455</v>
      </c>
      <c r="C99" t="s">
        <v>1095</v>
      </c>
      <c r="D99">
        <v>0</v>
      </c>
      <c r="E99">
        <v>1.80165</v>
      </c>
      <c r="F99" s="3">
        <v>24000044952</v>
      </c>
      <c r="G99">
        <v>60</v>
      </c>
      <c r="H99">
        <v>1</v>
      </c>
      <c r="K99" s="1">
        <v>45432</v>
      </c>
      <c r="L99" s="1">
        <v>45434</v>
      </c>
      <c r="M99">
        <v>7058123525</v>
      </c>
      <c r="O99">
        <v>2</v>
      </c>
      <c r="P99">
        <v>1</v>
      </c>
      <c r="Q99">
        <v>1</v>
      </c>
      <c r="R99">
        <v>1</v>
      </c>
      <c r="S99">
        <v>1</v>
      </c>
      <c r="T99">
        <v>2</v>
      </c>
      <c r="U99">
        <v>1</v>
      </c>
      <c r="V99">
        <v>2</v>
      </c>
      <c r="W99">
        <v>2</v>
      </c>
      <c r="X99">
        <v>2</v>
      </c>
      <c r="Y99">
        <v>2</v>
      </c>
      <c r="AA99">
        <v>13.1</v>
      </c>
      <c r="AB99">
        <v>39</v>
      </c>
      <c r="AC99">
        <v>97</v>
      </c>
      <c r="AD99">
        <v>11.32</v>
      </c>
      <c r="AE99">
        <v>8.6999999999999993</v>
      </c>
      <c r="AF99">
        <v>299</v>
      </c>
      <c r="AH99">
        <v>39</v>
      </c>
      <c r="AI99">
        <v>463</v>
      </c>
      <c r="AK99">
        <v>2000</v>
      </c>
      <c r="AO99" s="4" t="s">
        <v>456</v>
      </c>
      <c r="AQ99" s="4" t="s">
        <v>457</v>
      </c>
      <c r="AS99">
        <v>9</v>
      </c>
      <c r="AT99">
        <v>3</v>
      </c>
      <c r="AU99">
        <v>1</v>
      </c>
      <c r="AV99">
        <v>3</v>
      </c>
      <c r="AW99">
        <v>5</v>
      </c>
      <c r="AY99">
        <v>1</v>
      </c>
      <c r="AZ99">
        <v>1</v>
      </c>
      <c r="BA99">
        <v>2</v>
      </c>
      <c r="BD99">
        <v>2</v>
      </c>
      <c r="BE99">
        <v>2</v>
      </c>
      <c r="BF99">
        <v>0</v>
      </c>
      <c r="BG99">
        <v>100</v>
      </c>
      <c r="BH99">
        <v>1</v>
      </c>
      <c r="BI99">
        <v>2</v>
      </c>
      <c r="BJ99">
        <v>2</v>
      </c>
      <c r="BK99">
        <v>2</v>
      </c>
      <c r="BL99">
        <v>1</v>
      </c>
      <c r="BM99">
        <v>1</v>
      </c>
      <c r="BN99">
        <v>1</v>
      </c>
      <c r="BO99">
        <v>0</v>
      </c>
      <c r="BP99">
        <v>0</v>
      </c>
      <c r="BQ99">
        <v>0</v>
      </c>
      <c r="BR99">
        <v>0</v>
      </c>
      <c r="BS99">
        <v>0</v>
      </c>
      <c r="BT99">
        <v>0</v>
      </c>
      <c r="BU99">
        <v>0</v>
      </c>
      <c r="BV99">
        <v>10</v>
      </c>
      <c r="BW99">
        <v>1</v>
      </c>
      <c r="BX99">
        <v>1</v>
      </c>
      <c r="BY99" t="s">
        <v>974</v>
      </c>
    </row>
    <row r="100" spans="1:77" ht="120" x14ac:dyDescent="0.25">
      <c r="A100" t="s">
        <v>693</v>
      </c>
      <c r="B100" t="s">
        <v>526</v>
      </c>
      <c r="C100" t="s">
        <v>1117</v>
      </c>
      <c r="D100">
        <v>0</v>
      </c>
      <c r="E100">
        <v>1.9808399999999999</v>
      </c>
      <c r="F100" s="3">
        <v>24000062845</v>
      </c>
      <c r="G100">
        <v>60</v>
      </c>
      <c r="H100">
        <v>2</v>
      </c>
      <c r="I100" s="1">
        <v>45491</v>
      </c>
      <c r="J100" s="2">
        <v>0.58333333333333337</v>
      </c>
      <c r="K100" s="1">
        <v>45491</v>
      </c>
      <c r="L100" s="1">
        <v>45493</v>
      </c>
      <c r="O100">
        <v>10</v>
      </c>
      <c r="P100">
        <v>1</v>
      </c>
      <c r="Q100">
        <v>2</v>
      </c>
      <c r="R100">
        <v>2</v>
      </c>
      <c r="S100">
        <v>1</v>
      </c>
      <c r="T100">
        <v>2</v>
      </c>
      <c r="U100">
        <v>2</v>
      </c>
      <c r="V100">
        <v>2</v>
      </c>
      <c r="W100">
        <v>2</v>
      </c>
      <c r="X100">
        <v>2</v>
      </c>
      <c r="Y100">
        <v>2</v>
      </c>
      <c r="AA100">
        <v>14</v>
      </c>
      <c r="AB100">
        <v>42.3</v>
      </c>
      <c r="AC100">
        <v>87.9</v>
      </c>
      <c r="AD100">
        <v>15.99</v>
      </c>
      <c r="AE100">
        <v>6</v>
      </c>
      <c r="AF100">
        <v>231</v>
      </c>
      <c r="AG100">
        <v>172.4</v>
      </c>
      <c r="AH100">
        <v>38</v>
      </c>
      <c r="AI100">
        <v>103</v>
      </c>
      <c r="AJ100">
        <v>20.6</v>
      </c>
      <c r="AK100">
        <v>217</v>
      </c>
      <c r="AO100" s="4" t="s">
        <v>527</v>
      </c>
      <c r="AQ100" s="4" t="s">
        <v>528</v>
      </c>
      <c r="AS100">
        <v>9</v>
      </c>
      <c r="AT100">
        <v>3</v>
      </c>
      <c r="AU100">
        <v>1</v>
      </c>
      <c r="AV100">
        <v>3</v>
      </c>
      <c r="AW100">
        <v>5</v>
      </c>
      <c r="AY100">
        <v>1</v>
      </c>
      <c r="AZ100">
        <v>1</v>
      </c>
      <c r="BA100">
        <v>2</v>
      </c>
      <c r="BD100">
        <v>2</v>
      </c>
      <c r="BE100">
        <v>2</v>
      </c>
      <c r="BF100">
        <v>1</v>
      </c>
      <c r="BG100">
        <v>100</v>
      </c>
      <c r="BH100">
        <v>0</v>
      </c>
      <c r="BI100">
        <v>0</v>
      </c>
      <c r="BJ100">
        <v>0</v>
      </c>
      <c r="BK100">
        <v>0</v>
      </c>
      <c r="BL100">
        <v>0</v>
      </c>
      <c r="BM100">
        <v>0</v>
      </c>
      <c r="BN100">
        <v>0</v>
      </c>
      <c r="BO100">
        <v>1</v>
      </c>
      <c r="BP100">
        <v>2</v>
      </c>
      <c r="BQ100">
        <v>2</v>
      </c>
      <c r="BR100">
        <v>2</v>
      </c>
      <c r="BS100">
        <v>1</v>
      </c>
      <c r="BT100">
        <v>1</v>
      </c>
      <c r="BU100">
        <v>1</v>
      </c>
      <c r="BV100">
        <v>10</v>
      </c>
      <c r="BW100">
        <v>0</v>
      </c>
      <c r="BX100">
        <v>0</v>
      </c>
      <c r="BY100">
        <v>0</v>
      </c>
    </row>
    <row r="101" spans="1:77" ht="75" x14ac:dyDescent="0.25">
      <c r="A101" t="s">
        <v>692</v>
      </c>
      <c r="B101" t="s">
        <v>253</v>
      </c>
      <c r="C101" t="s">
        <v>1038</v>
      </c>
      <c r="D101">
        <v>1</v>
      </c>
      <c r="E101">
        <v>2.0625599999999999</v>
      </c>
      <c r="F101" s="3">
        <v>221004402</v>
      </c>
      <c r="G101">
        <v>55</v>
      </c>
      <c r="H101">
        <v>2</v>
      </c>
      <c r="I101" s="1">
        <v>44861</v>
      </c>
      <c r="J101" s="2">
        <v>0.875</v>
      </c>
      <c r="K101" s="1">
        <v>44861</v>
      </c>
      <c r="L101" s="1">
        <v>44862</v>
      </c>
      <c r="M101">
        <v>9730042462</v>
      </c>
      <c r="O101">
        <v>3</v>
      </c>
      <c r="P101">
        <v>1</v>
      </c>
      <c r="Q101">
        <v>1</v>
      </c>
      <c r="R101">
        <v>2</v>
      </c>
      <c r="S101">
        <v>2</v>
      </c>
      <c r="T101">
        <v>2</v>
      </c>
      <c r="U101">
        <v>2</v>
      </c>
      <c r="V101">
        <v>2</v>
      </c>
      <c r="W101">
        <v>2</v>
      </c>
      <c r="X101">
        <v>2</v>
      </c>
      <c r="Y101">
        <v>2</v>
      </c>
      <c r="Z101" t="s">
        <v>254</v>
      </c>
      <c r="AA101">
        <v>10</v>
      </c>
      <c r="AB101">
        <v>32.1</v>
      </c>
      <c r="AD101">
        <v>19.98</v>
      </c>
      <c r="AE101">
        <v>10.9</v>
      </c>
      <c r="AK101">
        <v>271</v>
      </c>
      <c r="AM101" t="s">
        <v>255</v>
      </c>
      <c r="AO101" s="4" t="s">
        <v>256</v>
      </c>
      <c r="AQ101" s="4" t="s">
        <v>48</v>
      </c>
      <c r="AS101">
        <v>9</v>
      </c>
      <c r="AT101">
        <v>3</v>
      </c>
      <c r="AU101">
        <v>1</v>
      </c>
      <c r="AV101">
        <v>3</v>
      </c>
      <c r="AW101">
        <v>5</v>
      </c>
      <c r="AY101">
        <v>1</v>
      </c>
      <c r="AZ101">
        <v>1</v>
      </c>
      <c r="BA101">
        <v>2</v>
      </c>
      <c r="BC101">
        <v>4</v>
      </c>
      <c r="BD101">
        <v>2</v>
      </c>
      <c r="BE101">
        <v>2</v>
      </c>
      <c r="BF101">
        <v>0</v>
      </c>
      <c r="BG101">
        <v>100</v>
      </c>
      <c r="BH101">
        <v>1</v>
      </c>
      <c r="BI101">
        <v>2</v>
      </c>
      <c r="BJ101">
        <v>2</v>
      </c>
      <c r="BK101">
        <v>2</v>
      </c>
      <c r="BL101">
        <v>1</v>
      </c>
      <c r="BM101">
        <v>1</v>
      </c>
      <c r="BN101">
        <v>1</v>
      </c>
      <c r="BO101">
        <v>0</v>
      </c>
      <c r="BP101">
        <v>0</v>
      </c>
      <c r="BQ101">
        <v>0</v>
      </c>
      <c r="BR101">
        <v>0</v>
      </c>
      <c r="BS101">
        <v>0</v>
      </c>
      <c r="BT101">
        <v>0</v>
      </c>
      <c r="BU101">
        <v>0</v>
      </c>
      <c r="BV101">
        <v>10</v>
      </c>
      <c r="BW101">
        <v>1</v>
      </c>
      <c r="BX101">
        <v>1</v>
      </c>
      <c r="BY101">
        <v>0</v>
      </c>
    </row>
    <row r="102" spans="1:77" ht="75" x14ac:dyDescent="0.25">
      <c r="A102" t="s">
        <v>695</v>
      </c>
      <c r="B102" t="s">
        <v>529</v>
      </c>
      <c r="C102" t="s">
        <v>1118</v>
      </c>
      <c r="D102">
        <v>0</v>
      </c>
      <c r="E102">
        <v>2.1890999999999998</v>
      </c>
      <c r="F102" s="3">
        <v>2400062576</v>
      </c>
      <c r="G102">
        <v>30</v>
      </c>
      <c r="H102">
        <v>1</v>
      </c>
      <c r="I102" s="1">
        <v>45490</v>
      </c>
      <c r="J102" s="2">
        <v>0.97916666666666663</v>
      </c>
      <c r="K102" s="1">
        <v>45491</v>
      </c>
      <c r="L102" s="1">
        <v>45492</v>
      </c>
      <c r="M102">
        <v>9822902820</v>
      </c>
      <c r="O102">
        <v>2</v>
      </c>
      <c r="P102">
        <v>2</v>
      </c>
      <c r="Q102">
        <v>2</v>
      </c>
      <c r="R102">
        <v>2</v>
      </c>
      <c r="S102">
        <v>2</v>
      </c>
      <c r="T102">
        <v>2</v>
      </c>
      <c r="U102">
        <v>2</v>
      </c>
      <c r="V102">
        <v>2</v>
      </c>
      <c r="W102">
        <v>2</v>
      </c>
      <c r="X102">
        <v>2</v>
      </c>
      <c r="Y102">
        <v>2</v>
      </c>
      <c r="AA102">
        <v>16.2</v>
      </c>
      <c r="AB102">
        <v>47.8</v>
      </c>
      <c r="AC102">
        <v>89.6</v>
      </c>
      <c r="AD102">
        <v>26.39</v>
      </c>
      <c r="AE102">
        <v>5.6</v>
      </c>
      <c r="AF102">
        <v>187</v>
      </c>
      <c r="AG102">
        <v>132</v>
      </c>
      <c r="AH102">
        <v>23</v>
      </c>
      <c r="AI102">
        <v>158</v>
      </c>
      <c r="AJ102">
        <v>31.6</v>
      </c>
      <c r="AO102" s="4" t="s">
        <v>530</v>
      </c>
      <c r="AQ102" s="4" t="s">
        <v>531</v>
      </c>
      <c r="AS102">
        <v>10</v>
      </c>
      <c r="AT102">
        <v>3</v>
      </c>
      <c r="AU102">
        <v>1</v>
      </c>
      <c r="AV102">
        <v>3</v>
      </c>
      <c r="AW102">
        <v>5</v>
      </c>
      <c r="AY102">
        <v>1</v>
      </c>
      <c r="AZ102">
        <v>1</v>
      </c>
      <c r="BA102">
        <v>2</v>
      </c>
      <c r="BD102">
        <v>2</v>
      </c>
      <c r="BE102">
        <v>2</v>
      </c>
      <c r="BF102">
        <v>0</v>
      </c>
      <c r="BG102">
        <v>100</v>
      </c>
      <c r="BH102">
        <v>0</v>
      </c>
      <c r="BI102">
        <v>0</v>
      </c>
      <c r="BJ102">
        <v>0</v>
      </c>
      <c r="BK102">
        <v>0</v>
      </c>
      <c r="BL102">
        <v>0</v>
      </c>
      <c r="BM102">
        <v>0</v>
      </c>
      <c r="BN102">
        <v>0</v>
      </c>
      <c r="BO102">
        <v>1</v>
      </c>
      <c r="BP102">
        <v>2</v>
      </c>
      <c r="BQ102">
        <v>2</v>
      </c>
      <c r="BR102">
        <v>2</v>
      </c>
      <c r="BS102">
        <v>1</v>
      </c>
      <c r="BT102">
        <v>1</v>
      </c>
      <c r="BU102">
        <v>1</v>
      </c>
      <c r="BV102">
        <v>10</v>
      </c>
      <c r="BW102">
        <v>0</v>
      </c>
      <c r="BX102">
        <v>1</v>
      </c>
      <c r="BY102">
        <v>0</v>
      </c>
    </row>
    <row r="103" spans="1:77" x14ac:dyDescent="0.25">
      <c r="A103" t="s">
        <v>965</v>
      </c>
      <c r="B103" t="s">
        <v>953</v>
      </c>
      <c r="C103" t="s">
        <v>1148</v>
      </c>
      <c r="D103">
        <v>0</v>
      </c>
      <c r="E103">
        <v>2.1939899999999999</v>
      </c>
      <c r="F103" s="3">
        <v>240000097939</v>
      </c>
      <c r="G103">
        <v>70</v>
      </c>
      <c r="H103">
        <v>2</v>
      </c>
      <c r="I103" s="1">
        <v>45615</v>
      </c>
      <c r="J103" s="2">
        <v>0.5</v>
      </c>
      <c r="K103" s="1">
        <v>45615</v>
      </c>
      <c r="L103" s="1">
        <v>45618</v>
      </c>
      <c r="M103">
        <v>8767394602</v>
      </c>
      <c r="N103">
        <v>9823371427</v>
      </c>
      <c r="O103">
        <v>2</v>
      </c>
      <c r="P103">
        <v>2</v>
      </c>
      <c r="Q103">
        <v>2</v>
      </c>
      <c r="R103">
        <v>2</v>
      </c>
      <c r="S103">
        <v>2</v>
      </c>
      <c r="T103">
        <v>2</v>
      </c>
      <c r="U103">
        <v>2</v>
      </c>
      <c r="V103">
        <v>2</v>
      </c>
      <c r="W103">
        <v>2</v>
      </c>
      <c r="X103">
        <v>2</v>
      </c>
      <c r="Y103">
        <v>2</v>
      </c>
      <c r="AA103">
        <v>11.5</v>
      </c>
      <c r="AD103">
        <v>11</v>
      </c>
      <c r="AE103">
        <v>6.9</v>
      </c>
      <c r="AF103">
        <v>218</v>
      </c>
      <c r="AG103">
        <v>165</v>
      </c>
      <c r="AH103">
        <v>33</v>
      </c>
      <c r="AI103">
        <v>100</v>
      </c>
      <c r="AJ103">
        <v>20</v>
      </c>
      <c r="AK103">
        <v>310</v>
      </c>
      <c r="AO103" t="s">
        <v>954</v>
      </c>
      <c r="AQ103" t="s">
        <v>955</v>
      </c>
      <c r="AS103">
        <v>10</v>
      </c>
      <c r="AT103">
        <v>3</v>
      </c>
      <c r="AU103">
        <v>1</v>
      </c>
      <c r="AV103">
        <v>3</v>
      </c>
      <c r="AW103">
        <v>5</v>
      </c>
      <c r="AY103">
        <v>1</v>
      </c>
      <c r="AZ103">
        <v>1</v>
      </c>
      <c r="BA103">
        <v>2</v>
      </c>
      <c r="BC103">
        <v>4</v>
      </c>
      <c r="BD103">
        <v>2</v>
      </c>
      <c r="BE103">
        <v>2</v>
      </c>
      <c r="BF103">
        <v>2</v>
      </c>
      <c r="BG103">
        <v>50</v>
      </c>
      <c r="BH103">
        <v>1</v>
      </c>
      <c r="BI103">
        <v>2</v>
      </c>
      <c r="BJ103">
        <v>2</v>
      </c>
      <c r="BK103">
        <v>2</v>
      </c>
      <c r="BL103">
        <v>1</v>
      </c>
      <c r="BM103">
        <v>1</v>
      </c>
      <c r="BN103">
        <v>1</v>
      </c>
      <c r="BO103">
        <v>0</v>
      </c>
      <c r="BP103">
        <v>0</v>
      </c>
      <c r="BQ103">
        <v>0</v>
      </c>
      <c r="BR103">
        <v>0</v>
      </c>
      <c r="BS103">
        <v>0</v>
      </c>
      <c r="BT103">
        <v>0</v>
      </c>
      <c r="BU103">
        <v>0</v>
      </c>
      <c r="BV103">
        <v>10</v>
      </c>
      <c r="BW103">
        <v>1</v>
      </c>
      <c r="BX103">
        <v>1</v>
      </c>
      <c r="BY103">
        <v>1</v>
      </c>
    </row>
    <row r="104" spans="1:77" x14ac:dyDescent="0.25">
      <c r="A104" t="s">
        <v>928</v>
      </c>
      <c r="B104" t="s">
        <v>907</v>
      </c>
      <c r="C104" t="s">
        <v>1141</v>
      </c>
      <c r="D104">
        <v>0</v>
      </c>
      <c r="E104">
        <v>2.1998899999999999</v>
      </c>
      <c r="F104" s="3">
        <v>240000086168</v>
      </c>
      <c r="G104">
        <v>58</v>
      </c>
      <c r="H104">
        <v>1</v>
      </c>
      <c r="I104" s="1">
        <v>45570</v>
      </c>
      <c r="J104" s="2">
        <v>0.95833333333333337</v>
      </c>
      <c r="K104" s="1">
        <v>45571</v>
      </c>
      <c r="L104" s="1">
        <v>45572</v>
      </c>
      <c r="M104">
        <v>8308102789</v>
      </c>
      <c r="O104">
        <v>11</v>
      </c>
      <c r="P104">
        <v>2</v>
      </c>
      <c r="Q104">
        <v>2</v>
      </c>
      <c r="R104">
        <v>1</v>
      </c>
      <c r="S104">
        <v>2</v>
      </c>
      <c r="T104">
        <v>2</v>
      </c>
      <c r="U104">
        <v>2</v>
      </c>
      <c r="V104">
        <v>2</v>
      </c>
      <c r="W104">
        <v>2</v>
      </c>
      <c r="X104">
        <v>2</v>
      </c>
      <c r="Y104">
        <v>2</v>
      </c>
      <c r="AA104">
        <v>17.2</v>
      </c>
      <c r="AB104">
        <v>51.1</v>
      </c>
      <c r="AC104">
        <v>11.67</v>
      </c>
      <c r="AE104">
        <v>4.8</v>
      </c>
      <c r="AF104">
        <v>134</v>
      </c>
      <c r="AG104">
        <v>78.599999999999994</v>
      </c>
      <c r="AH104">
        <v>46</v>
      </c>
      <c r="AI104">
        <v>47</v>
      </c>
      <c r="AJ104">
        <v>9.4</v>
      </c>
      <c r="AO104" t="s">
        <v>908</v>
      </c>
      <c r="AQ104" t="s">
        <v>48</v>
      </c>
      <c r="AS104">
        <v>9</v>
      </c>
      <c r="AT104">
        <v>3</v>
      </c>
      <c r="AU104">
        <v>1</v>
      </c>
      <c r="AV104">
        <v>3</v>
      </c>
      <c r="AW104">
        <v>5</v>
      </c>
      <c r="AY104">
        <v>1</v>
      </c>
      <c r="AZ104">
        <v>1</v>
      </c>
      <c r="BA104">
        <v>2</v>
      </c>
      <c r="BC104">
        <v>4</v>
      </c>
      <c r="BD104">
        <v>2</v>
      </c>
      <c r="BE104">
        <v>2</v>
      </c>
      <c r="BF104">
        <v>2</v>
      </c>
      <c r="BG104">
        <v>70</v>
      </c>
      <c r="BH104">
        <v>0</v>
      </c>
      <c r="BI104">
        <v>0</v>
      </c>
      <c r="BJ104">
        <v>0</v>
      </c>
      <c r="BK104">
        <v>0</v>
      </c>
      <c r="BL104">
        <v>0</v>
      </c>
      <c r="BM104">
        <v>0</v>
      </c>
      <c r="BN104">
        <v>0</v>
      </c>
      <c r="BO104">
        <v>1</v>
      </c>
      <c r="BP104">
        <v>2</v>
      </c>
      <c r="BQ104">
        <v>2</v>
      </c>
      <c r="BR104">
        <v>2</v>
      </c>
      <c r="BS104">
        <v>1</v>
      </c>
      <c r="BT104">
        <v>1</v>
      </c>
      <c r="BU104">
        <v>1</v>
      </c>
      <c r="BV104">
        <v>10</v>
      </c>
      <c r="BW104">
        <v>1</v>
      </c>
      <c r="BX104">
        <v>1</v>
      </c>
      <c r="BY104">
        <v>1</v>
      </c>
    </row>
    <row r="105" spans="1:77" x14ac:dyDescent="0.25">
      <c r="A105" t="s">
        <v>672</v>
      </c>
      <c r="B105" t="s">
        <v>228</v>
      </c>
      <c r="C105" t="s">
        <v>1028</v>
      </c>
      <c r="D105">
        <v>1</v>
      </c>
      <c r="E105">
        <v>2.3634499999999998</v>
      </c>
      <c r="F105" s="3">
        <v>170800526</v>
      </c>
      <c r="G105">
        <v>59</v>
      </c>
      <c r="H105">
        <v>1</v>
      </c>
      <c r="K105" s="1">
        <v>44904</v>
      </c>
      <c r="L105" s="1">
        <v>44905</v>
      </c>
      <c r="O105">
        <v>3</v>
      </c>
      <c r="P105">
        <v>2</v>
      </c>
      <c r="Q105">
        <v>1</v>
      </c>
      <c r="R105">
        <v>1</v>
      </c>
      <c r="S105">
        <v>1</v>
      </c>
      <c r="T105">
        <v>2</v>
      </c>
      <c r="U105">
        <v>2</v>
      </c>
      <c r="V105">
        <v>2</v>
      </c>
      <c r="W105">
        <v>2</v>
      </c>
      <c r="X105">
        <v>2</v>
      </c>
      <c r="Y105">
        <v>2</v>
      </c>
      <c r="AA105">
        <v>14.4</v>
      </c>
      <c r="AD105">
        <v>11.3</v>
      </c>
      <c r="AE105">
        <v>10.9</v>
      </c>
      <c r="AF105">
        <v>153</v>
      </c>
      <c r="AG105">
        <v>88.8</v>
      </c>
      <c r="AH105">
        <v>47</v>
      </c>
      <c r="AI105">
        <v>86</v>
      </c>
      <c r="AO105" s="4"/>
      <c r="AQ105" s="4"/>
      <c r="AS105">
        <v>9</v>
      </c>
      <c r="AT105">
        <v>3</v>
      </c>
      <c r="AU105">
        <v>1</v>
      </c>
      <c r="AV105">
        <v>3</v>
      </c>
      <c r="AW105">
        <v>5</v>
      </c>
      <c r="AY105">
        <v>1</v>
      </c>
      <c r="AZ105">
        <v>1</v>
      </c>
      <c r="BA105">
        <v>2</v>
      </c>
      <c r="BC105">
        <v>4</v>
      </c>
      <c r="BF105">
        <v>4</v>
      </c>
      <c r="BG105">
        <v>40</v>
      </c>
      <c r="BH105">
        <v>1</v>
      </c>
      <c r="BI105">
        <v>2</v>
      </c>
      <c r="BJ105">
        <v>2</v>
      </c>
      <c r="BK105">
        <v>2</v>
      </c>
      <c r="BL105">
        <v>1</v>
      </c>
      <c r="BM105">
        <v>1</v>
      </c>
      <c r="BN105">
        <v>1</v>
      </c>
      <c r="BO105">
        <v>0</v>
      </c>
      <c r="BP105">
        <v>0</v>
      </c>
      <c r="BQ105">
        <v>0</v>
      </c>
      <c r="BR105">
        <v>0</v>
      </c>
      <c r="BS105">
        <v>0</v>
      </c>
      <c r="BT105">
        <v>0</v>
      </c>
      <c r="BU105">
        <v>0</v>
      </c>
      <c r="BV105">
        <v>10</v>
      </c>
      <c r="BW105">
        <v>1</v>
      </c>
      <c r="BX105">
        <v>1</v>
      </c>
      <c r="BY105">
        <v>0</v>
      </c>
    </row>
    <row r="106" spans="1:77" ht="75" x14ac:dyDescent="0.25">
      <c r="A106" t="s">
        <v>673</v>
      </c>
      <c r="B106" t="s">
        <v>56</v>
      </c>
      <c r="C106" t="s">
        <v>986</v>
      </c>
      <c r="D106">
        <v>1</v>
      </c>
      <c r="E106">
        <v>2.4990600000000001</v>
      </c>
      <c r="F106" s="3">
        <v>230000052046</v>
      </c>
      <c r="G106">
        <v>57</v>
      </c>
      <c r="H106">
        <v>1</v>
      </c>
      <c r="I106" s="1">
        <v>45216</v>
      </c>
      <c r="J106" s="2">
        <v>0.27083333333333331</v>
      </c>
      <c r="K106" s="1">
        <v>45216</v>
      </c>
      <c r="L106" s="1">
        <v>45217</v>
      </c>
      <c r="M106">
        <v>9767246428</v>
      </c>
      <c r="O106">
        <v>6</v>
      </c>
      <c r="P106">
        <v>2</v>
      </c>
      <c r="Q106">
        <v>2</v>
      </c>
      <c r="R106">
        <v>1</v>
      </c>
      <c r="S106">
        <v>1</v>
      </c>
      <c r="T106">
        <v>1</v>
      </c>
      <c r="U106">
        <v>2</v>
      </c>
      <c r="V106">
        <v>2</v>
      </c>
      <c r="W106">
        <v>2</v>
      </c>
      <c r="X106">
        <v>2</v>
      </c>
      <c r="Y106">
        <v>2</v>
      </c>
      <c r="AA106">
        <v>10.7</v>
      </c>
      <c r="AB106">
        <v>35.299999999999997</v>
      </c>
      <c r="AC106">
        <v>75.2</v>
      </c>
      <c r="AD106">
        <v>36.47</v>
      </c>
      <c r="AE106">
        <v>6.4</v>
      </c>
      <c r="AF106">
        <v>146</v>
      </c>
      <c r="AG106">
        <v>88</v>
      </c>
      <c r="AH106">
        <v>38</v>
      </c>
      <c r="AI106">
        <v>100</v>
      </c>
      <c r="AJ106">
        <v>20</v>
      </c>
      <c r="AK106">
        <v>220</v>
      </c>
      <c r="AL106">
        <v>20</v>
      </c>
      <c r="AO106" s="4" t="s">
        <v>57</v>
      </c>
      <c r="AQ106" s="4" t="s">
        <v>49</v>
      </c>
      <c r="AS106">
        <v>9</v>
      </c>
      <c r="AT106">
        <v>3</v>
      </c>
      <c r="AU106">
        <v>1</v>
      </c>
      <c r="AV106">
        <v>3</v>
      </c>
      <c r="AW106">
        <v>5</v>
      </c>
      <c r="AY106">
        <v>1</v>
      </c>
      <c r="AZ106">
        <v>1</v>
      </c>
      <c r="BA106">
        <v>2</v>
      </c>
      <c r="BF106">
        <v>1</v>
      </c>
      <c r="BG106">
        <v>95</v>
      </c>
      <c r="BH106">
        <v>0</v>
      </c>
      <c r="BI106">
        <v>0</v>
      </c>
      <c r="BJ106">
        <v>0</v>
      </c>
      <c r="BK106">
        <v>0</v>
      </c>
      <c r="BL106">
        <v>0</v>
      </c>
      <c r="BM106">
        <v>0</v>
      </c>
      <c r="BN106">
        <v>0</v>
      </c>
      <c r="BO106">
        <v>1</v>
      </c>
      <c r="BP106">
        <v>2</v>
      </c>
      <c r="BQ106">
        <v>2</v>
      </c>
      <c r="BR106">
        <v>2</v>
      </c>
      <c r="BS106">
        <v>1</v>
      </c>
      <c r="BT106">
        <v>1</v>
      </c>
      <c r="BU106">
        <v>1</v>
      </c>
      <c r="BV106">
        <v>10</v>
      </c>
      <c r="BW106">
        <v>1</v>
      </c>
      <c r="BX106">
        <v>1</v>
      </c>
      <c r="BY106">
        <v>0</v>
      </c>
    </row>
    <row r="107" spans="1:77" x14ac:dyDescent="0.25">
      <c r="A107" s="8"/>
      <c r="B107" s="8" t="s">
        <v>28</v>
      </c>
      <c r="C107" s="8" t="e">
        <v>#N/A</v>
      </c>
      <c r="D107" s="8" t="e">
        <v>#N/A</v>
      </c>
      <c r="E107" s="8">
        <v>2.6734100000000001</v>
      </c>
      <c r="F107" s="9">
        <v>230904054</v>
      </c>
      <c r="G107" s="8">
        <v>60</v>
      </c>
      <c r="H107" s="8">
        <v>2</v>
      </c>
      <c r="I107" s="10">
        <v>45195</v>
      </c>
      <c r="J107" s="11">
        <v>0.875</v>
      </c>
      <c r="K107" s="10">
        <v>45196</v>
      </c>
      <c r="L107" s="10">
        <v>45197</v>
      </c>
      <c r="M107" s="8"/>
      <c r="N107" s="8"/>
      <c r="O107" s="8">
        <v>8</v>
      </c>
      <c r="P107" s="8">
        <v>1</v>
      </c>
      <c r="Q107" s="8">
        <v>1</v>
      </c>
      <c r="R107" s="8">
        <v>2</v>
      </c>
      <c r="S107" s="8">
        <v>1</v>
      </c>
      <c r="T107" s="8">
        <v>2</v>
      </c>
      <c r="U107" s="8">
        <v>2</v>
      </c>
      <c r="V107" s="8">
        <v>2</v>
      </c>
      <c r="W107" s="8">
        <v>2</v>
      </c>
      <c r="X107" s="8">
        <v>2</v>
      </c>
      <c r="Y107" s="8">
        <v>2</v>
      </c>
      <c r="Z107" s="8"/>
      <c r="AA107" s="8">
        <v>10.1</v>
      </c>
      <c r="AB107" s="8"/>
      <c r="AC107" s="8"/>
      <c r="AD107" s="8">
        <v>14</v>
      </c>
      <c r="AE107" s="8">
        <v>8.1999999999999993</v>
      </c>
      <c r="AF107" s="8">
        <v>176</v>
      </c>
      <c r="AG107" s="8">
        <v>112.6</v>
      </c>
      <c r="AH107" s="8">
        <v>41</v>
      </c>
      <c r="AI107" s="8">
        <v>112</v>
      </c>
      <c r="AJ107" s="8">
        <v>22.4</v>
      </c>
      <c r="AK107" s="8">
        <v>148</v>
      </c>
      <c r="AL107" s="8"/>
      <c r="AM107" s="8"/>
      <c r="AN107" s="8"/>
      <c r="AO107" s="8" t="s">
        <v>29</v>
      </c>
      <c r="AP107" s="8"/>
      <c r="AQ107" s="8" t="s">
        <v>30</v>
      </c>
      <c r="AR107" s="8"/>
      <c r="AS107" s="8">
        <v>9</v>
      </c>
      <c r="AT107" s="8">
        <v>3</v>
      </c>
      <c r="AU107" s="8">
        <v>1</v>
      </c>
      <c r="AV107" s="8">
        <v>3</v>
      </c>
      <c r="AW107" s="8">
        <v>5</v>
      </c>
      <c r="AX107" s="8"/>
      <c r="AY107" s="8">
        <v>1</v>
      </c>
      <c r="AZ107" s="8">
        <v>1</v>
      </c>
      <c r="BA107" s="8">
        <v>2</v>
      </c>
      <c r="BB107" s="8"/>
      <c r="BC107" s="8"/>
      <c r="BD107" s="8"/>
      <c r="BE107" s="8"/>
      <c r="BF107" s="8">
        <v>2</v>
      </c>
      <c r="BG107" s="8">
        <v>90</v>
      </c>
      <c r="BH107" s="8"/>
      <c r="BI107" s="8"/>
      <c r="BJ107" s="8"/>
      <c r="BK107" s="8"/>
      <c r="BL107" s="8"/>
      <c r="BM107" s="8"/>
      <c r="BN107" s="8"/>
      <c r="BO107" s="8">
        <v>1</v>
      </c>
      <c r="BP107" s="8">
        <v>2</v>
      </c>
      <c r="BQ107" s="8">
        <v>2</v>
      </c>
      <c r="BR107" s="8">
        <v>2</v>
      </c>
      <c r="BS107" s="8">
        <v>1</v>
      </c>
      <c r="BT107" s="8">
        <v>1</v>
      </c>
      <c r="BU107" s="8">
        <v>1</v>
      </c>
      <c r="BV107" s="8">
        <v>10</v>
      </c>
      <c r="BW107" s="8">
        <v>1</v>
      </c>
      <c r="BX107" s="8">
        <v>1</v>
      </c>
      <c r="BY107" s="8">
        <v>1</v>
      </c>
    </row>
    <row r="108" spans="1:77" ht="75" x14ac:dyDescent="0.25">
      <c r="A108" t="s">
        <v>653</v>
      </c>
      <c r="B108" t="s">
        <v>270</v>
      </c>
      <c r="C108" t="s">
        <v>1044</v>
      </c>
      <c r="D108">
        <v>0</v>
      </c>
      <c r="E108">
        <v>3.2642699999999998</v>
      </c>
      <c r="F108" s="3">
        <v>221101249</v>
      </c>
      <c r="G108">
        <v>50</v>
      </c>
      <c r="H108">
        <v>1</v>
      </c>
      <c r="M108">
        <v>9762449220</v>
      </c>
      <c r="O108">
        <v>2</v>
      </c>
      <c r="P108">
        <v>1</v>
      </c>
      <c r="Q108">
        <v>2</v>
      </c>
      <c r="R108">
        <v>2</v>
      </c>
      <c r="S108">
        <v>2</v>
      </c>
      <c r="T108">
        <v>2</v>
      </c>
      <c r="U108">
        <v>2</v>
      </c>
      <c r="V108">
        <v>2</v>
      </c>
      <c r="W108">
        <v>2</v>
      </c>
      <c r="X108">
        <v>2</v>
      </c>
      <c r="Y108">
        <v>2</v>
      </c>
      <c r="AO108" s="4" t="s">
        <v>271</v>
      </c>
      <c r="AQ108" s="4" t="s">
        <v>49</v>
      </c>
      <c r="AS108">
        <v>9</v>
      </c>
      <c r="AT108">
        <v>3</v>
      </c>
      <c r="AU108">
        <v>1</v>
      </c>
      <c r="AV108">
        <v>3</v>
      </c>
      <c r="AW108">
        <v>5</v>
      </c>
      <c r="AY108">
        <v>1</v>
      </c>
      <c r="AZ108">
        <v>1</v>
      </c>
      <c r="BA108">
        <v>2</v>
      </c>
      <c r="BC108">
        <v>4</v>
      </c>
      <c r="BD108">
        <v>2</v>
      </c>
      <c r="BE108">
        <v>2</v>
      </c>
      <c r="BF108">
        <v>0</v>
      </c>
      <c r="BG108">
        <v>100</v>
      </c>
      <c r="BH108">
        <v>1</v>
      </c>
      <c r="BI108">
        <v>2</v>
      </c>
      <c r="BJ108">
        <v>2</v>
      </c>
      <c r="BK108">
        <v>2</v>
      </c>
      <c r="BL108">
        <v>1</v>
      </c>
      <c r="BM108">
        <v>1</v>
      </c>
      <c r="BN108">
        <v>1</v>
      </c>
      <c r="BO108">
        <v>0</v>
      </c>
      <c r="BP108">
        <v>0</v>
      </c>
      <c r="BQ108">
        <v>0</v>
      </c>
      <c r="BR108">
        <v>0</v>
      </c>
      <c r="BS108">
        <v>0</v>
      </c>
      <c r="BT108">
        <v>0</v>
      </c>
      <c r="BU108">
        <v>0</v>
      </c>
      <c r="BV108">
        <v>10</v>
      </c>
      <c r="BW108">
        <v>1</v>
      </c>
      <c r="BX108">
        <v>1</v>
      </c>
      <c r="BY108">
        <v>1</v>
      </c>
    </row>
    <row r="109" spans="1:77" ht="270" x14ac:dyDescent="0.25">
      <c r="A109" t="s">
        <v>674</v>
      </c>
      <c r="B109" t="s">
        <v>329</v>
      </c>
      <c r="C109" t="s">
        <v>1060</v>
      </c>
      <c r="D109">
        <v>1</v>
      </c>
      <c r="E109">
        <v>3.7534299999999998</v>
      </c>
      <c r="F109" s="3">
        <v>230205086</v>
      </c>
      <c r="G109">
        <v>70</v>
      </c>
      <c r="H109">
        <v>2</v>
      </c>
      <c r="I109" s="1">
        <v>44983</v>
      </c>
      <c r="J109" s="2">
        <v>0.79166666666666663</v>
      </c>
      <c r="K109" s="1">
        <v>44983</v>
      </c>
      <c r="L109" s="1">
        <v>44985</v>
      </c>
      <c r="M109">
        <v>8888435454</v>
      </c>
      <c r="N109">
        <v>8668515149</v>
      </c>
      <c r="O109">
        <v>9</v>
      </c>
      <c r="P109">
        <v>2</v>
      </c>
      <c r="Q109">
        <v>2</v>
      </c>
      <c r="R109">
        <v>2</v>
      </c>
      <c r="S109">
        <v>2</v>
      </c>
      <c r="T109">
        <v>2</v>
      </c>
      <c r="U109">
        <v>2</v>
      </c>
      <c r="V109">
        <v>2</v>
      </c>
      <c r="W109">
        <v>2</v>
      </c>
      <c r="X109">
        <v>2</v>
      </c>
      <c r="Y109">
        <v>2</v>
      </c>
      <c r="AA109">
        <v>10.7</v>
      </c>
      <c r="AB109">
        <v>32</v>
      </c>
      <c r="AC109">
        <v>85</v>
      </c>
      <c r="AD109">
        <v>29</v>
      </c>
      <c r="AE109">
        <v>6.3</v>
      </c>
      <c r="AK109">
        <v>189</v>
      </c>
      <c r="AO109" s="4" t="s">
        <v>330</v>
      </c>
      <c r="AQ109" s="4" t="s">
        <v>331</v>
      </c>
      <c r="AS109">
        <v>8</v>
      </c>
      <c r="AT109">
        <v>3</v>
      </c>
      <c r="AU109">
        <v>1</v>
      </c>
      <c r="AV109">
        <v>3</v>
      </c>
      <c r="AW109">
        <v>5</v>
      </c>
      <c r="AY109">
        <v>1</v>
      </c>
      <c r="AZ109">
        <v>1</v>
      </c>
      <c r="BA109">
        <v>2</v>
      </c>
      <c r="BD109">
        <v>2</v>
      </c>
      <c r="BE109">
        <v>2</v>
      </c>
      <c r="BF109">
        <v>1</v>
      </c>
      <c r="BG109">
        <v>85</v>
      </c>
      <c r="BH109">
        <v>1</v>
      </c>
      <c r="BI109">
        <v>2</v>
      </c>
      <c r="BJ109">
        <v>2</v>
      </c>
      <c r="BK109">
        <v>2</v>
      </c>
      <c r="BL109">
        <v>1</v>
      </c>
      <c r="BM109">
        <v>1</v>
      </c>
      <c r="BN109">
        <v>1</v>
      </c>
      <c r="BO109">
        <v>0</v>
      </c>
      <c r="BP109">
        <v>0</v>
      </c>
      <c r="BQ109">
        <v>0</v>
      </c>
      <c r="BR109">
        <v>0</v>
      </c>
      <c r="BS109">
        <v>0</v>
      </c>
      <c r="BT109">
        <v>0</v>
      </c>
      <c r="BU109">
        <v>0</v>
      </c>
      <c r="BV109">
        <v>10</v>
      </c>
      <c r="BW109">
        <v>1</v>
      </c>
      <c r="BX109">
        <v>1</v>
      </c>
      <c r="BY109">
        <v>0</v>
      </c>
    </row>
    <row r="110" spans="1:77" ht="315" x14ac:dyDescent="0.25">
      <c r="A110" t="s">
        <v>689</v>
      </c>
      <c r="B110" t="s">
        <v>36</v>
      </c>
      <c r="C110" t="s">
        <v>36</v>
      </c>
      <c r="D110">
        <v>1</v>
      </c>
      <c r="E110">
        <v>3.9471599999999998</v>
      </c>
      <c r="F110" s="3">
        <v>231001662</v>
      </c>
      <c r="G110">
        <v>70</v>
      </c>
      <c r="H110">
        <v>2</v>
      </c>
      <c r="I110" s="1">
        <v>45211</v>
      </c>
      <c r="J110" s="2">
        <v>0.9375</v>
      </c>
      <c r="K110" s="1">
        <v>45212</v>
      </c>
      <c r="L110" s="1">
        <v>45213</v>
      </c>
      <c r="M110">
        <v>9766525627</v>
      </c>
      <c r="O110">
        <v>2</v>
      </c>
      <c r="P110">
        <v>2</v>
      </c>
      <c r="Q110">
        <v>2</v>
      </c>
      <c r="R110">
        <v>2</v>
      </c>
      <c r="S110">
        <v>2</v>
      </c>
      <c r="T110">
        <v>2</v>
      </c>
      <c r="U110">
        <v>2</v>
      </c>
      <c r="V110">
        <v>1</v>
      </c>
      <c r="W110">
        <v>2</v>
      </c>
      <c r="X110">
        <v>2</v>
      </c>
      <c r="Y110">
        <v>2</v>
      </c>
      <c r="AA110">
        <v>15.3</v>
      </c>
      <c r="AF110">
        <v>209</v>
      </c>
      <c r="AG110">
        <v>134</v>
      </c>
      <c r="AH110">
        <v>53</v>
      </c>
      <c r="AO110" s="4" t="s">
        <v>37</v>
      </c>
      <c r="AQ110" s="4" t="s">
        <v>38</v>
      </c>
      <c r="AS110">
        <v>9</v>
      </c>
      <c r="AT110">
        <v>3</v>
      </c>
      <c r="AU110">
        <v>1</v>
      </c>
      <c r="AV110">
        <v>3</v>
      </c>
      <c r="AW110">
        <v>5</v>
      </c>
      <c r="AY110">
        <v>1</v>
      </c>
      <c r="AZ110">
        <v>2</v>
      </c>
      <c r="BA110">
        <v>2</v>
      </c>
      <c r="BC110">
        <v>3</v>
      </c>
      <c r="BF110">
        <v>0</v>
      </c>
      <c r="BG110">
        <v>90</v>
      </c>
      <c r="BH110">
        <v>0</v>
      </c>
      <c r="BI110">
        <v>0</v>
      </c>
      <c r="BJ110">
        <v>0</v>
      </c>
      <c r="BK110">
        <v>0</v>
      </c>
      <c r="BL110">
        <v>0</v>
      </c>
      <c r="BM110">
        <v>0</v>
      </c>
      <c r="BN110">
        <v>0</v>
      </c>
      <c r="BO110">
        <v>1</v>
      </c>
      <c r="BP110">
        <v>2</v>
      </c>
      <c r="BQ110">
        <v>2</v>
      </c>
      <c r="BR110">
        <v>2</v>
      </c>
      <c r="BS110">
        <v>1</v>
      </c>
      <c r="BT110">
        <v>1</v>
      </c>
      <c r="BU110">
        <v>1</v>
      </c>
      <c r="BV110">
        <v>10</v>
      </c>
      <c r="BW110">
        <v>0</v>
      </c>
      <c r="BX110">
        <v>1</v>
      </c>
      <c r="BY110" t="s">
        <v>980</v>
      </c>
    </row>
    <row r="111" spans="1:77" x14ac:dyDescent="0.25">
      <c r="A111" t="s">
        <v>1163</v>
      </c>
      <c r="B111" t="s">
        <v>860</v>
      </c>
      <c r="C111" t="s">
        <v>1164</v>
      </c>
      <c r="E111">
        <v>4.34016</v>
      </c>
      <c r="F111" s="3">
        <v>240000077670</v>
      </c>
      <c r="G111">
        <v>22</v>
      </c>
      <c r="H111">
        <v>1</v>
      </c>
      <c r="I111" s="1">
        <v>45541</v>
      </c>
      <c r="J111" s="2">
        <v>0.77083333333333337</v>
      </c>
      <c r="K111" s="1">
        <v>45541</v>
      </c>
      <c r="L111" s="1">
        <v>45546</v>
      </c>
      <c r="M111">
        <v>9028005423</v>
      </c>
      <c r="O111">
        <v>3</v>
      </c>
      <c r="P111">
        <v>2</v>
      </c>
      <c r="Q111">
        <v>2</v>
      </c>
      <c r="R111">
        <v>2</v>
      </c>
      <c r="S111">
        <v>2</v>
      </c>
      <c r="T111">
        <v>2</v>
      </c>
      <c r="U111">
        <v>2</v>
      </c>
      <c r="V111">
        <v>2</v>
      </c>
      <c r="W111">
        <v>2</v>
      </c>
      <c r="X111">
        <v>2</v>
      </c>
      <c r="Y111">
        <v>2</v>
      </c>
      <c r="AA111">
        <v>16.2</v>
      </c>
      <c r="AD111">
        <v>37.21</v>
      </c>
      <c r="AK111">
        <v>148</v>
      </c>
      <c r="AO111" t="s">
        <v>861</v>
      </c>
      <c r="AS111">
        <v>10</v>
      </c>
      <c r="AT111">
        <v>3</v>
      </c>
      <c r="AU111">
        <v>1</v>
      </c>
      <c r="AV111">
        <v>3</v>
      </c>
      <c r="AW111">
        <v>5</v>
      </c>
      <c r="AY111">
        <v>1</v>
      </c>
      <c r="AZ111">
        <v>1</v>
      </c>
      <c r="BA111">
        <v>1</v>
      </c>
      <c r="BB111">
        <v>1</v>
      </c>
      <c r="BD111">
        <v>2</v>
      </c>
      <c r="BE111">
        <v>2</v>
      </c>
      <c r="BF111">
        <v>0</v>
      </c>
      <c r="BG111">
        <v>100</v>
      </c>
      <c r="BO111">
        <v>1</v>
      </c>
      <c r="BP111">
        <v>2</v>
      </c>
      <c r="BQ111">
        <v>2</v>
      </c>
      <c r="BR111">
        <v>2</v>
      </c>
      <c r="BS111">
        <v>1</v>
      </c>
      <c r="BT111">
        <v>1</v>
      </c>
      <c r="BU111">
        <v>1</v>
      </c>
      <c r="BV111">
        <v>10</v>
      </c>
      <c r="BW111">
        <v>1</v>
      </c>
      <c r="BX111">
        <v>1</v>
      </c>
    </row>
    <row r="112" spans="1:77" x14ac:dyDescent="0.25">
      <c r="A112" s="8"/>
      <c r="B112" s="8" t="s">
        <v>401</v>
      </c>
      <c r="C112" s="8" t="e">
        <v>#N/A</v>
      </c>
      <c r="D112" s="8" t="e">
        <v>#N/A</v>
      </c>
      <c r="E112" s="8">
        <v>4.9496900000000004</v>
      </c>
      <c r="F112" s="9">
        <v>240000024127</v>
      </c>
      <c r="G112" s="8">
        <v>72</v>
      </c>
      <c r="H112" s="8">
        <v>1</v>
      </c>
      <c r="I112" s="10">
        <v>45360</v>
      </c>
      <c r="J112" s="11">
        <v>0.79166666666666663</v>
      </c>
      <c r="K112" s="10">
        <v>45361</v>
      </c>
      <c r="L112" s="10">
        <v>45363</v>
      </c>
      <c r="M112" s="8">
        <v>9370636474</v>
      </c>
      <c r="N112" s="8">
        <v>9860266050</v>
      </c>
      <c r="O112" s="8">
        <v>2</v>
      </c>
      <c r="P112" s="8">
        <v>2</v>
      </c>
      <c r="Q112" s="8">
        <v>1</v>
      </c>
      <c r="R112" s="8">
        <v>2</v>
      </c>
      <c r="S112" s="8">
        <v>1</v>
      </c>
      <c r="T112" s="8">
        <v>2</v>
      </c>
      <c r="U112" s="8">
        <v>2</v>
      </c>
      <c r="V112" s="8">
        <v>2</v>
      </c>
      <c r="W112" s="8">
        <v>2</v>
      </c>
      <c r="X112" s="8">
        <v>2</v>
      </c>
      <c r="Y112" s="8">
        <v>2</v>
      </c>
      <c r="Z112" s="8"/>
      <c r="AA112" s="8">
        <v>11.8</v>
      </c>
      <c r="AB112" s="8">
        <v>38.799999999999997</v>
      </c>
      <c r="AC112" s="8">
        <v>62.2</v>
      </c>
      <c r="AD112" s="8">
        <v>24.64</v>
      </c>
      <c r="AE112" s="8">
        <v>7.3</v>
      </c>
      <c r="AF112" s="8">
        <v>157</v>
      </c>
      <c r="AG112" s="8">
        <v>107.2</v>
      </c>
      <c r="AH112" s="8">
        <v>24</v>
      </c>
      <c r="AI112" s="8">
        <v>129</v>
      </c>
      <c r="AJ112" s="8">
        <v>25.8</v>
      </c>
      <c r="AK112" s="8">
        <v>657</v>
      </c>
      <c r="AL112" s="8"/>
      <c r="AM112" s="8"/>
      <c r="AN112" s="8"/>
      <c r="AO112" s="8" t="s">
        <v>402</v>
      </c>
      <c r="AP112" s="8"/>
      <c r="AQ112" s="8" t="s">
        <v>49</v>
      </c>
      <c r="AR112" s="8"/>
      <c r="AS112" s="8">
        <v>10</v>
      </c>
      <c r="AT112" s="8">
        <v>3</v>
      </c>
      <c r="AU112" s="8">
        <v>1</v>
      </c>
      <c r="AV112" s="8">
        <v>3</v>
      </c>
      <c r="AW112" s="8">
        <v>5</v>
      </c>
      <c r="AX112" s="8"/>
      <c r="AY112" s="8">
        <v>1</v>
      </c>
      <c r="AZ112" s="8">
        <v>1</v>
      </c>
      <c r="BA112" s="8">
        <v>2</v>
      </c>
      <c r="BB112" s="8"/>
      <c r="BC112" s="8"/>
      <c r="BD112" s="8">
        <v>2</v>
      </c>
      <c r="BE112" s="8">
        <v>2</v>
      </c>
      <c r="BF112" s="8">
        <v>1</v>
      </c>
      <c r="BG112" s="8">
        <v>100</v>
      </c>
      <c r="BH112" s="8">
        <v>1</v>
      </c>
      <c r="BI112" s="8">
        <v>2</v>
      </c>
      <c r="BJ112" s="8">
        <v>2</v>
      </c>
      <c r="BK112" s="8">
        <v>2</v>
      </c>
      <c r="BL112" s="8">
        <v>1</v>
      </c>
      <c r="BM112" s="8">
        <v>1</v>
      </c>
      <c r="BN112" s="8">
        <v>1</v>
      </c>
      <c r="BO112" s="8"/>
      <c r="BP112" s="8"/>
      <c r="BQ112" s="8"/>
      <c r="BR112" s="8"/>
      <c r="BS112" s="8"/>
      <c r="BT112" s="8"/>
      <c r="BU112" s="8"/>
      <c r="BV112" s="8">
        <v>10</v>
      </c>
      <c r="BW112" s="8">
        <v>1</v>
      </c>
      <c r="BX112" s="8">
        <v>1</v>
      </c>
      <c r="BY112" s="8">
        <v>1</v>
      </c>
    </row>
    <row r="113" spans="1:77" ht="75" x14ac:dyDescent="0.25">
      <c r="A113" t="s">
        <v>675</v>
      </c>
      <c r="B113" t="s">
        <v>436</v>
      </c>
      <c r="C113" t="s">
        <v>436</v>
      </c>
      <c r="D113">
        <v>1</v>
      </c>
      <c r="E113">
        <v>6.1043700000000003</v>
      </c>
      <c r="F113" s="3">
        <v>240000034634</v>
      </c>
      <c r="G113">
        <v>62</v>
      </c>
      <c r="H113">
        <v>2</v>
      </c>
      <c r="I113" s="1">
        <v>45395</v>
      </c>
      <c r="J113" s="2">
        <v>0.35416666666666669</v>
      </c>
      <c r="K113" s="1">
        <v>45395</v>
      </c>
      <c r="L113" s="1">
        <v>45397</v>
      </c>
      <c r="M113">
        <v>9922328960</v>
      </c>
      <c r="N113">
        <v>9764824635</v>
      </c>
      <c r="O113">
        <v>12</v>
      </c>
      <c r="P113">
        <v>1</v>
      </c>
      <c r="Q113">
        <v>2</v>
      </c>
      <c r="R113">
        <v>2</v>
      </c>
      <c r="S113">
        <v>1</v>
      </c>
      <c r="T113">
        <v>2</v>
      </c>
      <c r="U113">
        <v>2</v>
      </c>
      <c r="V113">
        <v>2</v>
      </c>
      <c r="W113">
        <v>2</v>
      </c>
      <c r="X113">
        <v>2</v>
      </c>
      <c r="Y113">
        <v>2</v>
      </c>
      <c r="Z113" t="s">
        <v>437</v>
      </c>
      <c r="AA113">
        <v>12.5</v>
      </c>
      <c r="AB113">
        <v>37.299999999999997</v>
      </c>
      <c r="AC113">
        <v>10.66</v>
      </c>
      <c r="AD113">
        <v>46.2</v>
      </c>
      <c r="AE113">
        <v>6.1</v>
      </c>
      <c r="AF113">
        <v>210</v>
      </c>
      <c r="AG113">
        <v>151.4</v>
      </c>
      <c r="AH113">
        <v>40</v>
      </c>
      <c r="AI113">
        <v>93</v>
      </c>
      <c r="AJ113">
        <v>18.600000000000001</v>
      </c>
      <c r="AK113">
        <v>221</v>
      </c>
      <c r="AO113" s="4" t="s">
        <v>438</v>
      </c>
      <c r="AQ113" s="4" t="s">
        <v>439</v>
      </c>
      <c r="AS113">
        <v>7</v>
      </c>
      <c r="AT113">
        <v>3</v>
      </c>
      <c r="AU113">
        <v>1</v>
      </c>
      <c r="AV113">
        <v>3</v>
      </c>
      <c r="AW113">
        <v>5</v>
      </c>
      <c r="AY113">
        <v>1</v>
      </c>
      <c r="AZ113">
        <v>1</v>
      </c>
      <c r="BA113">
        <v>2</v>
      </c>
      <c r="BD113">
        <v>2</v>
      </c>
      <c r="BE113">
        <v>2</v>
      </c>
      <c r="BF113">
        <v>1</v>
      </c>
      <c r="BG113">
        <v>80</v>
      </c>
      <c r="BH113">
        <v>1</v>
      </c>
      <c r="BI113">
        <v>2</v>
      </c>
      <c r="BJ113">
        <v>2</v>
      </c>
      <c r="BK113">
        <v>2</v>
      </c>
      <c r="BL113">
        <v>1</v>
      </c>
      <c r="BM113">
        <v>1</v>
      </c>
      <c r="BN113">
        <v>1</v>
      </c>
      <c r="BO113">
        <v>0</v>
      </c>
      <c r="BP113">
        <v>0</v>
      </c>
      <c r="BQ113">
        <v>0</v>
      </c>
      <c r="BR113">
        <v>0</v>
      </c>
      <c r="BS113">
        <v>0</v>
      </c>
      <c r="BT113">
        <v>0</v>
      </c>
      <c r="BU113">
        <v>0</v>
      </c>
      <c r="BV113">
        <v>10</v>
      </c>
      <c r="BW113">
        <v>1</v>
      </c>
      <c r="BX113">
        <v>1</v>
      </c>
      <c r="BY113">
        <v>0</v>
      </c>
    </row>
    <row r="114" spans="1:77" ht="409.5" x14ac:dyDescent="0.25">
      <c r="A114" t="s">
        <v>690</v>
      </c>
      <c r="B114" t="s">
        <v>416</v>
      </c>
      <c r="C114" t="s">
        <v>416</v>
      </c>
      <c r="D114">
        <v>1</v>
      </c>
      <c r="E114">
        <v>6.1992200000000004</v>
      </c>
      <c r="F114" s="3">
        <v>240000033245</v>
      </c>
      <c r="G114">
        <v>56</v>
      </c>
      <c r="H114">
        <v>2</v>
      </c>
      <c r="I114" s="1">
        <v>45390</v>
      </c>
      <c r="J114" s="2">
        <v>0.5</v>
      </c>
      <c r="K114" s="1">
        <v>45390</v>
      </c>
      <c r="L114" s="1">
        <v>45391</v>
      </c>
      <c r="M114">
        <v>8888724581</v>
      </c>
      <c r="O114">
        <v>10</v>
      </c>
      <c r="P114">
        <v>1</v>
      </c>
      <c r="Q114">
        <v>1</v>
      </c>
      <c r="R114">
        <v>2</v>
      </c>
      <c r="S114">
        <v>1</v>
      </c>
      <c r="T114">
        <v>2</v>
      </c>
      <c r="U114">
        <v>2</v>
      </c>
      <c r="V114">
        <v>2</v>
      </c>
      <c r="W114">
        <v>2</v>
      </c>
      <c r="X114">
        <v>2</v>
      </c>
      <c r="Y114">
        <v>2</v>
      </c>
      <c r="AA114">
        <v>12.8</v>
      </c>
      <c r="AB114">
        <v>40.700000000000003</v>
      </c>
      <c r="AC114">
        <v>82.7</v>
      </c>
      <c r="AD114">
        <v>12.81</v>
      </c>
      <c r="AE114">
        <v>7</v>
      </c>
      <c r="AF114">
        <v>207</v>
      </c>
      <c r="AG114">
        <v>148</v>
      </c>
      <c r="AH114">
        <v>40</v>
      </c>
      <c r="AI114">
        <v>95</v>
      </c>
      <c r="AJ114">
        <v>19</v>
      </c>
      <c r="AK114">
        <v>224</v>
      </c>
      <c r="AL114">
        <v>19</v>
      </c>
      <c r="AO114" s="4" t="s">
        <v>417</v>
      </c>
      <c r="AQ114" s="4" t="s">
        <v>418</v>
      </c>
      <c r="AS114">
        <v>8</v>
      </c>
      <c r="AT114">
        <v>3</v>
      </c>
      <c r="AU114">
        <v>1</v>
      </c>
      <c r="AV114">
        <v>3</v>
      </c>
      <c r="AW114">
        <v>4</v>
      </c>
      <c r="AY114">
        <v>1</v>
      </c>
      <c r="AZ114">
        <v>1</v>
      </c>
      <c r="BA114">
        <v>2</v>
      </c>
      <c r="BD114">
        <v>2</v>
      </c>
      <c r="BE114">
        <v>2</v>
      </c>
      <c r="BF114">
        <v>0</v>
      </c>
      <c r="BG114">
        <v>95</v>
      </c>
      <c r="BH114">
        <v>0</v>
      </c>
      <c r="BI114">
        <v>0</v>
      </c>
      <c r="BJ114">
        <v>0</v>
      </c>
      <c r="BK114">
        <v>0</v>
      </c>
      <c r="BL114">
        <v>0</v>
      </c>
      <c r="BM114">
        <v>0</v>
      </c>
      <c r="BN114">
        <v>0</v>
      </c>
      <c r="BO114">
        <v>1</v>
      </c>
      <c r="BP114">
        <v>2</v>
      </c>
      <c r="BQ114">
        <v>2</v>
      </c>
      <c r="BR114">
        <v>2</v>
      </c>
      <c r="BS114">
        <v>1</v>
      </c>
      <c r="BT114">
        <v>1</v>
      </c>
      <c r="BU114">
        <v>1</v>
      </c>
      <c r="BV114">
        <v>10</v>
      </c>
      <c r="BW114">
        <v>1</v>
      </c>
      <c r="BX114">
        <v>0</v>
      </c>
      <c r="BY114" t="s">
        <v>1086</v>
      </c>
    </row>
    <row r="115" spans="1:77" x14ac:dyDescent="0.25">
      <c r="A115" t="s">
        <v>966</v>
      </c>
      <c r="B115" t="s">
        <v>956</v>
      </c>
      <c r="C115" t="s">
        <v>1149</v>
      </c>
      <c r="D115">
        <v>0</v>
      </c>
      <c r="E115">
        <v>6.2392000000000003</v>
      </c>
      <c r="F115" s="3">
        <v>240000098061</v>
      </c>
      <c r="G115">
        <v>75</v>
      </c>
      <c r="H115">
        <v>2</v>
      </c>
      <c r="I115" s="1">
        <v>45616</v>
      </c>
      <c r="J115" s="2">
        <v>0.3125</v>
      </c>
      <c r="K115" s="1">
        <v>45616</v>
      </c>
      <c r="L115" s="1">
        <v>45622</v>
      </c>
      <c r="O115">
        <v>5</v>
      </c>
      <c r="P115">
        <v>1</v>
      </c>
      <c r="Q115">
        <v>2</v>
      </c>
      <c r="R115">
        <v>2</v>
      </c>
      <c r="S115">
        <v>1</v>
      </c>
      <c r="T115">
        <v>2</v>
      </c>
      <c r="U115">
        <v>2</v>
      </c>
      <c r="V115">
        <v>2</v>
      </c>
      <c r="W115">
        <v>2</v>
      </c>
      <c r="X115">
        <v>2</v>
      </c>
      <c r="Y115">
        <v>2</v>
      </c>
      <c r="AA115">
        <v>11.4</v>
      </c>
      <c r="AD115">
        <v>7.8</v>
      </c>
      <c r="AE115">
        <v>8.4</v>
      </c>
      <c r="AF115">
        <v>224</v>
      </c>
      <c r="AG115">
        <v>156</v>
      </c>
      <c r="AH115">
        <v>45</v>
      </c>
      <c r="AI115">
        <v>115</v>
      </c>
      <c r="AJ115">
        <v>23</v>
      </c>
      <c r="AK115">
        <v>383</v>
      </c>
      <c r="AO115" t="s">
        <v>957</v>
      </c>
      <c r="AQ115" t="s">
        <v>958</v>
      </c>
      <c r="AS115">
        <v>10</v>
      </c>
      <c r="AT115">
        <v>3</v>
      </c>
      <c r="AU115">
        <v>1</v>
      </c>
      <c r="AV115">
        <v>3</v>
      </c>
      <c r="AW115">
        <v>5</v>
      </c>
      <c r="AY115">
        <v>1</v>
      </c>
      <c r="AZ115">
        <v>1</v>
      </c>
      <c r="BA115">
        <v>1</v>
      </c>
      <c r="BB115">
        <v>1</v>
      </c>
      <c r="BC115">
        <v>4</v>
      </c>
      <c r="BD115">
        <v>2</v>
      </c>
      <c r="BE115">
        <v>2</v>
      </c>
      <c r="BF115">
        <v>0</v>
      </c>
      <c r="BG115">
        <v>95</v>
      </c>
      <c r="BH115">
        <v>1</v>
      </c>
      <c r="BI115">
        <v>2</v>
      </c>
      <c r="BJ115">
        <v>2</v>
      </c>
      <c r="BK115">
        <v>2</v>
      </c>
      <c r="BL115">
        <v>1</v>
      </c>
      <c r="BM115">
        <v>1</v>
      </c>
      <c r="BN115">
        <v>1</v>
      </c>
      <c r="BO115">
        <v>0</v>
      </c>
      <c r="BP115">
        <v>0</v>
      </c>
      <c r="BQ115">
        <v>0</v>
      </c>
      <c r="BR115">
        <v>0</v>
      </c>
      <c r="BS115">
        <v>0</v>
      </c>
      <c r="BT115">
        <v>0</v>
      </c>
      <c r="BU115">
        <v>0</v>
      </c>
      <c r="BV115">
        <v>10</v>
      </c>
      <c r="BW115">
        <v>1</v>
      </c>
      <c r="BX115">
        <v>1</v>
      </c>
      <c r="BY115">
        <v>1</v>
      </c>
    </row>
    <row r="116" spans="1:77" ht="105" x14ac:dyDescent="0.25">
      <c r="A116" t="s">
        <v>678</v>
      </c>
      <c r="B116" t="s">
        <v>103</v>
      </c>
      <c r="C116" t="s">
        <v>103</v>
      </c>
      <c r="D116">
        <v>1</v>
      </c>
      <c r="E116">
        <v>6.6254099999999996</v>
      </c>
      <c r="F116" s="3">
        <v>160602949</v>
      </c>
      <c r="G116">
        <v>72</v>
      </c>
      <c r="H116">
        <v>2</v>
      </c>
      <c r="I116" s="1">
        <v>44939</v>
      </c>
      <c r="J116" s="2">
        <v>5.2083333333333336E-2</v>
      </c>
      <c r="K116" s="1">
        <v>44939</v>
      </c>
      <c r="L116" s="1">
        <v>44943</v>
      </c>
      <c r="M116">
        <v>7263919190</v>
      </c>
      <c r="O116">
        <v>7</v>
      </c>
      <c r="Z116" t="s">
        <v>104</v>
      </c>
      <c r="AA116">
        <v>11.5</v>
      </c>
      <c r="AB116">
        <v>32.799999999999997</v>
      </c>
      <c r="AC116">
        <v>89</v>
      </c>
      <c r="AD116">
        <v>25</v>
      </c>
      <c r="AE116">
        <v>5.5</v>
      </c>
      <c r="AK116">
        <v>148</v>
      </c>
      <c r="AO116" s="4" t="s">
        <v>105</v>
      </c>
      <c r="AQ116" s="4" t="s">
        <v>106</v>
      </c>
      <c r="AS116">
        <v>9</v>
      </c>
      <c r="AT116">
        <v>3</v>
      </c>
      <c r="AU116">
        <v>1</v>
      </c>
      <c r="AV116">
        <v>3</v>
      </c>
      <c r="AW116">
        <v>5</v>
      </c>
      <c r="AY116">
        <v>1</v>
      </c>
      <c r="AZ116">
        <v>1</v>
      </c>
      <c r="BA116">
        <v>1</v>
      </c>
      <c r="BB116">
        <v>1</v>
      </c>
      <c r="BF116">
        <v>3</v>
      </c>
      <c r="BG116">
        <v>60</v>
      </c>
      <c r="BH116">
        <v>1</v>
      </c>
      <c r="BI116">
        <v>2</v>
      </c>
      <c r="BJ116">
        <v>2</v>
      </c>
      <c r="BK116">
        <v>2</v>
      </c>
      <c r="BL116">
        <v>1</v>
      </c>
      <c r="BM116">
        <v>1</v>
      </c>
      <c r="BN116">
        <v>1</v>
      </c>
      <c r="BO116">
        <v>0</v>
      </c>
      <c r="BP116">
        <v>0</v>
      </c>
      <c r="BQ116">
        <v>0</v>
      </c>
      <c r="BR116">
        <v>0</v>
      </c>
      <c r="BS116">
        <v>0</v>
      </c>
      <c r="BT116">
        <v>0</v>
      </c>
      <c r="BU116">
        <v>0</v>
      </c>
      <c r="BV116">
        <v>10</v>
      </c>
      <c r="BW116">
        <v>1</v>
      </c>
      <c r="BX116">
        <v>1</v>
      </c>
      <c r="BY116">
        <v>0</v>
      </c>
    </row>
    <row r="117" spans="1:77" ht="409.5" x14ac:dyDescent="0.25">
      <c r="A117" t="s">
        <v>699</v>
      </c>
      <c r="B117" t="s">
        <v>206</v>
      </c>
      <c r="C117" t="s">
        <v>1021</v>
      </c>
      <c r="D117">
        <v>1</v>
      </c>
      <c r="E117">
        <v>7.00319</v>
      </c>
      <c r="F117" s="3">
        <v>230000073481</v>
      </c>
      <c r="G117">
        <v>61</v>
      </c>
      <c r="H117">
        <v>2</v>
      </c>
      <c r="I117" s="1">
        <v>45279</v>
      </c>
      <c r="J117" s="2">
        <v>0.29166666666666669</v>
      </c>
      <c r="K117" s="1">
        <v>45281</v>
      </c>
      <c r="L117" s="1">
        <v>45288</v>
      </c>
      <c r="M117">
        <v>9860267622</v>
      </c>
      <c r="O117">
        <v>25</v>
      </c>
      <c r="P117">
        <v>1</v>
      </c>
      <c r="Q117">
        <v>1</v>
      </c>
      <c r="R117">
        <v>2</v>
      </c>
      <c r="S117">
        <v>2</v>
      </c>
      <c r="T117">
        <v>2</v>
      </c>
      <c r="U117">
        <v>2</v>
      </c>
      <c r="V117">
        <v>2</v>
      </c>
      <c r="W117">
        <v>2</v>
      </c>
      <c r="X117">
        <v>2</v>
      </c>
      <c r="Y117">
        <v>2</v>
      </c>
      <c r="Z117" t="s">
        <v>207</v>
      </c>
      <c r="AA117">
        <v>9.3000000000000007</v>
      </c>
      <c r="AB117">
        <v>28.4</v>
      </c>
      <c r="AC117">
        <v>82</v>
      </c>
      <c r="AD117">
        <v>14.96</v>
      </c>
      <c r="AE117">
        <v>6</v>
      </c>
      <c r="AF117">
        <v>221</v>
      </c>
      <c r="AG117">
        <v>156.80000000000001</v>
      </c>
      <c r="AH117">
        <v>29</v>
      </c>
      <c r="AI117">
        <v>176</v>
      </c>
      <c r="AJ117">
        <v>35.200000000000003</v>
      </c>
      <c r="AK117">
        <v>352</v>
      </c>
      <c r="AO117" s="4" t="s">
        <v>208</v>
      </c>
      <c r="AQ117" s="4" t="s">
        <v>209</v>
      </c>
      <c r="AS117">
        <v>7</v>
      </c>
      <c r="AT117">
        <v>3</v>
      </c>
      <c r="AU117">
        <v>1</v>
      </c>
      <c r="AV117">
        <v>3</v>
      </c>
      <c r="AW117">
        <v>5</v>
      </c>
      <c r="AY117">
        <v>2</v>
      </c>
      <c r="AZ117">
        <v>2</v>
      </c>
      <c r="BA117">
        <v>2</v>
      </c>
      <c r="BC117">
        <v>2</v>
      </c>
      <c r="BD117">
        <v>2</v>
      </c>
      <c r="BE117">
        <v>2</v>
      </c>
      <c r="BF117">
        <v>6</v>
      </c>
      <c r="BG117">
        <v>0</v>
      </c>
      <c r="BH117">
        <v>1</v>
      </c>
      <c r="BI117">
        <v>2</v>
      </c>
      <c r="BJ117">
        <v>2</v>
      </c>
      <c r="BK117">
        <v>2</v>
      </c>
      <c r="BL117">
        <v>1</v>
      </c>
      <c r="BM117">
        <v>1</v>
      </c>
      <c r="BN117">
        <v>1</v>
      </c>
      <c r="BO117">
        <v>0</v>
      </c>
      <c r="BP117">
        <v>0</v>
      </c>
      <c r="BQ117">
        <v>0</v>
      </c>
      <c r="BR117">
        <v>0</v>
      </c>
      <c r="BS117">
        <v>0</v>
      </c>
      <c r="BT117">
        <v>0</v>
      </c>
      <c r="BU117">
        <v>0</v>
      </c>
      <c r="BV117">
        <v>10</v>
      </c>
      <c r="BW117">
        <v>1</v>
      </c>
      <c r="BX117">
        <v>1</v>
      </c>
      <c r="BY117">
        <v>0</v>
      </c>
    </row>
    <row r="118" spans="1:77" x14ac:dyDescent="0.25">
      <c r="A118" t="s">
        <v>1159</v>
      </c>
      <c r="B118" t="s">
        <v>891</v>
      </c>
      <c r="C118" t="s">
        <v>1160</v>
      </c>
      <c r="E118" s="13">
        <v>12.379099999999999</v>
      </c>
      <c r="F118" s="3">
        <v>240000079491</v>
      </c>
      <c r="G118">
        <v>55</v>
      </c>
      <c r="H118">
        <v>1</v>
      </c>
      <c r="I118" s="1">
        <v>45547</v>
      </c>
      <c r="J118" s="2">
        <v>0.375</v>
      </c>
      <c r="K118" s="1">
        <v>45548</v>
      </c>
      <c r="L118" s="1">
        <v>45549</v>
      </c>
      <c r="M118">
        <v>8999514671</v>
      </c>
      <c r="O118">
        <v>4</v>
      </c>
      <c r="P118">
        <v>1</v>
      </c>
      <c r="Q118">
        <v>1</v>
      </c>
      <c r="R118">
        <v>1</v>
      </c>
      <c r="S118">
        <v>2</v>
      </c>
      <c r="T118">
        <v>1</v>
      </c>
      <c r="U118">
        <v>1</v>
      </c>
      <c r="V118">
        <v>2</v>
      </c>
      <c r="W118">
        <v>1</v>
      </c>
      <c r="X118">
        <v>1</v>
      </c>
      <c r="Y118">
        <v>2</v>
      </c>
      <c r="Z118" t="s">
        <v>892</v>
      </c>
      <c r="AA118">
        <v>9.1</v>
      </c>
      <c r="AB118">
        <v>28.4</v>
      </c>
      <c r="AC118">
        <v>89</v>
      </c>
      <c r="AD118">
        <v>19.420000000000002</v>
      </c>
      <c r="AE118">
        <v>7.2</v>
      </c>
      <c r="AF118">
        <v>171</v>
      </c>
      <c r="AG118">
        <v>80</v>
      </c>
      <c r="AH118">
        <v>36</v>
      </c>
      <c r="AI118">
        <v>86</v>
      </c>
      <c r="AJ118">
        <v>173</v>
      </c>
      <c r="AK118">
        <v>2000</v>
      </c>
      <c r="AO118" s="13" t="s">
        <v>1161</v>
      </c>
      <c r="AP118" t="s">
        <v>1162</v>
      </c>
      <c r="AQ118" t="s">
        <v>893</v>
      </c>
      <c r="AS118">
        <v>9</v>
      </c>
      <c r="AT118">
        <v>3</v>
      </c>
      <c r="AU118">
        <v>1</v>
      </c>
      <c r="AV118">
        <v>3</v>
      </c>
      <c r="AW118">
        <v>5</v>
      </c>
      <c r="AY118">
        <v>1</v>
      </c>
      <c r="AZ118">
        <v>2</v>
      </c>
      <c r="BA118">
        <v>2</v>
      </c>
      <c r="BC118">
        <v>3</v>
      </c>
      <c r="BD118">
        <v>2</v>
      </c>
      <c r="BE118">
        <v>2</v>
      </c>
      <c r="BF118">
        <v>1</v>
      </c>
      <c r="BG118">
        <v>100</v>
      </c>
      <c r="BH118" s="13"/>
      <c r="BI118" s="13"/>
      <c r="BJ118" s="13"/>
      <c r="BK118" s="13"/>
      <c r="BL118" s="13"/>
      <c r="BM118" s="13"/>
      <c r="BN118" s="13"/>
      <c r="BO118" s="13">
        <v>1</v>
      </c>
      <c r="BP118" s="13">
        <v>2</v>
      </c>
      <c r="BQ118" s="13">
        <v>2</v>
      </c>
      <c r="BR118" s="13">
        <v>2</v>
      </c>
      <c r="BS118" s="13">
        <v>1</v>
      </c>
      <c r="BT118" s="13">
        <v>1</v>
      </c>
      <c r="BU118" s="13">
        <v>1</v>
      </c>
      <c r="BV118" s="13">
        <v>10</v>
      </c>
      <c r="BW118" s="13">
        <v>1</v>
      </c>
      <c r="BX118" s="13">
        <v>1</v>
      </c>
      <c r="BY118" s="13"/>
    </row>
    <row r="119" spans="1:77" ht="409.5" x14ac:dyDescent="0.25">
      <c r="A119" t="s">
        <v>697</v>
      </c>
      <c r="B119" t="s">
        <v>212</v>
      </c>
      <c r="C119" t="s">
        <v>1022</v>
      </c>
      <c r="D119">
        <v>1</v>
      </c>
      <c r="E119">
        <v>15.7644</v>
      </c>
      <c r="F119" s="3">
        <v>230000075592</v>
      </c>
      <c r="G119">
        <v>57</v>
      </c>
      <c r="H119">
        <v>1</v>
      </c>
      <c r="I119" s="1">
        <v>45285</v>
      </c>
      <c r="J119" s="2">
        <v>0.9375</v>
      </c>
      <c r="K119" s="1">
        <v>45286</v>
      </c>
      <c r="M119">
        <v>9172734212</v>
      </c>
      <c r="N119">
        <v>9822621475</v>
      </c>
      <c r="O119">
        <v>6</v>
      </c>
      <c r="P119">
        <v>1</v>
      </c>
      <c r="Q119">
        <v>1</v>
      </c>
      <c r="R119">
        <v>2</v>
      </c>
      <c r="S119">
        <v>2</v>
      </c>
      <c r="T119">
        <v>2</v>
      </c>
      <c r="U119">
        <v>2</v>
      </c>
      <c r="V119">
        <v>2</v>
      </c>
      <c r="W119">
        <v>2</v>
      </c>
      <c r="X119">
        <v>2</v>
      </c>
      <c r="Y119">
        <v>2</v>
      </c>
      <c r="AA119">
        <v>15</v>
      </c>
      <c r="AB119">
        <v>46.2</v>
      </c>
      <c r="AC119">
        <v>84.9</v>
      </c>
      <c r="AE119">
        <v>9.4</v>
      </c>
      <c r="AG119">
        <v>146</v>
      </c>
      <c r="AH119">
        <v>36</v>
      </c>
      <c r="AI119">
        <v>120</v>
      </c>
      <c r="AJ119">
        <v>24</v>
      </c>
      <c r="AO119" s="4"/>
      <c r="AQ119" s="4" t="s">
        <v>213</v>
      </c>
      <c r="AS119">
        <v>10</v>
      </c>
      <c r="AT119">
        <v>3</v>
      </c>
      <c r="AU119">
        <v>1</v>
      </c>
      <c r="AV119">
        <v>3</v>
      </c>
      <c r="AW119">
        <v>5</v>
      </c>
      <c r="AY119">
        <v>2</v>
      </c>
      <c r="AZ119">
        <v>2</v>
      </c>
      <c r="BA119">
        <v>2</v>
      </c>
      <c r="BD119">
        <v>2</v>
      </c>
      <c r="BE119">
        <v>2</v>
      </c>
      <c r="BF119">
        <v>0</v>
      </c>
      <c r="BG119">
        <v>100</v>
      </c>
      <c r="BH119">
        <v>1</v>
      </c>
      <c r="BI119">
        <v>2</v>
      </c>
      <c r="BJ119">
        <v>2</v>
      </c>
      <c r="BK119">
        <v>2</v>
      </c>
      <c r="BL119">
        <v>1</v>
      </c>
      <c r="BM119">
        <v>1</v>
      </c>
      <c r="BN119">
        <v>1</v>
      </c>
      <c r="BO119">
        <v>0</v>
      </c>
      <c r="BP119">
        <v>0</v>
      </c>
      <c r="BQ119">
        <v>0</v>
      </c>
      <c r="BR119">
        <v>0</v>
      </c>
      <c r="BS119">
        <v>0</v>
      </c>
      <c r="BT119">
        <v>0</v>
      </c>
      <c r="BU119">
        <v>0</v>
      </c>
      <c r="BV119">
        <v>10</v>
      </c>
      <c r="BW119">
        <v>1</v>
      </c>
      <c r="BX119">
        <v>1</v>
      </c>
      <c r="BY119">
        <v>0</v>
      </c>
    </row>
    <row r="120" spans="1:77" x14ac:dyDescent="0.25">
      <c r="A120" t="s">
        <v>924</v>
      </c>
      <c r="B120" t="s">
        <v>884</v>
      </c>
      <c r="C120" t="s">
        <v>1137</v>
      </c>
      <c r="D120">
        <v>0</v>
      </c>
      <c r="E120">
        <v>16.117999999999999</v>
      </c>
      <c r="F120" s="3">
        <v>240000076946</v>
      </c>
      <c r="G120">
        <v>55</v>
      </c>
      <c r="H120">
        <v>1</v>
      </c>
      <c r="I120" s="1">
        <v>45538</v>
      </c>
      <c r="J120" s="2">
        <v>0.39583333333333331</v>
      </c>
      <c r="K120" s="1">
        <v>45539</v>
      </c>
      <c r="L120" s="1">
        <v>45541</v>
      </c>
      <c r="M120">
        <v>7767879834</v>
      </c>
      <c r="O120">
        <v>4</v>
      </c>
      <c r="P120">
        <v>2</v>
      </c>
      <c r="Q120">
        <v>1</v>
      </c>
      <c r="R120">
        <v>1</v>
      </c>
      <c r="S120">
        <v>1</v>
      </c>
      <c r="T120">
        <v>2</v>
      </c>
      <c r="U120">
        <v>2</v>
      </c>
      <c r="V120">
        <v>2</v>
      </c>
      <c r="W120">
        <v>2</v>
      </c>
      <c r="X120">
        <v>2</v>
      </c>
      <c r="Y120">
        <v>2</v>
      </c>
      <c r="AA120">
        <v>16.2</v>
      </c>
      <c r="AE120">
        <v>6</v>
      </c>
      <c r="AF120">
        <v>154</v>
      </c>
      <c r="AG120">
        <v>98</v>
      </c>
      <c r="AH120">
        <v>45</v>
      </c>
      <c r="AI120">
        <v>60</v>
      </c>
      <c r="AJ120">
        <v>12</v>
      </c>
      <c r="AO120" t="s">
        <v>885</v>
      </c>
      <c r="AQ120" t="s">
        <v>886</v>
      </c>
      <c r="AS120">
        <v>9</v>
      </c>
      <c r="AT120">
        <v>3</v>
      </c>
      <c r="AU120">
        <v>1</v>
      </c>
      <c r="AV120">
        <v>3</v>
      </c>
      <c r="AW120">
        <v>5</v>
      </c>
      <c r="AY120">
        <v>1</v>
      </c>
      <c r="AZ120">
        <v>1</v>
      </c>
      <c r="BA120">
        <v>2</v>
      </c>
      <c r="BC120">
        <v>4</v>
      </c>
      <c r="BD120">
        <v>2</v>
      </c>
      <c r="BE120">
        <v>2</v>
      </c>
      <c r="BF120">
        <v>0</v>
      </c>
      <c r="BG120">
        <v>100</v>
      </c>
      <c r="BH120">
        <v>1</v>
      </c>
      <c r="BI120">
        <v>2</v>
      </c>
      <c r="BJ120">
        <v>2</v>
      </c>
      <c r="BK120">
        <v>2</v>
      </c>
      <c r="BL120">
        <v>1</v>
      </c>
      <c r="BM120">
        <v>1</v>
      </c>
      <c r="BN120">
        <v>1</v>
      </c>
      <c r="BO120">
        <v>0</v>
      </c>
      <c r="BP120">
        <v>0</v>
      </c>
      <c r="BQ120">
        <v>0</v>
      </c>
      <c r="BR120">
        <v>0</v>
      </c>
      <c r="BS120">
        <v>0</v>
      </c>
      <c r="BT120">
        <v>0</v>
      </c>
      <c r="BU120">
        <v>0</v>
      </c>
      <c r="BV120">
        <v>10</v>
      </c>
      <c r="BW120">
        <v>0</v>
      </c>
      <c r="BX120">
        <v>0</v>
      </c>
      <c r="BY120">
        <v>0</v>
      </c>
    </row>
    <row r="121" spans="1:77" ht="135" x14ac:dyDescent="0.25">
      <c r="A121" t="s">
        <v>936</v>
      </c>
      <c r="B121" t="s">
        <v>366</v>
      </c>
      <c r="C121" t="s">
        <v>1071</v>
      </c>
      <c r="D121">
        <v>0</v>
      </c>
      <c r="E121">
        <v>18.433</v>
      </c>
      <c r="F121" s="3">
        <v>240008605</v>
      </c>
      <c r="G121">
        <v>48</v>
      </c>
      <c r="H121">
        <v>1</v>
      </c>
      <c r="I121" s="1">
        <v>45346</v>
      </c>
      <c r="J121" s="2">
        <v>0.77777777777777779</v>
      </c>
      <c r="K121" s="1">
        <v>45348</v>
      </c>
      <c r="M121">
        <v>7447848909</v>
      </c>
      <c r="O121">
        <v>1</v>
      </c>
      <c r="P121">
        <v>1</v>
      </c>
      <c r="Q121">
        <v>2</v>
      </c>
      <c r="R121">
        <v>2</v>
      </c>
      <c r="S121">
        <v>2</v>
      </c>
      <c r="T121">
        <v>2</v>
      </c>
      <c r="U121">
        <v>2</v>
      </c>
      <c r="V121">
        <v>2</v>
      </c>
      <c r="W121">
        <v>2</v>
      </c>
      <c r="X121">
        <v>2</v>
      </c>
      <c r="Y121">
        <v>2</v>
      </c>
      <c r="AA121">
        <v>14.5</v>
      </c>
      <c r="AB121">
        <v>44</v>
      </c>
      <c r="AC121">
        <v>92</v>
      </c>
      <c r="AD121">
        <v>15.29</v>
      </c>
      <c r="AF121">
        <v>144</v>
      </c>
      <c r="AG121">
        <v>79.599999999999994</v>
      </c>
      <c r="AH121">
        <v>39</v>
      </c>
      <c r="AI121">
        <v>127</v>
      </c>
      <c r="AJ121">
        <v>25.4</v>
      </c>
      <c r="AK121">
        <v>2000</v>
      </c>
      <c r="AO121" s="4" t="s">
        <v>367</v>
      </c>
      <c r="AQ121" s="4" t="s">
        <v>368</v>
      </c>
      <c r="AS121">
        <v>9</v>
      </c>
      <c r="AT121">
        <v>3</v>
      </c>
      <c r="AU121">
        <v>1</v>
      </c>
      <c r="AV121">
        <v>3</v>
      </c>
      <c r="AW121">
        <v>5</v>
      </c>
      <c r="AY121">
        <v>2</v>
      </c>
      <c r="AZ121">
        <v>2</v>
      </c>
      <c r="BA121">
        <v>2</v>
      </c>
      <c r="BD121">
        <v>2</v>
      </c>
      <c r="BE121">
        <v>2</v>
      </c>
      <c r="BF121">
        <v>0</v>
      </c>
      <c r="BG121">
        <v>100</v>
      </c>
      <c r="BH121">
        <v>0</v>
      </c>
      <c r="BI121">
        <v>0</v>
      </c>
      <c r="BJ121">
        <v>0</v>
      </c>
      <c r="BK121">
        <v>0</v>
      </c>
      <c r="BL121">
        <v>0</v>
      </c>
      <c r="BM121">
        <v>0</v>
      </c>
      <c r="BN121">
        <v>0</v>
      </c>
      <c r="BO121">
        <v>1</v>
      </c>
      <c r="BP121">
        <v>2</v>
      </c>
      <c r="BQ121">
        <v>2</v>
      </c>
      <c r="BR121">
        <v>2</v>
      </c>
      <c r="BS121">
        <v>1</v>
      </c>
      <c r="BT121">
        <v>1</v>
      </c>
      <c r="BU121">
        <v>1</v>
      </c>
      <c r="BV121">
        <v>10</v>
      </c>
      <c r="BW121">
        <v>1</v>
      </c>
      <c r="BX121">
        <v>1</v>
      </c>
      <c r="BY121">
        <v>0</v>
      </c>
    </row>
    <row r="122" spans="1:77" x14ac:dyDescent="0.25">
      <c r="A122" t="s">
        <v>1153</v>
      </c>
      <c r="B122" t="s">
        <v>1154</v>
      </c>
      <c r="C122" t="s">
        <v>1154</v>
      </c>
      <c r="E122">
        <v>19.072299999999998</v>
      </c>
      <c r="F122" s="3">
        <v>240000049397</v>
      </c>
      <c r="G122">
        <v>69</v>
      </c>
      <c r="H122">
        <v>1</v>
      </c>
      <c r="I122" s="1">
        <v>45554</v>
      </c>
      <c r="J122" s="2">
        <v>0.25</v>
      </c>
      <c r="K122" s="1">
        <v>45554</v>
      </c>
      <c r="L122" s="1">
        <v>45556</v>
      </c>
      <c r="M122">
        <v>8149102930</v>
      </c>
      <c r="O122">
        <v>5</v>
      </c>
      <c r="P122">
        <v>2</v>
      </c>
      <c r="Q122">
        <v>2</v>
      </c>
      <c r="R122">
        <v>2</v>
      </c>
      <c r="S122">
        <v>1</v>
      </c>
      <c r="T122">
        <v>2</v>
      </c>
      <c r="U122">
        <v>2</v>
      </c>
      <c r="V122">
        <v>1</v>
      </c>
      <c r="W122">
        <v>2</v>
      </c>
      <c r="X122">
        <v>2</v>
      </c>
      <c r="Y122">
        <v>1</v>
      </c>
      <c r="Z122" t="s">
        <v>888</v>
      </c>
      <c r="AA122">
        <v>11.4</v>
      </c>
      <c r="AB122">
        <v>36</v>
      </c>
      <c r="AC122">
        <v>75</v>
      </c>
      <c r="AD122">
        <v>11.33</v>
      </c>
      <c r="AE122">
        <v>8</v>
      </c>
      <c r="AF122">
        <v>168</v>
      </c>
      <c r="AG122">
        <v>103</v>
      </c>
      <c r="AH122">
        <v>27</v>
      </c>
      <c r="AI122">
        <v>189</v>
      </c>
      <c r="AJ122">
        <v>37</v>
      </c>
      <c r="AK122">
        <v>466</v>
      </c>
      <c r="AO122" t="s">
        <v>889</v>
      </c>
      <c r="AQ122" t="s">
        <v>890</v>
      </c>
      <c r="AS122">
        <v>9</v>
      </c>
      <c r="AT122">
        <v>3</v>
      </c>
      <c r="AU122">
        <v>1</v>
      </c>
      <c r="AV122">
        <v>3</v>
      </c>
      <c r="AW122">
        <v>5</v>
      </c>
      <c r="AY122">
        <v>1</v>
      </c>
      <c r="AZ122">
        <v>2</v>
      </c>
      <c r="BA122">
        <v>2</v>
      </c>
      <c r="BC122">
        <v>3</v>
      </c>
      <c r="BD122">
        <v>2</v>
      </c>
      <c r="BE122">
        <v>2</v>
      </c>
      <c r="BF122">
        <v>1</v>
      </c>
      <c r="BG122">
        <v>85</v>
      </c>
      <c r="BH122">
        <v>1</v>
      </c>
      <c r="BI122">
        <v>2</v>
      </c>
      <c r="BJ122">
        <v>2</v>
      </c>
      <c r="BK122">
        <v>2</v>
      </c>
      <c r="BL122">
        <v>1</v>
      </c>
      <c r="BM122">
        <v>1</v>
      </c>
      <c r="BN122">
        <v>1</v>
      </c>
      <c r="BV122">
        <v>10</v>
      </c>
      <c r="BW122">
        <v>1</v>
      </c>
      <c r="BX122">
        <v>1</v>
      </c>
      <c r="BY122" t="s">
        <v>1110</v>
      </c>
    </row>
    <row r="123" spans="1:77" ht="409.5" x14ac:dyDescent="0.25">
      <c r="A123" t="s">
        <v>682</v>
      </c>
      <c r="B123" t="s">
        <v>260</v>
      </c>
      <c r="C123" t="s">
        <v>260</v>
      </c>
      <c r="D123">
        <v>1</v>
      </c>
      <c r="E123">
        <v>21.484200000000001</v>
      </c>
      <c r="F123" s="3">
        <v>221206273</v>
      </c>
      <c r="G123">
        <v>75</v>
      </c>
      <c r="H123">
        <v>1</v>
      </c>
      <c r="K123" s="1">
        <v>44926</v>
      </c>
      <c r="L123" s="1">
        <v>44563</v>
      </c>
      <c r="M123">
        <v>964984448</v>
      </c>
      <c r="O123">
        <v>4</v>
      </c>
      <c r="P123">
        <v>1</v>
      </c>
      <c r="Q123">
        <v>2</v>
      </c>
      <c r="R123">
        <v>2</v>
      </c>
      <c r="S123">
        <v>2</v>
      </c>
      <c r="T123">
        <v>2</v>
      </c>
      <c r="U123">
        <v>2</v>
      </c>
      <c r="V123">
        <v>2</v>
      </c>
      <c r="W123">
        <v>2</v>
      </c>
      <c r="X123">
        <v>2</v>
      </c>
      <c r="Y123">
        <v>2</v>
      </c>
      <c r="AA123">
        <v>15.9</v>
      </c>
      <c r="AB123">
        <v>46.3</v>
      </c>
      <c r="AC123">
        <v>87.8</v>
      </c>
      <c r="AD123">
        <v>29.06</v>
      </c>
      <c r="AK123">
        <v>665</v>
      </c>
      <c r="AO123" s="4" t="s">
        <v>261</v>
      </c>
      <c r="AQ123" s="4" t="s">
        <v>262</v>
      </c>
      <c r="AS123">
        <v>5</v>
      </c>
      <c r="AT123">
        <v>3</v>
      </c>
      <c r="AU123">
        <v>1</v>
      </c>
      <c r="AV123">
        <v>3</v>
      </c>
      <c r="AW123">
        <v>5</v>
      </c>
      <c r="AY123">
        <v>1</v>
      </c>
      <c r="AZ123">
        <v>1</v>
      </c>
      <c r="BA123">
        <v>2</v>
      </c>
      <c r="BC123">
        <v>4</v>
      </c>
      <c r="BD123">
        <v>2</v>
      </c>
      <c r="BE123">
        <v>2</v>
      </c>
      <c r="BF123">
        <v>0</v>
      </c>
      <c r="BG123">
        <v>100</v>
      </c>
      <c r="BH123">
        <v>1</v>
      </c>
      <c r="BI123">
        <v>2</v>
      </c>
      <c r="BJ123">
        <v>2</v>
      </c>
      <c r="BK123">
        <v>2</v>
      </c>
      <c r="BL123">
        <v>1</v>
      </c>
      <c r="BM123">
        <v>1</v>
      </c>
      <c r="BN123">
        <v>1</v>
      </c>
      <c r="BO123">
        <v>0</v>
      </c>
      <c r="BP123">
        <v>0</v>
      </c>
      <c r="BQ123">
        <v>0</v>
      </c>
      <c r="BR123">
        <v>0</v>
      </c>
      <c r="BS123">
        <v>0</v>
      </c>
      <c r="BT123">
        <v>0</v>
      </c>
      <c r="BU123">
        <v>0</v>
      </c>
      <c r="BV123">
        <v>10</v>
      </c>
      <c r="BW123">
        <v>1</v>
      </c>
      <c r="BX123">
        <v>1</v>
      </c>
      <c r="BY123">
        <v>0</v>
      </c>
    </row>
    <row r="124" spans="1:77" ht="225" x14ac:dyDescent="0.25">
      <c r="A124" t="s">
        <v>686</v>
      </c>
      <c r="B124" t="s">
        <v>471</v>
      </c>
      <c r="C124" t="s">
        <v>1104</v>
      </c>
      <c r="D124">
        <v>0</v>
      </c>
      <c r="E124">
        <v>42.944099999999999</v>
      </c>
      <c r="F124" s="3">
        <v>240000040622</v>
      </c>
      <c r="G124">
        <v>35</v>
      </c>
      <c r="H124">
        <v>1</v>
      </c>
      <c r="I124" s="1">
        <v>45417</v>
      </c>
      <c r="J124" s="2">
        <v>0.77083333333333337</v>
      </c>
      <c r="K124" s="1">
        <v>45417</v>
      </c>
      <c r="L124" s="1">
        <v>45419</v>
      </c>
      <c r="M124">
        <v>7387900224</v>
      </c>
      <c r="O124">
        <v>1</v>
      </c>
      <c r="P124">
        <v>2</v>
      </c>
      <c r="Q124">
        <v>2</v>
      </c>
      <c r="R124">
        <v>1</v>
      </c>
      <c r="S124">
        <v>1</v>
      </c>
      <c r="T124">
        <v>2</v>
      </c>
      <c r="U124">
        <v>2</v>
      </c>
      <c r="V124">
        <v>2</v>
      </c>
      <c r="W124">
        <v>2</v>
      </c>
      <c r="X124">
        <v>2</v>
      </c>
      <c r="Y124">
        <v>2</v>
      </c>
      <c r="AA124">
        <v>11.6</v>
      </c>
      <c r="AB124">
        <v>33.299999999999997</v>
      </c>
      <c r="AC124">
        <v>10.71</v>
      </c>
      <c r="AD124">
        <v>13.05</v>
      </c>
      <c r="AE124">
        <v>4.8</v>
      </c>
      <c r="AF124">
        <v>136</v>
      </c>
      <c r="AG124">
        <v>95.6</v>
      </c>
      <c r="AH124">
        <v>27</v>
      </c>
      <c r="AI124">
        <v>67</v>
      </c>
      <c r="AJ124">
        <v>13.4</v>
      </c>
      <c r="AK124">
        <v>373</v>
      </c>
      <c r="AO124" s="4" t="s">
        <v>392</v>
      </c>
      <c r="AQ124" s="4" t="s">
        <v>483</v>
      </c>
      <c r="AS124">
        <v>10</v>
      </c>
      <c r="AT124">
        <v>3</v>
      </c>
      <c r="AU124">
        <v>1</v>
      </c>
      <c r="AV124">
        <v>3</v>
      </c>
      <c r="AW124">
        <v>5</v>
      </c>
      <c r="AY124">
        <v>1</v>
      </c>
      <c r="AZ124">
        <v>1</v>
      </c>
      <c r="BA124">
        <v>2</v>
      </c>
      <c r="BD124">
        <v>2</v>
      </c>
      <c r="BE124">
        <v>2</v>
      </c>
      <c r="BF124">
        <v>0</v>
      </c>
      <c r="BG124">
        <v>100</v>
      </c>
      <c r="BH124">
        <v>0</v>
      </c>
      <c r="BI124">
        <v>0</v>
      </c>
      <c r="BJ124">
        <v>0</v>
      </c>
      <c r="BK124">
        <v>0</v>
      </c>
      <c r="BL124">
        <v>0</v>
      </c>
      <c r="BM124">
        <v>0</v>
      </c>
      <c r="BN124">
        <v>0</v>
      </c>
      <c r="BO124">
        <v>1</v>
      </c>
      <c r="BP124">
        <v>2</v>
      </c>
      <c r="BQ124">
        <v>2</v>
      </c>
      <c r="BR124">
        <v>2</v>
      </c>
      <c r="BS124">
        <v>1</v>
      </c>
      <c r="BT124">
        <v>1</v>
      </c>
      <c r="BU124">
        <v>1</v>
      </c>
      <c r="BV124">
        <v>10</v>
      </c>
      <c r="BW124">
        <v>0</v>
      </c>
      <c r="BX124">
        <v>1</v>
      </c>
      <c r="BY124">
        <v>0</v>
      </c>
    </row>
    <row r="125" spans="1:77" ht="195" x14ac:dyDescent="0.25">
      <c r="A125" t="s">
        <v>696</v>
      </c>
      <c r="B125" t="s">
        <v>390</v>
      </c>
      <c r="C125" t="s">
        <v>1077</v>
      </c>
      <c r="D125">
        <v>0</v>
      </c>
      <c r="E125">
        <v>124.813</v>
      </c>
      <c r="F125" s="3">
        <v>240000021361</v>
      </c>
      <c r="G125">
        <v>42</v>
      </c>
      <c r="H125">
        <v>1</v>
      </c>
      <c r="I125" s="1">
        <v>45352</v>
      </c>
      <c r="J125" s="2">
        <v>0.6875</v>
      </c>
      <c r="K125" s="1">
        <v>45352</v>
      </c>
      <c r="L125" s="1">
        <v>45362</v>
      </c>
      <c r="O125">
        <v>17</v>
      </c>
      <c r="P125">
        <v>2</v>
      </c>
      <c r="Q125">
        <v>2</v>
      </c>
      <c r="R125">
        <v>2</v>
      </c>
      <c r="S125">
        <v>2</v>
      </c>
      <c r="T125">
        <v>2</v>
      </c>
      <c r="U125">
        <v>2</v>
      </c>
      <c r="V125">
        <v>2</v>
      </c>
      <c r="W125">
        <v>2</v>
      </c>
      <c r="X125">
        <v>2</v>
      </c>
      <c r="Y125">
        <v>2</v>
      </c>
      <c r="AA125">
        <v>16.2</v>
      </c>
      <c r="AB125">
        <v>49.3</v>
      </c>
      <c r="AC125">
        <v>89.9</v>
      </c>
      <c r="AD125">
        <v>24.54</v>
      </c>
      <c r="AE125">
        <v>5.4</v>
      </c>
      <c r="AF125">
        <v>173</v>
      </c>
      <c r="AG125">
        <v>101.8</v>
      </c>
      <c r="AH125">
        <v>43</v>
      </c>
      <c r="AI125">
        <v>141</v>
      </c>
      <c r="AJ125">
        <v>28.2</v>
      </c>
      <c r="AK125">
        <v>221</v>
      </c>
      <c r="AM125" t="s">
        <v>391</v>
      </c>
      <c r="AO125" s="4" t="s">
        <v>392</v>
      </c>
      <c r="AQ125" s="4" t="s">
        <v>393</v>
      </c>
      <c r="AS125">
        <v>10</v>
      </c>
      <c r="AT125">
        <v>3</v>
      </c>
      <c r="AU125">
        <v>1</v>
      </c>
      <c r="AV125">
        <v>2</v>
      </c>
      <c r="AW125">
        <v>5</v>
      </c>
      <c r="AY125">
        <v>1</v>
      </c>
      <c r="AZ125">
        <v>2</v>
      </c>
      <c r="BA125">
        <v>1</v>
      </c>
      <c r="BB125">
        <v>1</v>
      </c>
      <c r="BD125">
        <v>2</v>
      </c>
      <c r="BE125">
        <v>2</v>
      </c>
      <c r="BF125">
        <v>0</v>
      </c>
      <c r="BG125">
        <v>100</v>
      </c>
      <c r="BH125">
        <v>0</v>
      </c>
      <c r="BI125">
        <v>0</v>
      </c>
      <c r="BJ125">
        <v>0</v>
      </c>
      <c r="BK125">
        <v>0</v>
      </c>
      <c r="BL125">
        <v>0</v>
      </c>
      <c r="BM125">
        <v>0</v>
      </c>
      <c r="BN125">
        <v>0</v>
      </c>
      <c r="BO125">
        <v>1</v>
      </c>
      <c r="BP125">
        <v>2</v>
      </c>
      <c r="BQ125">
        <v>2</v>
      </c>
      <c r="BR125">
        <v>2</v>
      </c>
      <c r="BS125">
        <v>1</v>
      </c>
      <c r="BT125">
        <v>1</v>
      </c>
      <c r="BU125">
        <v>1</v>
      </c>
      <c r="BV125">
        <v>10</v>
      </c>
      <c r="BW125">
        <v>1</v>
      </c>
      <c r="BX125">
        <v>1</v>
      </c>
      <c r="BY125">
        <v>0</v>
      </c>
    </row>
    <row r="126" spans="1:77" ht="105" x14ac:dyDescent="0.25">
      <c r="A126" t="s">
        <v>683</v>
      </c>
      <c r="B126" t="s">
        <v>39</v>
      </c>
      <c r="C126" t="s">
        <v>39</v>
      </c>
      <c r="D126">
        <v>1</v>
      </c>
      <c r="E126">
        <v>181.03200000000001</v>
      </c>
      <c r="F126" s="3">
        <v>230000056198</v>
      </c>
      <c r="G126">
        <v>45</v>
      </c>
      <c r="H126">
        <v>2</v>
      </c>
      <c r="I126" s="1">
        <v>45229</v>
      </c>
      <c r="J126" s="2">
        <v>0.33333333333333331</v>
      </c>
      <c r="K126" s="1">
        <v>45229</v>
      </c>
      <c r="L126" s="1">
        <v>45253</v>
      </c>
      <c r="M126">
        <v>9960643811</v>
      </c>
      <c r="N126">
        <v>8888434416</v>
      </c>
      <c r="O126">
        <v>17</v>
      </c>
      <c r="P126">
        <v>2</v>
      </c>
      <c r="Q126">
        <v>1</v>
      </c>
      <c r="R126">
        <v>2</v>
      </c>
      <c r="S126">
        <v>2</v>
      </c>
      <c r="T126">
        <v>2</v>
      </c>
      <c r="U126">
        <v>2</v>
      </c>
      <c r="V126">
        <v>2</v>
      </c>
      <c r="W126">
        <v>2</v>
      </c>
      <c r="X126">
        <v>2</v>
      </c>
      <c r="Y126">
        <v>2</v>
      </c>
      <c r="Z126" t="s">
        <v>40</v>
      </c>
      <c r="AA126">
        <v>7.7</v>
      </c>
      <c r="AB126">
        <v>8.66</v>
      </c>
      <c r="AC126">
        <v>53.4</v>
      </c>
      <c r="AD126">
        <v>8.66</v>
      </c>
      <c r="AE126">
        <v>9.9</v>
      </c>
      <c r="AF126">
        <v>197</v>
      </c>
      <c r="AG126">
        <v>139.80000000000001</v>
      </c>
      <c r="AH126">
        <v>33</v>
      </c>
      <c r="AI126">
        <v>121</v>
      </c>
      <c r="AJ126">
        <v>24.2</v>
      </c>
      <c r="AK126">
        <v>2000</v>
      </c>
      <c r="AM126" t="s">
        <v>41</v>
      </c>
      <c r="AO126" s="4" t="s">
        <v>42</v>
      </c>
      <c r="AQ126" s="4" t="s">
        <v>43</v>
      </c>
      <c r="AS126">
        <v>7</v>
      </c>
      <c r="AT126">
        <v>3</v>
      </c>
      <c r="AU126">
        <v>1</v>
      </c>
      <c r="AV126">
        <v>3</v>
      </c>
      <c r="AW126">
        <v>4</v>
      </c>
      <c r="AY126">
        <v>1</v>
      </c>
      <c r="AZ126">
        <v>2</v>
      </c>
      <c r="BA126">
        <v>2</v>
      </c>
      <c r="BD126">
        <v>2</v>
      </c>
      <c r="BE126">
        <v>1</v>
      </c>
      <c r="BF126">
        <v>4</v>
      </c>
      <c r="BG126">
        <v>15</v>
      </c>
      <c r="BH126">
        <v>0</v>
      </c>
      <c r="BI126">
        <v>0</v>
      </c>
      <c r="BJ126">
        <v>0</v>
      </c>
      <c r="BK126">
        <v>0</v>
      </c>
      <c r="BL126">
        <v>0</v>
      </c>
      <c r="BM126">
        <v>0</v>
      </c>
      <c r="BN126">
        <v>0</v>
      </c>
      <c r="BO126">
        <v>1</v>
      </c>
      <c r="BP126">
        <v>2</v>
      </c>
      <c r="BQ126">
        <v>2</v>
      </c>
      <c r="BR126">
        <v>2</v>
      </c>
      <c r="BS126">
        <v>1</v>
      </c>
      <c r="BT126">
        <v>1</v>
      </c>
      <c r="BU126">
        <v>1</v>
      </c>
      <c r="BV126">
        <v>10</v>
      </c>
      <c r="BW126">
        <v>0</v>
      </c>
      <c r="BX126">
        <v>1</v>
      </c>
      <c r="BY126">
        <v>0</v>
      </c>
    </row>
    <row r="127" spans="1:77" x14ac:dyDescent="0.25">
      <c r="A127" t="s">
        <v>969</v>
      </c>
      <c r="B127" t="s">
        <v>474</v>
      </c>
      <c r="C127" t="s">
        <v>1101</v>
      </c>
      <c r="D127">
        <v>0</v>
      </c>
      <c r="E127">
        <v>13.173299999999999</v>
      </c>
      <c r="F127" s="3">
        <v>240000043565</v>
      </c>
      <c r="G127">
        <v>47</v>
      </c>
      <c r="H127">
        <v>2</v>
      </c>
      <c r="I127" s="1">
        <v>45426</v>
      </c>
      <c r="J127" s="2">
        <v>0.29166666666666669</v>
      </c>
      <c r="K127" s="1">
        <v>45427</v>
      </c>
      <c r="L127" s="1">
        <v>45429</v>
      </c>
      <c r="M127">
        <v>9545440049</v>
      </c>
      <c r="O127">
        <v>5</v>
      </c>
      <c r="P127">
        <v>2</v>
      </c>
      <c r="Q127">
        <v>1</v>
      </c>
      <c r="R127">
        <v>2</v>
      </c>
      <c r="S127">
        <v>1</v>
      </c>
      <c r="T127">
        <v>2</v>
      </c>
      <c r="U127">
        <v>2</v>
      </c>
      <c r="V127">
        <v>2</v>
      </c>
      <c r="W127">
        <v>2</v>
      </c>
      <c r="X127">
        <v>2</v>
      </c>
      <c r="Y127">
        <v>2</v>
      </c>
      <c r="AA127">
        <v>12.6</v>
      </c>
      <c r="AB127">
        <v>38.299999999999997</v>
      </c>
      <c r="AC127">
        <v>77</v>
      </c>
      <c r="AD127">
        <v>3.26</v>
      </c>
      <c r="AE127">
        <v>13</v>
      </c>
      <c r="AK127">
        <v>2000</v>
      </c>
      <c r="AO127" t="s">
        <v>475</v>
      </c>
      <c r="AQ127" t="s">
        <v>476</v>
      </c>
      <c r="AS127">
        <v>9</v>
      </c>
      <c r="AT127">
        <v>3</v>
      </c>
      <c r="AU127">
        <v>1</v>
      </c>
      <c r="AV127">
        <v>3</v>
      </c>
      <c r="AW127">
        <v>5</v>
      </c>
      <c r="AY127">
        <v>1</v>
      </c>
      <c r="AZ127">
        <v>1</v>
      </c>
      <c r="BA127">
        <v>2</v>
      </c>
      <c r="BD127">
        <v>2</v>
      </c>
      <c r="BE127">
        <v>2</v>
      </c>
      <c r="BF127">
        <v>0</v>
      </c>
      <c r="BG127">
        <v>100</v>
      </c>
      <c r="BO127">
        <v>1</v>
      </c>
      <c r="BP127">
        <v>2</v>
      </c>
      <c r="BQ127">
        <v>2</v>
      </c>
      <c r="BR127">
        <v>2</v>
      </c>
      <c r="BS127">
        <v>1</v>
      </c>
      <c r="BT127">
        <v>1</v>
      </c>
      <c r="BU127">
        <v>1</v>
      </c>
      <c r="BV127">
        <v>10</v>
      </c>
      <c r="BW127">
        <v>1</v>
      </c>
      <c r="BX127">
        <v>0</v>
      </c>
      <c r="BY127" t="s">
        <v>1040</v>
      </c>
    </row>
    <row r="128" spans="1:77" x14ac:dyDescent="0.25">
      <c r="A128" s="8"/>
      <c r="B128" s="8" t="s">
        <v>808</v>
      </c>
      <c r="C128" s="8" t="e">
        <v>#N/A</v>
      </c>
      <c r="D128" s="8" t="e">
        <v>#N/A</v>
      </c>
      <c r="E128" s="8">
        <v>1.74353</v>
      </c>
      <c r="F128" s="9">
        <v>2400000373</v>
      </c>
      <c r="G128" s="8">
        <v>57</v>
      </c>
      <c r="H128" s="8">
        <v>1</v>
      </c>
      <c r="I128" s="8" t="s">
        <v>800</v>
      </c>
      <c r="J128" s="11">
        <v>0.875</v>
      </c>
      <c r="K128" s="8" t="s">
        <v>809</v>
      </c>
      <c r="L128" s="8" t="s">
        <v>807</v>
      </c>
      <c r="M128" s="8">
        <v>9145153999</v>
      </c>
      <c r="N128" s="8"/>
      <c r="O128" s="8">
        <v>4</v>
      </c>
      <c r="P128" s="8">
        <v>1</v>
      </c>
      <c r="Q128" s="8">
        <v>1</v>
      </c>
      <c r="R128" s="8">
        <v>1</v>
      </c>
      <c r="S128" s="8">
        <v>1</v>
      </c>
      <c r="T128" s="8">
        <v>2</v>
      </c>
      <c r="U128" s="8">
        <v>2</v>
      </c>
      <c r="V128" s="8">
        <v>2</v>
      </c>
      <c r="W128" s="8">
        <v>2</v>
      </c>
      <c r="X128" s="8">
        <v>2</v>
      </c>
      <c r="Y128" s="8">
        <v>2</v>
      </c>
      <c r="Z128" s="8"/>
      <c r="AA128" s="8">
        <v>13.4</v>
      </c>
      <c r="AB128" s="8"/>
      <c r="AC128" s="8"/>
      <c r="AD128" s="8">
        <v>13.2</v>
      </c>
      <c r="AE128" s="8">
        <v>8.3000000000000007</v>
      </c>
      <c r="AF128" s="8"/>
      <c r="AG128" s="8"/>
      <c r="AH128" s="8"/>
      <c r="AI128" s="8"/>
      <c r="AJ128" s="8"/>
      <c r="AK128" s="8">
        <v>204</v>
      </c>
      <c r="AL128" s="8"/>
      <c r="AM128" s="8"/>
      <c r="AN128" s="8"/>
      <c r="AO128" s="8" t="s">
        <v>810</v>
      </c>
      <c r="AP128" s="8"/>
      <c r="AQ128" s="8" t="s">
        <v>811</v>
      </c>
      <c r="AR128" s="8"/>
      <c r="AS128" s="8">
        <v>9</v>
      </c>
      <c r="AT128" s="8">
        <v>4</v>
      </c>
      <c r="AU128" s="8">
        <v>1</v>
      </c>
      <c r="AV128" s="8">
        <v>3</v>
      </c>
      <c r="AW128" s="8">
        <v>5</v>
      </c>
      <c r="AX128" s="8"/>
      <c r="AY128" s="8">
        <v>1</v>
      </c>
      <c r="AZ128" s="8">
        <v>1</v>
      </c>
      <c r="BA128" s="8">
        <v>2</v>
      </c>
      <c r="BB128" s="8"/>
      <c r="BC128" s="8"/>
      <c r="BD128" s="8">
        <v>2</v>
      </c>
      <c r="BE128" s="8">
        <v>2</v>
      </c>
      <c r="BF128" s="8">
        <v>1</v>
      </c>
      <c r="BG128" s="8">
        <v>100</v>
      </c>
      <c r="BH128" s="8">
        <v>1</v>
      </c>
      <c r="BI128" s="8">
        <v>1</v>
      </c>
      <c r="BJ128" s="8">
        <v>2</v>
      </c>
      <c r="BK128" s="8">
        <v>2</v>
      </c>
      <c r="BL128" s="8">
        <v>1</v>
      </c>
      <c r="BM128" s="8">
        <v>1</v>
      </c>
      <c r="BN128" s="8">
        <v>1</v>
      </c>
      <c r="BO128" s="8"/>
      <c r="BP128" s="8"/>
      <c r="BQ128" s="8"/>
      <c r="BR128" s="8"/>
      <c r="BS128" s="8"/>
      <c r="BT128" s="8"/>
      <c r="BU128" s="8"/>
      <c r="BV128" s="8">
        <v>9</v>
      </c>
      <c r="BW128" s="8">
        <v>1</v>
      </c>
      <c r="BX128" s="8">
        <v>1</v>
      </c>
      <c r="BY128" s="8">
        <v>1</v>
      </c>
    </row>
    <row r="129" spans="1:77" ht="75" x14ac:dyDescent="0.25">
      <c r="A129" t="s">
        <v>615</v>
      </c>
      <c r="B129" t="s">
        <v>242</v>
      </c>
      <c r="C129" t="s">
        <v>1035</v>
      </c>
      <c r="D129">
        <v>1</v>
      </c>
      <c r="E129">
        <v>4.5234899999999998</v>
      </c>
      <c r="F129" s="3">
        <v>220700250</v>
      </c>
      <c r="G129">
        <v>65</v>
      </c>
      <c r="H129">
        <v>1</v>
      </c>
      <c r="K129" s="1">
        <v>44745</v>
      </c>
      <c r="L129" s="1">
        <v>44748</v>
      </c>
      <c r="M129">
        <v>8329592331</v>
      </c>
      <c r="O129">
        <v>9</v>
      </c>
      <c r="P129">
        <v>1</v>
      </c>
      <c r="Q129">
        <v>1</v>
      </c>
      <c r="R129">
        <v>2</v>
      </c>
      <c r="S129">
        <v>2</v>
      </c>
      <c r="T129">
        <v>2</v>
      </c>
      <c r="U129">
        <v>2</v>
      </c>
      <c r="V129">
        <v>2</v>
      </c>
      <c r="W129">
        <v>2</v>
      </c>
      <c r="X129">
        <v>2</v>
      </c>
      <c r="Y129">
        <v>2</v>
      </c>
      <c r="AA129">
        <v>13</v>
      </c>
      <c r="AB129">
        <v>39.1</v>
      </c>
      <c r="AD129">
        <v>20.04</v>
      </c>
      <c r="AE129">
        <v>6</v>
      </c>
      <c r="AF129">
        <v>117</v>
      </c>
      <c r="AG129">
        <v>61</v>
      </c>
      <c r="AH129">
        <v>38</v>
      </c>
      <c r="AI129">
        <v>89</v>
      </c>
      <c r="AO129" s="4" t="s">
        <v>243</v>
      </c>
      <c r="AQ129" s="4" t="s">
        <v>244</v>
      </c>
      <c r="AS129">
        <v>9</v>
      </c>
      <c r="AT129">
        <v>4</v>
      </c>
      <c r="AU129">
        <v>1</v>
      </c>
      <c r="AV129">
        <v>3</v>
      </c>
      <c r="AW129">
        <v>5</v>
      </c>
      <c r="AY129">
        <v>1</v>
      </c>
      <c r="AZ129">
        <v>1</v>
      </c>
      <c r="BA129">
        <v>2</v>
      </c>
      <c r="BC129">
        <v>4</v>
      </c>
      <c r="BF129">
        <v>0</v>
      </c>
      <c r="BG129">
        <v>90</v>
      </c>
      <c r="BH129">
        <v>1</v>
      </c>
      <c r="BI129">
        <v>1</v>
      </c>
      <c r="BJ129">
        <v>2</v>
      </c>
      <c r="BK129">
        <v>2</v>
      </c>
      <c r="BL129">
        <v>1</v>
      </c>
      <c r="BM129">
        <v>1</v>
      </c>
      <c r="BN129">
        <v>1</v>
      </c>
      <c r="BO129">
        <v>0</v>
      </c>
      <c r="BP129">
        <v>0</v>
      </c>
      <c r="BQ129">
        <v>0</v>
      </c>
      <c r="BR129">
        <v>0</v>
      </c>
      <c r="BS129">
        <v>0</v>
      </c>
      <c r="BT129">
        <v>0</v>
      </c>
      <c r="BU129">
        <v>0</v>
      </c>
      <c r="BV129">
        <v>9</v>
      </c>
      <c r="BW129">
        <v>1</v>
      </c>
      <c r="BX129">
        <v>0</v>
      </c>
      <c r="BY129">
        <v>0</v>
      </c>
    </row>
    <row r="130" spans="1:77" ht="135" x14ac:dyDescent="0.25">
      <c r="A130" t="s">
        <v>932</v>
      </c>
      <c r="B130" t="s">
        <v>88</v>
      </c>
      <c r="C130" t="s">
        <v>993</v>
      </c>
      <c r="D130">
        <v>1</v>
      </c>
      <c r="E130">
        <v>8.7370199999999993</v>
      </c>
      <c r="F130" s="3">
        <v>230305332</v>
      </c>
      <c r="G130">
        <v>49</v>
      </c>
      <c r="H130">
        <v>2</v>
      </c>
      <c r="I130" s="1">
        <v>45013</v>
      </c>
      <c r="J130" s="2">
        <v>0.875</v>
      </c>
      <c r="K130" s="1">
        <v>45013</v>
      </c>
      <c r="L130" s="1">
        <v>45026</v>
      </c>
      <c r="M130">
        <v>7875730168</v>
      </c>
      <c r="O130">
        <v>16</v>
      </c>
      <c r="Z130" t="s">
        <v>89</v>
      </c>
      <c r="AA130">
        <v>12.8</v>
      </c>
      <c r="AB130">
        <v>41</v>
      </c>
      <c r="AC130">
        <v>82</v>
      </c>
      <c r="AD130">
        <v>13</v>
      </c>
      <c r="AE130">
        <v>9.1999999999999993</v>
      </c>
      <c r="AF130">
        <v>247</v>
      </c>
      <c r="AG130">
        <v>193.6</v>
      </c>
      <c r="AH130">
        <v>40</v>
      </c>
      <c r="AI130">
        <v>67</v>
      </c>
      <c r="AJ130">
        <v>13.4</v>
      </c>
      <c r="AK130">
        <v>149</v>
      </c>
      <c r="AM130" t="s">
        <v>90</v>
      </c>
      <c r="AO130" s="4" t="s">
        <v>91</v>
      </c>
      <c r="AQ130" s="4" t="s">
        <v>92</v>
      </c>
      <c r="AS130">
        <v>8</v>
      </c>
      <c r="AT130">
        <v>4</v>
      </c>
      <c r="AU130">
        <v>1</v>
      </c>
      <c r="AV130">
        <v>3</v>
      </c>
      <c r="AW130">
        <v>5</v>
      </c>
      <c r="AY130">
        <v>1</v>
      </c>
      <c r="AZ130">
        <v>1</v>
      </c>
      <c r="BA130">
        <v>1</v>
      </c>
      <c r="BB130">
        <v>1</v>
      </c>
      <c r="BC130">
        <v>4</v>
      </c>
      <c r="BF130">
        <v>6</v>
      </c>
      <c r="BG130">
        <v>0</v>
      </c>
      <c r="BH130">
        <v>1</v>
      </c>
      <c r="BI130">
        <v>2</v>
      </c>
      <c r="BJ130">
        <v>2</v>
      </c>
      <c r="BK130">
        <v>2</v>
      </c>
      <c r="BL130">
        <v>1</v>
      </c>
      <c r="BM130">
        <v>0</v>
      </c>
      <c r="BN130">
        <v>1</v>
      </c>
      <c r="BO130">
        <v>0</v>
      </c>
      <c r="BP130">
        <v>0</v>
      </c>
      <c r="BQ130">
        <v>0</v>
      </c>
      <c r="BR130">
        <v>0</v>
      </c>
      <c r="BS130">
        <v>0</v>
      </c>
      <c r="BT130">
        <v>0</v>
      </c>
      <c r="BU130">
        <v>0</v>
      </c>
      <c r="BV130">
        <v>9</v>
      </c>
      <c r="BW130">
        <v>1</v>
      </c>
      <c r="BX130">
        <v>1</v>
      </c>
      <c r="BY130">
        <v>0</v>
      </c>
    </row>
    <row r="131" spans="1:77" ht="120" x14ac:dyDescent="0.25">
      <c r="A131" t="s">
        <v>629</v>
      </c>
      <c r="B131" t="s">
        <v>249</v>
      </c>
      <c r="C131" t="s">
        <v>1037</v>
      </c>
      <c r="D131">
        <v>1</v>
      </c>
      <c r="E131">
        <v>14.3551</v>
      </c>
      <c r="F131" s="3">
        <v>220905863</v>
      </c>
      <c r="G131">
        <v>48</v>
      </c>
      <c r="H131">
        <v>2</v>
      </c>
      <c r="I131" s="1">
        <v>44834</v>
      </c>
      <c r="J131" s="2">
        <v>0.25</v>
      </c>
      <c r="K131" s="1">
        <v>44834</v>
      </c>
      <c r="L131" s="1">
        <v>44835</v>
      </c>
      <c r="M131">
        <v>9423453622</v>
      </c>
      <c r="O131">
        <v>3</v>
      </c>
      <c r="P131">
        <v>1</v>
      </c>
      <c r="Q131">
        <v>2</v>
      </c>
      <c r="R131">
        <v>2</v>
      </c>
      <c r="S131">
        <v>2</v>
      </c>
      <c r="T131">
        <v>2</v>
      </c>
      <c r="U131">
        <v>2</v>
      </c>
      <c r="V131">
        <v>2</v>
      </c>
      <c r="W131">
        <v>2</v>
      </c>
      <c r="X131">
        <v>2</v>
      </c>
      <c r="Y131">
        <v>2</v>
      </c>
      <c r="AA131">
        <v>10.6</v>
      </c>
      <c r="AB131">
        <v>32.5</v>
      </c>
      <c r="AC131">
        <v>75.5</v>
      </c>
      <c r="AD131">
        <v>6.22</v>
      </c>
      <c r="AK131">
        <v>494</v>
      </c>
      <c r="AM131" t="s">
        <v>250</v>
      </c>
      <c r="AO131" s="4" t="s">
        <v>251</v>
      </c>
      <c r="AQ131" s="4" t="s">
        <v>252</v>
      </c>
      <c r="AS131">
        <v>9</v>
      </c>
      <c r="AT131">
        <v>4</v>
      </c>
      <c r="AU131">
        <v>1</v>
      </c>
      <c r="AV131">
        <v>3</v>
      </c>
      <c r="AW131">
        <v>5</v>
      </c>
      <c r="AY131">
        <v>1</v>
      </c>
      <c r="AZ131">
        <v>1</v>
      </c>
      <c r="BA131">
        <v>2</v>
      </c>
      <c r="BC131">
        <v>4</v>
      </c>
      <c r="BF131">
        <v>0</v>
      </c>
      <c r="BG131">
        <v>100</v>
      </c>
      <c r="BH131">
        <v>1</v>
      </c>
      <c r="BI131">
        <v>2</v>
      </c>
      <c r="BJ131">
        <v>1</v>
      </c>
      <c r="BK131">
        <v>2</v>
      </c>
      <c r="BL131">
        <v>1</v>
      </c>
      <c r="BM131">
        <v>1</v>
      </c>
      <c r="BN131">
        <v>1</v>
      </c>
      <c r="BO131">
        <v>0</v>
      </c>
      <c r="BP131">
        <v>0</v>
      </c>
      <c r="BQ131">
        <v>0</v>
      </c>
      <c r="BR131">
        <v>0</v>
      </c>
      <c r="BS131">
        <v>0</v>
      </c>
      <c r="BT131">
        <v>0</v>
      </c>
      <c r="BU131">
        <v>0</v>
      </c>
      <c r="BV131">
        <v>9</v>
      </c>
      <c r="BW131">
        <v>1</v>
      </c>
      <c r="BX131">
        <v>1</v>
      </c>
      <c r="BY131">
        <v>0</v>
      </c>
    </row>
    <row r="132" spans="1:77" ht="165" x14ac:dyDescent="0.25">
      <c r="A132" t="s">
        <v>939</v>
      </c>
      <c r="B132" t="s">
        <v>510</v>
      </c>
      <c r="C132" t="s">
        <v>1112</v>
      </c>
      <c r="D132">
        <v>0</v>
      </c>
      <c r="E132">
        <v>22.167100000000001</v>
      </c>
      <c r="F132" s="3">
        <v>240000057703</v>
      </c>
      <c r="G132">
        <v>71</v>
      </c>
      <c r="H132">
        <v>1</v>
      </c>
      <c r="I132" s="1">
        <v>45473</v>
      </c>
      <c r="J132" s="2">
        <v>0.33333333333333331</v>
      </c>
      <c r="M132">
        <v>9850850331</v>
      </c>
      <c r="O132">
        <v>2</v>
      </c>
      <c r="P132">
        <v>2</v>
      </c>
      <c r="Q132">
        <v>2</v>
      </c>
      <c r="R132">
        <v>2</v>
      </c>
      <c r="S132">
        <v>2</v>
      </c>
      <c r="T132">
        <v>1</v>
      </c>
      <c r="U132">
        <v>2</v>
      </c>
      <c r="V132">
        <v>2</v>
      </c>
      <c r="W132">
        <v>2</v>
      </c>
      <c r="X132">
        <v>2</v>
      </c>
      <c r="Y132">
        <v>2</v>
      </c>
      <c r="AO132" s="4" t="s">
        <v>511</v>
      </c>
      <c r="AQ132" s="4" t="s">
        <v>512</v>
      </c>
      <c r="AS132">
        <v>8</v>
      </c>
      <c r="AT132">
        <v>4</v>
      </c>
      <c r="AU132">
        <v>1</v>
      </c>
      <c r="AV132">
        <v>3</v>
      </c>
      <c r="AW132">
        <v>5</v>
      </c>
      <c r="AY132">
        <v>1</v>
      </c>
      <c r="AZ132">
        <v>1</v>
      </c>
      <c r="BA132">
        <v>2</v>
      </c>
      <c r="BD132">
        <v>2</v>
      </c>
      <c r="BE132">
        <v>2</v>
      </c>
      <c r="BF132">
        <v>0</v>
      </c>
      <c r="BG132">
        <v>95</v>
      </c>
      <c r="BH132">
        <v>0</v>
      </c>
      <c r="BI132">
        <v>0</v>
      </c>
      <c r="BJ132">
        <v>0</v>
      </c>
      <c r="BK132">
        <v>0</v>
      </c>
      <c r="BL132">
        <v>0</v>
      </c>
      <c r="BM132">
        <v>0</v>
      </c>
      <c r="BN132">
        <v>0</v>
      </c>
      <c r="BO132">
        <v>0</v>
      </c>
      <c r="BP132">
        <v>2</v>
      </c>
      <c r="BQ132">
        <v>2</v>
      </c>
      <c r="BR132">
        <v>2</v>
      </c>
      <c r="BS132">
        <v>1</v>
      </c>
      <c r="BT132">
        <v>1</v>
      </c>
      <c r="BU132">
        <v>1</v>
      </c>
      <c r="BV132">
        <v>9</v>
      </c>
      <c r="BW132">
        <v>1</v>
      </c>
      <c r="BX132">
        <v>1</v>
      </c>
      <c r="BY132">
        <v>1</v>
      </c>
    </row>
    <row r="133" spans="1:77" ht="90" x14ac:dyDescent="0.25">
      <c r="A133" t="s">
        <v>716</v>
      </c>
      <c r="B133" t="s">
        <v>544</v>
      </c>
      <c r="C133" t="s">
        <v>1122</v>
      </c>
      <c r="D133">
        <v>0</v>
      </c>
      <c r="E133">
        <v>29.717500000000001</v>
      </c>
      <c r="F133" s="3">
        <v>24000057513</v>
      </c>
      <c r="G133">
        <v>24</v>
      </c>
      <c r="H133">
        <v>2</v>
      </c>
      <c r="I133" s="1">
        <v>45475</v>
      </c>
      <c r="J133" s="2">
        <v>6.5972222222222224E-2</v>
      </c>
      <c r="K133" s="1">
        <v>45475</v>
      </c>
      <c r="L133" s="1">
        <v>45480</v>
      </c>
      <c r="M133">
        <v>8855997524</v>
      </c>
      <c r="O133">
        <v>5</v>
      </c>
      <c r="P133">
        <v>1</v>
      </c>
      <c r="Q133">
        <v>2</v>
      </c>
      <c r="R133">
        <v>2</v>
      </c>
      <c r="S133">
        <v>2</v>
      </c>
      <c r="T133">
        <v>2</v>
      </c>
      <c r="U133">
        <v>2</v>
      </c>
      <c r="V133">
        <v>2</v>
      </c>
      <c r="W133">
        <v>2</v>
      </c>
      <c r="X133">
        <v>2</v>
      </c>
      <c r="Y133">
        <v>1</v>
      </c>
      <c r="AA133">
        <v>14.4</v>
      </c>
      <c r="AB133">
        <v>42.6</v>
      </c>
      <c r="AC133">
        <v>89.9</v>
      </c>
      <c r="AD133">
        <v>7.87</v>
      </c>
      <c r="AE133">
        <v>5.2</v>
      </c>
      <c r="AF133">
        <v>207</v>
      </c>
      <c r="AG133">
        <v>126.8</v>
      </c>
      <c r="AH133">
        <v>39</v>
      </c>
      <c r="AI133">
        <v>206</v>
      </c>
      <c r="AJ133">
        <v>41.2</v>
      </c>
      <c r="AK133">
        <v>369</v>
      </c>
      <c r="AO133" s="4" t="s">
        <v>545</v>
      </c>
      <c r="AQ133" s="4" t="s">
        <v>546</v>
      </c>
      <c r="AS133">
        <v>8</v>
      </c>
      <c r="AT133">
        <v>4</v>
      </c>
      <c r="AU133">
        <v>1</v>
      </c>
      <c r="AV133">
        <v>3</v>
      </c>
      <c r="AW133">
        <v>5</v>
      </c>
      <c r="AY133">
        <v>1</v>
      </c>
      <c r="AZ133">
        <v>1</v>
      </c>
      <c r="BA133">
        <v>2</v>
      </c>
      <c r="BD133">
        <v>2</v>
      </c>
      <c r="BE133">
        <v>2</v>
      </c>
      <c r="BF133">
        <v>0</v>
      </c>
      <c r="BG133">
        <v>100</v>
      </c>
      <c r="BH133">
        <v>1</v>
      </c>
      <c r="BI133">
        <v>2</v>
      </c>
      <c r="BJ133">
        <v>2</v>
      </c>
      <c r="BK133">
        <v>2</v>
      </c>
      <c r="BL133">
        <v>1</v>
      </c>
      <c r="BM133">
        <v>0</v>
      </c>
      <c r="BN133">
        <v>1</v>
      </c>
      <c r="BO133">
        <v>0</v>
      </c>
      <c r="BP133">
        <v>0</v>
      </c>
      <c r="BQ133">
        <v>0</v>
      </c>
      <c r="BR133">
        <v>0</v>
      </c>
      <c r="BS133">
        <v>0</v>
      </c>
      <c r="BT133">
        <v>0</v>
      </c>
      <c r="BU133">
        <v>0</v>
      </c>
      <c r="BV133">
        <v>9</v>
      </c>
      <c r="BW133">
        <v>1</v>
      </c>
      <c r="BX133">
        <v>1</v>
      </c>
      <c r="BY133">
        <v>0</v>
      </c>
    </row>
    <row r="134" spans="1:77" ht="90" x14ac:dyDescent="0.25">
      <c r="A134" t="s">
        <v>634</v>
      </c>
      <c r="B134" t="s">
        <v>24</v>
      </c>
      <c r="C134" t="s">
        <v>973</v>
      </c>
      <c r="D134">
        <v>1</v>
      </c>
      <c r="E134">
        <v>31.741900000000001</v>
      </c>
      <c r="F134" s="3">
        <v>230903211</v>
      </c>
      <c r="G134">
        <v>57</v>
      </c>
      <c r="H134">
        <v>1</v>
      </c>
      <c r="I134" s="1">
        <v>45189</v>
      </c>
      <c r="J134" s="2">
        <v>0.41666666666666669</v>
      </c>
      <c r="K134" s="1">
        <v>45189</v>
      </c>
      <c r="L134" s="1">
        <v>45198</v>
      </c>
      <c r="O134">
        <v>1</v>
      </c>
      <c r="P134">
        <v>1</v>
      </c>
      <c r="Q134">
        <v>1</v>
      </c>
      <c r="R134">
        <v>2</v>
      </c>
      <c r="S134">
        <v>2</v>
      </c>
      <c r="T134">
        <v>2</v>
      </c>
      <c r="U134">
        <v>2</v>
      </c>
      <c r="V134">
        <v>2</v>
      </c>
      <c r="W134">
        <v>2</v>
      </c>
      <c r="X134">
        <v>2</v>
      </c>
      <c r="Y134">
        <v>2</v>
      </c>
      <c r="Z134" t="s">
        <v>25</v>
      </c>
      <c r="AA134">
        <v>12.3</v>
      </c>
      <c r="AD134">
        <v>77.17</v>
      </c>
      <c r="AE134">
        <v>8.6</v>
      </c>
      <c r="AF134">
        <v>180</v>
      </c>
      <c r="AG134">
        <v>64.8</v>
      </c>
      <c r="AH134">
        <v>25</v>
      </c>
      <c r="AI134">
        <v>451</v>
      </c>
      <c r="AJ134">
        <v>90.2</v>
      </c>
      <c r="AK134">
        <v>148</v>
      </c>
      <c r="AO134" s="4" t="s">
        <v>26</v>
      </c>
      <c r="AQ134" s="4" t="s">
        <v>27</v>
      </c>
      <c r="AS134">
        <v>10</v>
      </c>
      <c r="AT134">
        <v>4</v>
      </c>
      <c r="AU134">
        <v>1</v>
      </c>
      <c r="AV134">
        <v>3</v>
      </c>
      <c r="AW134">
        <v>5</v>
      </c>
      <c r="AY134">
        <v>1</v>
      </c>
      <c r="AZ134">
        <v>1</v>
      </c>
      <c r="BA134">
        <v>2</v>
      </c>
      <c r="BC134">
        <v>4</v>
      </c>
      <c r="BF134">
        <v>0</v>
      </c>
      <c r="BG134">
        <v>100</v>
      </c>
      <c r="BH134">
        <v>0</v>
      </c>
      <c r="BI134">
        <v>0</v>
      </c>
      <c r="BJ134">
        <v>0</v>
      </c>
      <c r="BK134">
        <v>0</v>
      </c>
      <c r="BL134">
        <v>0</v>
      </c>
      <c r="BM134">
        <v>0</v>
      </c>
      <c r="BN134">
        <v>0</v>
      </c>
      <c r="BO134">
        <v>1</v>
      </c>
      <c r="BP134">
        <v>2</v>
      </c>
      <c r="BQ134">
        <v>1</v>
      </c>
      <c r="BR134">
        <v>2</v>
      </c>
      <c r="BS134">
        <v>1</v>
      </c>
      <c r="BT134">
        <v>1</v>
      </c>
      <c r="BU134">
        <v>1</v>
      </c>
      <c r="BV134">
        <v>9</v>
      </c>
      <c r="BW134">
        <v>1</v>
      </c>
      <c r="BX134">
        <v>1</v>
      </c>
      <c r="BY134" t="s">
        <v>974</v>
      </c>
    </row>
    <row r="135" spans="1:77" ht="210" x14ac:dyDescent="0.25">
      <c r="A135" t="s">
        <v>636</v>
      </c>
      <c r="B135" t="s">
        <v>107</v>
      </c>
      <c r="C135" t="s">
        <v>107</v>
      </c>
      <c r="D135">
        <v>1</v>
      </c>
      <c r="E135">
        <v>35.994199999999999</v>
      </c>
      <c r="F135" s="3">
        <v>230102485</v>
      </c>
      <c r="G135">
        <v>47</v>
      </c>
      <c r="H135">
        <v>1</v>
      </c>
      <c r="I135" s="1">
        <v>44939</v>
      </c>
      <c r="J135" s="2">
        <v>0.39583333333333331</v>
      </c>
      <c r="K135" s="1">
        <v>44939</v>
      </c>
      <c r="L135" s="1">
        <v>44943</v>
      </c>
      <c r="M135">
        <v>8208708327</v>
      </c>
      <c r="O135">
        <v>6</v>
      </c>
      <c r="Z135" t="s">
        <v>108</v>
      </c>
      <c r="AA135">
        <v>17.100000000000001</v>
      </c>
      <c r="AB135">
        <v>50</v>
      </c>
      <c r="AD135">
        <v>81</v>
      </c>
      <c r="AE135">
        <v>8.1999999999999993</v>
      </c>
      <c r="AK135">
        <v>195</v>
      </c>
      <c r="AO135" s="4" t="s">
        <v>109</v>
      </c>
      <c r="AQ135" s="4" t="s">
        <v>110</v>
      </c>
      <c r="AS135">
        <v>8</v>
      </c>
      <c r="AT135">
        <v>4</v>
      </c>
      <c r="AU135">
        <v>1</v>
      </c>
      <c r="AV135">
        <v>3</v>
      </c>
      <c r="AW135">
        <v>5</v>
      </c>
      <c r="AY135">
        <v>1</v>
      </c>
      <c r="AZ135">
        <v>2</v>
      </c>
      <c r="BA135">
        <v>1</v>
      </c>
      <c r="BB135">
        <v>1</v>
      </c>
      <c r="BC135">
        <v>1</v>
      </c>
      <c r="BF135">
        <v>0</v>
      </c>
      <c r="BG135">
        <v>100</v>
      </c>
      <c r="BH135">
        <v>0</v>
      </c>
      <c r="BI135">
        <v>0</v>
      </c>
      <c r="BJ135">
        <v>0</v>
      </c>
      <c r="BK135">
        <v>0</v>
      </c>
      <c r="BL135">
        <v>0</v>
      </c>
      <c r="BM135">
        <v>0</v>
      </c>
      <c r="BN135">
        <v>0</v>
      </c>
      <c r="BO135">
        <v>0</v>
      </c>
      <c r="BP135">
        <v>2</v>
      </c>
      <c r="BQ135">
        <v>2</v>
      </c>
      <c r="BR135">
        <v>2</v>
      </c>
      <c r="BS135">
        <v>1</v>
      </c>
      <c r="BT135">
        <v>1</v>
      </c>
      <c r="BU135">
        <v>1</v>
      </c>
      <c r="BV135">
        <v>9</v>
      </c>
      <c r="BW135">
        <v>0</v>
      </c>
      <c r="BX135">
        <v>1</v>
      </c>
      <c r="BY135">
        <v>0</v>
      </c>
    </row>
    <row r="136" spans="1:77" ht="210" x14ac:dyDescent="0.25">
      <c r="A136" t="s">
        <v>644</v>
      </c>
      <c r="B136" t="s">
        <v>380</v>
      </c>
      <c r="C136" t="s">
        <v>1075</v>
      </c>
      <c r="D136">
        <v>1</v>
      </c>
      <c r="E136">
        <v>197.363</v>
      </c>
      <c r="F136" s="3">
        <v>240000028724</v>
      </c>
      <c r="G136">
        <v>38</v>
      </c>
      <c r="H136">
        <v>1</v>
      </c>
      <c r="I136" s="1">
        <v>45375</v>
      </c>
      <c r="J136" s="2">
        <v>0.27083333333333331</v>
      </c>
      <c r="K136" s="1">
        <v>45375</v>
      </c>
      <c r="L136" s="1">
        <v>45384</v>
      </c>
      <c r="M136">
        <v>9850178326</v>
      </c>
      <c r="N136">
        <v>9763879893</v>
      </c>
      <c r="O136">
        <v>16</v>
      </c>
      <c r="P136">
        <v>2</v>
      </c>
      <c r="Q136">
        <v>1</v>
      </c>
      <c r="R136">
        <v>2</v>
      </c>
      <c r="S136">
        <v>2</v>
      </c>
      <c r="T136">
        <v>2</v>
      </c>
      <c r="U136">
        <v>2</v>
      </c>
      <c r="V136">
        <v>2</v>
      </c>
      <c r="W136">
        <v>1</v>
      </c>
      <c r="X136">
        <v>2</v>
      </c>
      <c r="Y136">
        <v>2</v>
      </c>
      <c r="AA136">
        <v>12.7</v>
      </c>
      <c r="AB136">
        <v>40.4</v>
      </c>
      <c r="AC136">
        <v>72.900000000000006</v>
      </c>
      <c r="AD136">
        <v>10.33</v>
      </c>
      <c r="AE136">
        <v>12.7</v>
      </c>
      <c r="AF136">
        <v>159</v>
      </c>
      <c r="AG136">
        <v>106.4</v>
      </c>
      <c r="AH136">
        <v>34</v>
      </c>
      <c r="AI136">
        <v>93</v>
      </c>
      <c r="AJ136">
        <v>18.600000000000001</v>
      </c>
      <c r="AK136">
        <v>248</v>
      </c>
      <c r="AM136" t="s">
        <v>381</v>
      </c>
      <c r="AO136" s="4" t="s">
        <v>382</v>
      </c>
      <c r="AQ136" s="4" t="s">
        <v>383</v>
      </c>
      <c r="AS136">
        <v>5</v>
      </c>
      <c r="AT136">
        <v>4</v>
      </c>
      <c r="AU136">
        <v>1</v>
      </c>
      <c r="AV136">
        <v>3</v>
      </c>
      <c r="AW136">
        <v>5</v>
      </c>
      <c r="AY136">
        <v>1</v>
      </c>
      <c r="AZ136">
        <v>2</v>
      </c>
      <c r="BA136">
        <v>2</v>
      </c>
      <c r="BD136">
        <v>2</v>
      </c>
      <c r="BE136">
        <v>1</v>
      </c>
      <c r="BF136">
        <v>1</v>
      </c>
      <c r="BG136">
        <v>80</v>
      </c>
      <c r="BH136">
        <v>1</v>
      </c>
      <c r="BI136">
        <v>2</v>
      </c>
      <c r="BJ136">
        <v>2</v>
      </c>
      <c r="BK136">
        <v>1</v>
      </c>
      <c r="BL136">
        <v>1</v>
      </c>
      <c r="BM136">
        <v>1</v>
      </c>
      <c r="BN136">
        <v>1</v>
      </c>
      <c r="BO136">
        <v>0</v>
      </c>
      <c r="BP136">
        <v>0</v>
      </c>
      <c r="BQ136">
        <v>0</v>
      </c>
      <c r="BR136">
        <v>0</v>
      </c>
      <c r="BS136">
        <v>0</v>
      </c>
      <c r="BT136">
        <v>0</v>
      </c>
      <c r="BU136">
        <v>0</v>
      </c>
      <c r="BV136">
        <v>9</v>
      </c>
      <c r="BW136">
        <v>1</v>
      </c>
      <c r="BX136">
        <v>1</v>
      </c>
      <c r="BY136">
        <v>0</v>
      </c>
    </row>
    <row r="137" spans="1:77" ht="60" x14ac:dyDescent="0.25">
      <c r="A137" s="8" t="s">
        <v>706</v>
      </c>
      <c r="B137" s="8" t="s">
        <v>508</v>
      </c>
      <c r="C137" s="8" t="s">
        <v>1111</v>
      </c>
      <c r="D137" s="8">
        <v>0</v>
      </c>
      <c r="E137" s="8">
        <v>1.9953700000000001</v>
      </c>
      <c r="F137" s="9">
        <v>240000053220</v>
      </c>
      <c r="G137" s="8">
        <v>56</v>
      </c>
      <c r="H137" s="8">
        <v>1</v>
      </c>
      <c r="I137" s="10">
        <v>45460</v>
      </c>
      <c r="J137" s="11">
        <v>0.95833333333333337</v>
      </c>
      <c r="K137" s="10">
        <v>45461</v>
      </c>
      <c r="L137" s="10">
        <v>45463</v>
      </c>
      <c r="M137" s="8">
        <v>9761165416</v>
      </c>
      <c r="N137" s="8">
        <v>9096808286</v>
      </c>
      <c r="O137" s="8">
        <v>3</v>
      </c>
      <c r="P137" s="8">
        <v>1</v>
      </c>
      <c r="Q137" s="8">
        <v>2</v>
      </c>
      <c r="R137" s="8">
        <v>2</v>
      </c>
      <c r="S137" s="8">
        <v>1</v>
      </c>
      <c r="T137" s="8">
        <v>2</v>
      </c>
      <c r="U137" s="8">
        <v>2</v>
      </c>
      <c r="V137" s="8">
        <v>2</v>
      </c>
      <c r="W137" s="8">
        <v>2</v>
      </c>
      <c r="X137" s="8">
        <v>2</v>
      </c>
      <c r="Y137" s="8">
        <v>2</v>
      </c>
      <c r="Z137" s="8"/>
      <c r="AA137" s="8">
        <v>15.3</v>
      </c>
      <c r="AB137" s="8">
        <v>44.5</v>
      </c>
      <c r="AC137" s="8">
        <v>10.220000000000001</v>
      </c>
      <c r="AD137" s="8">
        <v>10.4</v>
      </c>
      <c r="AE137" s="8">
        <v>6.9</v>
      </c>
      <c r="AF137" s="8">
        <v>162</v>
      </c>
      <c r="AG137" s="8">
        <v>92</v>
      </c>
      <c r="AH137" s="8">
        <v>29</v>
      </c>
      <c r="AI137" s="8">
        <v>205</v>
      </c>
      <c r="AJ137" s="8">
        <v>41</v>
      </c>
      <c r="AK137" s="8">
        <v>150</v>
      </c>
      <c r="AL137" s="8"/>
      <c r="AM137" s="8"/>
      <c r="AN137" s="8"/>
      <c r="AO137" s="12" t="s">
        <v>341</v>
      </c>
      <c r="AP137" s="8"/>
      <c r="AQ137" s="12"/>
      <c r="AR137" s="8"/>
      <c r="AS137" s="8">
        <v>9</v>
      </c>
      <c r="AT137" s="8">
        <v>4</v>
      </c>
      <c r="AU137" s="8">
        <v>1</v>
      </c>
      <c r="AV137" s="8">
        <v>3</v>
      </c>
      <c r="AW137" s="8">
        <v>5</v>
      </c>
      <c r="AX137" s="8"/>
      <c r="AY137" s="8">
        <v>1</v>
      </c>
      <c r="AZ137" s="8">
        <v>1</v>
      </c>
      <c r="BA137" s="8">
        <v>2</v>
      </c>
      <c r="BB137" s="8"/>
      <c r="BC137" s="8"/>
      <c r="BD137" s="8">
        <v>2</v>
      </c>
      <c r="BE137" s="8">
        <v>2</v>
      </c>
      <c r="BF137" s="8">
        <v>0</v>
      </c>
      <c r="BG137" s="8">
        <v>100</v>
      </c>
      <c r="BH137" s="8">
        <v>1</v>
      </c>
      <c r="BI137" s="8">
        <v>2</v>
      </c>
      <c r="BJ137" s="8">
        <v>2</v>
      </c>
      <c r="BK137" s="8">
        <v>2</v>
      </c>
      <c r="BL137" s="8">
        <v>1</v>
      </c>
      <c r="BM137" s="8">
        <v>1</v>
      </c>
      <c r="BN137" s="8">
        <v>1</v>
      </c>
      <c r="BO137" s="8"/>
      <c r="BP137" s="8"/>
      <c r="BQ137" s="8"/>
      <c r="BR137" s="8"/>
      <c r="BS137" s="8"/>
      <c r="BT137" s="8"/>
      <c r="BU137" s="8"/>
      <c r="BV137" s="8">
        <v>10</v>
      </c>
      <c r="BW137" s="8">
        <v>1</v>
      </c>
      <c r="BX137" s="8">
        <v>1</v>
      </c>
      <c r="BY137" s="8">
        <v>1</v>
      </c>
    </row>
    <row r="138" spans="1:77" ht="60" x14ac:dyDescent="0.25">
      <c r="A138" t="s">
        <v>937</v>
      </c>
      <c r="B138" t="s">
        <v>422</v>
      </c>
      <c r="C138" t="s">
        <v>422</v>
      </c>
      <c r="D138">
        <v>0</v>
      </c>
      <c r="E138">
        <v>2.6249799999999999</v>
      </c>
      <c r="F138" s="3">
        <v>240000035109</v>
      </c>
      <c r="G138">
        <v>70</v>
      </c>
      <c r="H138">
        <v>1</v>
      </c>
      <c r="I138" s="1">
        <v>45397</v>
      </c>
      <c r="J138" s="2">
        <v>0.82291666666666663</v>
      </c>
      <c r="K138" s="1">
        <v>45397</v>
      </c>
      <c r="L138" s="1">
        <v>45400</v>
      </c>
      <c r="M138">
        <v>9657874271</v>
      </c>
      <c r="O138">
        <v>5</v>
      </c>
      <c r="P138">
        <v>1</v>
      </c>
      <c r="Q138">
        <v>2</v>
      </c>
      <c r="R138">
        <v>2</v>
      </c>
      <c r="S138">
        <v>2</v>
      </c>
      <c r="T138">
        <v>2</v>
      </c>
      <c r="U138">
        <v>2</v>
      </c>
      <c r="V138">
        <v>2</v>
      </c>
      <c r="W138">
        <v>2</v>
      </c>
      <c r="X138">
        <v>2</v>
      </c>
      <c r="Y138">
        <v>2</v>
      </c>
      <c r="AA138">
        <v>14.1</v>
      </c>
      <c r="AB138">
        <v>43.8</v>
      </c>
      <c r="AC138">
        <v>86.8</v>
      </c>
      <c r="AD138">
        <v>12.35</v>
      </c>
      <c r="AE138">
        <v>6.1</v>
      </c>
      <c r="AF138">
        <v>185</v>
      </c>
      <c r="AG138">
        <v>122.2</v>
      </c>
      <c r="AH138">
        <v>30</v>
      </c>
      <c r="AI138">
        <v>119</v>
      </c>
      <c r="AJ138">
        <v>23.8</v>
      </c>
      <c r="AK138">
        <v>448</v>
      </c>
      <c r="AO138" s="4" t="s">
        <v>423</v>
      </c>
      <c r="AQ138" s="4"/>
      <c r="AS138">
        <v>9</v>
      </c>
      <c r="AT138">
        <v>4</v>
      </c>
      <c r="AU138">
        <v>1</v>
      </c>
      <c r="AV138">
        <v>3</v>
      </c>
      <c r="AW138">
        <v>5</v>
      </c>
      <c r="AY138">
        <v>1</v>
      </c>
      <c r="AZ138">
        <v>2</v>
      </c>
      <c r="BA138">
        <v>2</v>
      </c>
      <c r="BC138">
        <v>3</v>
      </c>
      <c r="BD138">
        <v>2</v>
      </c>
      <c r="BE138">
        <v>2</v>
      </c>
      <c r="BF138">
        <v>1</v>
      </c>
      <c r="BG138">
        <v>100</v>
      </c>
      <c r="BH138">
        <v>1</v>
      </c>
      <c r="BI138">
        <v>2</v>
      </c>
      <c r="BJ138">
        <v>2</v>
      </c>
      <c r="BK138">
        <v>2</v>
      </c>
      <c r="BL138">
        <v>1</v>
      </c>
      <c r="BM138">
        <v>1</v>
      </c>
      <c r="BN138">
        <v>1</v>
      </c>
      <c r="BO138">
        <v>0</v>
      </c>
      <c r="BP138">
        <v>0</v>
      </c>
      <c r="BQ138">
        <v>0</v>
      </c>
      <c r="BR138">
        <v>0</v>
      </c>
      <c r="BS138">
        <v>0</v>
      </c>
      <c r="BT138">
        <v>0</v>
      </c>
      <c r="BU138">
        <v>0</v>
      </c>
      <c r="BV138">
        <v>10</v>
      </c>
      <c r="BW138">
        <v>1</v>
      </c>
      <c r="BX138">
        <v>1</v>
      </c>
      <c r="BY138">
        <v>0</v>
      </c>
    </row>
    <row r="139" spans="1:77" ht="150" x14ac:dyDescent="0.25">
      <c r="A139" t="s">
        <v>577</v>
      </c>
      <c r="B139" t="s">
        <v>394</v>
      </c>
      <c r="C139" t="s">
        <v>1078</v>
      </c>
      <c r="D139">
        <v>1</v>
      </c>
      <c r="E139">
        <v>8.9549599999999998</v>
      </c>
      <c r="F139" s="3">
        <v>24000025576</v>
      </c>
      <c r="G139">
        <v>26</v>
      </c>
      <c r="H139">
        <v>2</v>
      </c>
      <c r="I139" s="1">
        <v>45365</v>
      </c>
      <c r="J139" s="2">
        <v>0.54166666666666663</v>
      </c>
      <c r="K139" s="1">
        <v>45365</v>
      </c>
      <c r="L139" s="1">
        <v>45370</v>
      </c>
      <c r="M139">
        <v>9922687786</v>
      </c>
      <c r="N139">
        <v>8888668595</v>
      </c>
      <c r="O139">
        <v>11</v>
      </c>
      <c r="P139">
        <v>2</v>
      </c>
      <c r="Q139">
        <v>2</v>
      </c>
      <c r="R139">
        <v>2</v>
      </c>
      <c r="S139">
        <v>2</v>
      </c>
      <c r="T139">
        <v>2</v>
      </c>
      <c r="U139">
        <v>2</v>
      </c>
      <c r="V139">
        <v>2</v>
      </c>
      <c r="W139">
        <v>2</v>
      </c>
      <c r="X139">
        <v>2</v>
      </c>
      <c r="Y139">
        <v>2</v>
      </c>
      <c r="Z139" t="s">
        <v>23</v>
      </c>
      <c r="AA139">
        <v>8.8000000000000007</v>
      </c>
      <c r="AB139">
        <v>29.3</v>
      </c>
      <c r="AC139">
        <v>67.8</v>
      </c>
      <c r="AD139">
        <v>5.0599999999999996</v>
      </c>
      <c r="AE139">
        <v>5.2</v>
      </c>
      <c r="AF139">
        <v>174</v>
      </c>
      <c r="AG139">
        <v>124.2</v>
      </c>
      <c r="AH139">
        <v>28</v>
      </c>
      <c r="AI139">
        <v>109</v>
      </c>
      <c r="AJ139">
        <v>21.8</v>
      </c>
      <c r="AK139">
        <v>731</v>
      </c>
      <c r="AM139" t="s">
        <v>395</v>
      </c>
      <c r="AO139" s="4" t="s">
        <v>396</v>
      </c>
      <c r="AQ139" s="4" t="s">
        <v>397</v>
      </c>
      <c r="AS139">
        <v>10</v>
      </c>
      <c r="AT139">
        <v>5</v>
      </c>
      <c r="AU139">
        <v>1</v>
      </c>
      <c r="AV139">
        <v>3</v>
      </c>
      <c r="AW139">
        <v>5</v>
      </c>
      <c r="AY139">
        <v>1</v>
      </c>
      <c r="AZ139">
        <v>1</v>
      </c>
      <c r="BA139">
        <v>1</v>
      </c>
      <c r="BC139">
        <v>4</v>
      </c>
      <c r="BE139">
        <v>2</v>
      </c>
      <c r="BF139">
        <v>0</v>
      </c>
      <c r="BG139">
        <v>100</v>
      </c>
      <c r="BH139">
        <v>0</v>
      </c>
      <c r="BI139">
        <v>0</v>
      </c>
      <c r="BJ139">
        <v>0</v>
      </c>
      <c r="BK139">
        <v>0</v>
      </c>
      <c r="BL139">
        <v>0</v>
      </c>
      <c r="BM139">
        <v>0</v>
      </c>
      <c r="BN139">
        <v>0</v>
      </c>
      <c r="BO139">
        <v>1</v>
      </c>
      <c r="BP139">
        <v>2</v>
      </c>
      <c r="BQ139">
        <v>0</v>
      </c>
      <c r="BR139">
        <v>0</v>
      </c>
      <c r="BS139">
        <v>0</v>
      </c>
      <c r="BT139">
        <v>0</v>
      </c>
      <c r="BU139">
        <v>1</v>
      </c>
      <c r="BV139">
        <v>4</v>
      </c>
      <c r="BW139">
        <v>0</v>
      </c>
      <c r="BX139">
        <v>1</v>
      </c>
      <c r="BY139" t="s">
        <v>1079</v>
      </c>
    </row>
    <row r="140" spans="1:77" ht="409.5" x14ac:dyDescent="0.25">
      <c r="A140" t="s">
        <v>591</v>
      </c>
      <c r="B140" t="s">
        <v>363</v>
      </c>
      <c r="C140" t="s">
        <v>1070</v>
      </c>
      <c r="D140">
        <v>1</v>
      </c>
      <c r="E140">
        <v>0.49941200000000002</v>
      </c>
      <c r="F140" s="3">
        <v>240005281</v>
      </c>
      <c r="G140">
        <v>80</v>
      </c>
      <c r="H140">
        <v>1</v>
      </c>
      <c r="I140" s="1">
        <v>45323</v>
      </c>
      <c r="J140" s="2">
        <v>0.20833333333333334</v>
      </c>
      <c r="K140" s="1">
        <v>45327</v>
      </c>
      <c r="M140">
        <v>8888837024</v>
      </c>
      <c r="P140">
        <v>1</v>
      </c>
      <c r="Q140">
        <v>1</v>
      </c>
      <c r="R140">
        <v>2</v>
      </c>
      <c r="S140">
        <v>2</v>
      </c>
      <c r="T140">
        <v>2</v>
      </c>
      <c r="U140">
        <v>2</v>
      </c>
      <c r="V140">
        <v>2</v>
      </c>
      <c r="W140">
        <v>2</v>
      </c>
      <c r="X140">
        <v>2</v>
      </c>
      <c r="Y140">
        <v>2</v>
      </c>
      <c r="AA140">
        <v>13</v>
      </c>
      <c r="AB140">
        <v>38.799999999999997</v>
      </c>
      <c r="AC140">
        <v>83</v>
      </c>
      <c r="AD140">
        <v>27</v>
      </c>
      <c r="AE140">
        <v>11.1</v>
      </c>
      <c r="AF140">
        <v>276</v>
      </c>
      <c r="AG140">
        <v>168.4</v>
      </c>
      <c r="AH140">
        <v>43</v>
      </c>
      <c r="AI140">
        <v>323</v>
      </c>
      <c r="AJ140">
        <v>64.599999999999994</v>
      </c>
      <c r="AK140">
        <v>305</v>
      </c>
      <c r="AL140">
        <v>138</v>
      </c>
      <c r="AO140" s="4" t="s">
        <v>364</v>
      </c>
      <c r="AQ140" s="4" t="s">
        <v>365</v>
      </c>
      <c r="AS140">
        <v>10</v>
      </c>
      <c r="AT140">
        <v>5</v>
      </c>
      <c r="AU140">
        <v>1</v>
      </c>
      <c r="AV140">
        <v>3</v>
      </c>
      <c r="AW140">
        <v>5</v>
      </c>
      <c r="AY140">
        <v>2</v>
      </c>
      <c r="AZ140">
        <v>2</v>
      </c>
      <c r="BA140">
        <v>2</v>
      </c>
      <c r="BD140">
        <v>2</v>
      </c>
      <c r="BE140">
        <v>2</v>
      </c>
      <c r="BF140">
        <v>2</v>
      </c>
      <c r="BG140">
        <v>65</v>
      </c>
      <c r="BH140">
        <v>0</v>
      </c>
      <c r="BI140">
        <v>0</v>
      </c>
      <c r="BJ140">
        <v>0</v>
      </c>
      <c r="BK140">
        <v>0</v>
      </c>
      <c r="BL140">
        <v>0</v>
      </c>
      <c r="BM140">
        <v>0</v>
      </c>
      <c r="BN140">
        <v>0</v>
      </c>
      <c r="BO140">
        <v>0</v>
      </c>
      <c r="BP140">
        <v>1</v>
      </c>
      <c r="BQ140">
        <v>2</v>
      </c>
      <c r="BR140">
        <v>2</v>
      </c>
      <c r="BS140">
        <v>1</v>
      </c>
      <c r="BT140">
        <v>1</v>
      </c>
      <c r="BU140">
        <v>1</v>
      </c>
      <c r="BV140">
        <v>8</v>
      </c>
      <c r="BW140">
        <v>0</v>
      </c>
      <c r="BX140">
        <v>0</v>
      </c>
      <c r="BY140">
        <v>0</v>
      </c>
    </row>
    <row r="141" spans="1:77" ht="409.5" x14ac:dyDescent="0.25">
      <c r="A141" t="s">
        <v>590</v>
      </c>
      <c r="B141" t="s">
        <v>275</v>
      </c>
      <c r="C141" t="s">
        <v>1045</v>
      </c>
      <c r="D141">
        <v>1</v>
      </c>
      <c r="E141">
        <v>12.7326</v>
      </c>
      <c r="F141" s="3">
        <v>230009334</v>
      </c>
      <c r="G141">
        <v>70</v>
      </c>
      <c r="H141">
        <v>1</v>
      </c>
      <c r="I141" s="1">
        <v>45258</v>
      </c>
      <c r="J141" s="2">
        <v>0.21875</v>
      </c>
      <c r="K141" s="1">
        <v>45258</v>
      </c>
      <c r="L141" s="1">
        <v>45262</v>
      </c>
      <c r="M141">
        <v>9823290374</v>
      </c>
      <c r="N141">
        <v>9860937660</v>
      </c>
      <c r="O141">
        <v>4</v>
      </c>
      <c r="P141">
        <v>1</v>
      </c>
      <c r="Q141">
        <v>1</v>
      </c>
      <c r="R141">
        <v>2</v>
      </c>
      <c r="S141">
        <v>2</v>
      </c>
      <c r="T141">
        <v>2</v>
      </c>
      <c r="U141">
        <v>2</v>
      </c>
      <c r="V141">
        <v>2</v>
      </c>
      <c r="W141">
        <v>2</v>
      </c>
      <c r="X141">
        <v>2</v>
      </c>
      <c r="Y141">
        <v>2</v>
      </c>
      <c r="AA141">
        <v>13.5</v>
      </c>
      <c r="AB141">
        <v>40.6</v>
      </c>
      <c r="AD141">
        <v>18.600000000000001</v>
      </c>
      <c r="AE141">
        <v>6.3</v>
      </c>
      <c r="AK141">
        <v>162</v>
      </c>
      <c r="AO141" s="4" t="s">
        <v>276</v>
      </c>
      <c r="AQ141" s="4" t="s">
        <v>277</v>
      </c>
      <c r="AS141">
        <v>10</v>
      </c>
      <c r="AT141">
        <v>5</v>
      </c>
      <c r="AU141">
        <v>1</v>
      </c>
      <c r="AV141">
        <v>3</v>
      </c>
      <c r="AW141">
        <v>5</v>
      </c>
      <c r="AY141">
        <v>2</v>
      </c>
      <c r="AZ141">
        <v>2</v>
      </c>
      <c r="BA141">
        <v>1</v>
      </c>
      <c r="BB141">
        <v>1</v>
      </c>
      <c r="BD141">
        <v>2</v>
      </c>
      <c r="BE141">
        <v>2</v>
      </c>
      <c r="BF141">
        <v>6</v>
      </c>
      <c r="BG141">
        <v>0</v>
      </c>
      <c r="BH141">
        <v>0</v>
      </c>
      <c r="BI141">
        <v>0</v>
      </c>
      <c r="BJ141">
        <v>0</v>
      </c>
      <c r="BK141">
        <v>0</v>
      </c>
      <c r="BL141">
        <v>0</v>
      </c>
      <c r="BM141">
        <v>0</v>
      </c>
      <c r="BN141">
        <v>0</v>
      </c>
      <c r="BO141">
        <v>0</v>
      </c>
      <c r="BP141">
        <v>1</v>
      </c>
      <c r="BQ141">
        <v>2</v>
      </c>
      <c r="BR141">
        <v>2</v>
      </c>
      <c r="BS141">
        <v>1</v>
      </c>
      <c r="BT141">
        <v>1</v>
      </c>
      <c r="BU141">
        <v>1</v>
      </c>
      <c r="BV141">
        <v>8</v>
      </c>
      <c r="BW141">
        <v>0</v>
      </c>
      <c r="BX141">
        <v>0</v>
      </c>
      <c r="BY141" t="s">
        <v>1046</v>
      </c>
    </row>
    <row r="142" spans="1:77" ht="240" x14ac:dyDescent="0.25">
      <c r="A142" t="s">
        <v>621</v>
      </c>
      <c r="B142" t="s">
        <v>403</v>
      </c>
      <c r="C142" t="s">
        <v>1081</v>
      </c>
      <c r="D142">
        <v>0</v>
      </c>
      <c r="E142" t="s">
        <v>979</v>
      </c>
      <c r="F142" s="3">
        <v>240000032930</v>
      </c>
      <c r="G142">
        <v>75</v>
      </c>
      <c r="H142">
        <v>1</v>
      </c>
      <c r="I142" s="1">
        <v>45388</v>
      </c>
      <c r="J142" s="2">
        <v>8.3333333333333329E-2</v>
      </c>
      <c r="K142" s="1">
        <v>45392</v>
      </c>
      <c r="L142" s="1">
        <v>45393</v>
      </c>
      <c r="M142">
        <v>9765965928</v>
      </c>
      <c r="O142">
        <v>2</v>
      </c>
      <c r="P142">
        <v>1</v>
      </c>
      <c r="Q142">
        <v>1</v>
      </c>
      <c r="R142">
        <v>2</v>
      </c>
      <c r="S142">
        <v>2</v>
      </c>
      <c r="T142">
        <v>2</v>
      </c>
      <c r="U142">
        <v>2</v>
      </c>
      <c r="V142">
        <v>2</v>
      </c>
      <c r="W142">
        <v>2</v>
      </c>
      <c r="X142">
        <v>2</v>
      </c>
      <c r="Y142">
        <v>2</v>
      </c>
      <c r="AA142">
        <v>11.2</v>
      </c>
      <c r="AB142">
        <v>36.9</v>
      </c>
      <c r="AC142">
        <v>67.7</v>
      </c>
      <c r="AD142">
        <v>28</v>
      </c>
      <c r="AE142">
        <v>10.7</v>
      </c>
      <c r="AF142">
        <v>152</v>
      </c>
      <c r="AG142">
        <v>98.8</v>
      </c>
      <c r="AH142">
        <v>31</v>
      </c>
      <c r="AI142">
        <v>111</v>
      </c>
      <c r="AJ142">
        <v>21.2</v>
      </c>
      <c r="AK142">
        <v>345</v>
      </c>
      <c r="AO142" s="4" t="s">
        <v>404</v>
      </c>
      <c r="AQ142" s="4" t="s">
        <v>405</v>
      </c>
      <c r="AS142">
        <v>9</v>
      </c>
      <c r="AT142">
        <v>5</v>
      </c>
      <c r="AU142">
        <v>1</v>
      </c>
      <c r="AV142">
        <v>3</v>
      </c>
      <c r="AW142">
        <v>5</v>
      </c>
      <c r="AY142">
        <v>1</v>
      </c>
      <c r="BA142">
        <v>2</v>
      </c>
      <c r="BC142">
        <v>3</v>
      </c>
      <c r="BD142">
        <v>2</v>
      </c>
      <c r="BE142">
        <v>2</v>
      </c>
      <c r="BF142">
        <v>0</v>
      </c>
      <c r="BG142">
        <v>95</v>
      </c>
      <c r="BH142">
        <v>1</v>
      </c>
      <c r="BI142">
        <v>1</v>
      </c>
      <c r="BJ142">
        <v>2</v>
      </c>
      <c r="BK142">
        <v>2</v>
      </c>
      <c r="BL142">
        <v>1</v>
      </c>
      <c r="BM142">
        <v>1</v>
      </c>
      <c r="BN142">
        <v>1</v>
      </c>
      <c r="BO142">
        <v>0</v>
      </c>
      <c r="BP142">
        <v>0</v>
      </c>
      <c r="BQ142">
        <v>0</v>
      </c>
      <c r="BR142">
        <v>0</v>
      </c>
      <c r="BS142">
        <v>0</v>
      </c>
      <c r="BT142">
        <v>0</v>
      </c>
      <c r="BU142">
        <v>0</v>
      </c>
      <c r="BV142">
        <v>9</v>
      </c>
      <c r="BW142">
        <v>1</v>
      </c>
      <c r="BX142">
        <v>1</v>
      </c>
      <c r="BY142" t="s">
        <v>1040</v>
      </c>
    </row>
    <row r="143" spans="1:77" ht="120" x14ac:dyDescent="0.25">
      <c r="A143" s="8" t="s">
        <v>704</v>
      </c>
      <c r="B143" s="8" t="s">
        <v>449</v>
      </c>
      <c r="C143" s="8" t="s">
        <v>1093</v>
      </c>
      <c r="D143" s="8">
        <v>0</v>
      </c>
      <c r="E143" s="8">
        <v>1.53043</v>
      </c>
      <c r="F143" s="9">
        <v>2400047870</v>
      </c>
      <c r="G143" s="8">
        <v>48</v>
      </c>
      <c r="H143" s="8">
        <v>2</v>
      </c>
      <c r="I143" s="10">
        <v>45442</v>
      </c>
      <c r="J143" s="11">
        <v>8.3333333333333329E-2</v>
      </c>
      <c r="K143" s="10">
        <v>45442</v>
      </c>
      <c r="L143" s="10">
        <v>45450</v>
      </c>
      <c r="M143" s="8">
        <v>7088751810</v>
      </c>
      <c r="N143" s="8"/>
      <c r="O143" s="8">
        <v>7</v>
      </c>
      <c r="P143" s="8">
        <v>2</v>
      </c>
      <c r="Q143" s="8">
        <v>2</v>
      </c>
      <c r="R143" s="8">
        <v>2</v>
      </c>
      <c r="S143" s="8">
        <v>1</v>
      </c>
      <c r="T143" s="8">
        <v>2</v>
      </c>
      <c r="U143" s="8">
        <v>2</v>
      </c>
      <c r="V143" s="8">
        <v>2</v>
      </c>
      <c r="W143" s="8">
        <v>2</v>
      </c>
      <c r="X143" s="8">
        <v>2</v>
      </c>
      <c r="Y143" s="8">
        <v>2</v>
      </c>
      <c r="Z143" s="8"/>
      <c r="AA143" s="8">
        <v>11.3</v>
      </c>
      <c r="AB143" s="8">
        <v>33.200000000000003</v>
      </c>
      <c r="AC143" s="8">
        <v>87.9</v>
      </c>
      <c r="AD143" s="8"/>
      <c r="AE143" s="8"/>
      <c r="AF143" s="8"/>
      <c r="AG143" s="8"/>
      <c r="AH143" s="8"/>
      <c r="AI143" s="8"/>
      <c r="AJ143" s="8"/>
      <c r="AK143" s="8"/>
      <c r="AL143" s="8"/>
      <c r="AM143" s="8"/>
      <c r="AN143" s="8"/>
      <c r="AO143" s="12" t="s">
        <v>450</v>
      </c>
      <c r="AP143" s="8"/>
      <c r="AQ143" s="12" t="s">
        <v>451</v>
      </c>
      <c r="AR143" s="8"/>
      <c r="AS143" s="8">
        <v>9</v>
      </c>
      <c r="AT143" s="8">
        <v>5</v>
      </c>
      <c r="AU143" s="8">
        <v>1</v>
      </c>
      <c r="AV143" s="8">
        <v>3</v>
      </c>
      <c r="AW143" s="8">
        <v>5</v>
      </c>
      <c r="AX143" s="8"/>
      <c r="AY143" s="8">
        <v>1</v>
      </c>
      <c r="AZ143" s="8">
        <v>1</v>
      </c>
      <c r="BA143" s="8">
        <v>2</v>
      </c>
      <c r="BB143" s="8"/>
      <c r="BC143" s="8"/>
      <c r="BD143" s="8">
        <v>2</v>
      </c>
      <c r="BE143" s="8">
        <v>2</v>
      </c>
      <c r="BF143" s="8">
        <v>0</v>
      </c>
      <c r="BG143" s="8">
        <v>100</v>
      </c>
      <c r="BH143" s="8"/>
      <c r="BI143" s="8"/>
      <c r="BJ143" s="8"/>
      <c r="BK143" s="8"/>
      <c r="BL143" s="8"/>
      <c r="BM143" s="8"/>
      <c r="BN143" s="8"/>
      <c r="BO143" s="8">
        <v>1</v>
      </c>
      <c r="BP143" s="8">
        <v>1</v>
      </c>
      <c r="BQ143" s="8">
        <v>2</v>
      </c>
      <c r="BR143" s="8">
        <v>2</v>
      </c>
      <c r="BS143" s="8">
        <v>1</v>
      </c>
      <c r="BT143" s="8">
        <v>1</v>
      </c>
      <c r="BU143" s="8">
        <v>1</v>
      </c>
      <c r="BV143" s="8">
        <v>9</v>
      </c>
      <c r="BW143" s="8">
        <v>1</v>
      </c>
      <c r="BX143" s="8">
        <v>1</v>
      </c>
      <c r="BY143" s="8">
        <v>1</v>
      </c>
    </row>
    <row r="144" spans="1:77" ht="120" x14ac:dyDescent="0.25">
      <c r="A144" t="s">
        <v>627</v>
      </c>
      <c r="B144" t="s">
        <v>182</v>
      </c>
      <c r="C144" t="s">
        <v>1012</v>
      </c>
      <c r="D144">
        <v>1</v>
      </c>
      <c r="E144">
        <v>2.0583399999999998</v>
      </c>
      <c r="F144" s="3">
        <v>130904484</v>
      </c>
      <c r="G144">
        <v>74</v>
      </c>
      <c r="H144">
        <v>2</v>
      </c>
      <c r="I144" s="1">
        <v>45151</v>
      </c>
      <c r="J144" s="2">
        <v>0.89583333333333337</v>
      </c>
      <c r="K144" s="1">
        <v>45152</v>
      </c>
      <c r="L144" s="1">
        <v>45159</v>
      </c>
      <c r="M144">
        <v>8275694855</v>
      </c>
      <c r="O144">
        <v>20</v>
      </c>
      <c r="P144">
        <v>1</v>
      </c>
      <c r="Q144">
        <v>1</v>
      </c>
      <c r="R144">
        <v>2</v>
      </c>
      <c r="S144">
        <v>2</v>
      </c>
      <c r="T144">
        <v>2</v>
      </c>
      <c r="U144">
        <v>2</v>
      </c>
      <c r="V144">
        <v>2</v>
      </c>
      <c r="W144">
        <v>2</v>
      </c>
      <c r="X144">
        <v>2</v>
      </c>
      <c r="Y144">
        <v>1</v>
      </c>
      <c r="AA144">
        <v>9.8000000000000007</v>
      </c>
      <c r="AB144">
        <v>29.7</v>
      </c>
      <c r="AC144">
        <v>85</v>
      </c>
      <c r="AD144">
        <v>10.99</v>
      </c>
      <c r="AE144">
        <v>6.6</v>
      </c>
      <c r="AF144">
        <v>153</v>
      </c>
      <c r="AG144">
        <v>93</v>
      </c>
      <c r="AH144">
        <v>42</v>
      </c>
      <c r="AI144">
        <v>89</v>
      </c>
      <c r="AJ144">
        <v>17.8</v>
      </c>
      <c r="AK144">
        <v>2000</v>
      </c>
      <c r="AM144" t="s">
        <v>183</v>
      </c>
      <c r="AO144" s="4" t="s">
        <v>184</v>
      </c>
      <c r="AQ144" s="4" t="s">
        <v>185</v>
      </c>
      <c r="AS144">
        <v>9</v>
      </c>
      <c r="AT144">
        <v>5</v>
      </c>
      <c r="AU144">
        <v>1</v>
      </c>
      <c r="AV144">
        <v>3</v>
      </c>
      <c r="AW144">
        <v>5</v>
      </c>
      <c r="AY144">
        <v>1</v>
      </c>
      <c r="AZ144">
        <v>2</v>
      </c>
      <c r="BA144">
        <v>2</v>
      </c>
      <c r="BF144">
        <v>6</v>
      </c>
      <c r="BG144">
        <v>0</v>
      </c>
      <c r="BH144">
        <v>0</v>
      </c>
      <c r="BI144">
        <v>0</v>
      </c>
      <c r="BJ144">
        <v>0</v>
      </c>
      <c r="BK144">
        <v>0</v>
      </c>
      <c r="BL144">
        <v>0</v>
      </c>
      <c r="BM144">
        <v>0</v>
      </c>
      <c r="BN144">
        <v>0</v>
      </c>
      <c r="BO144">
        <v>1</v>
      </c>
      <c r="BP144">
        <v>2</v>
      </c>
      <c r="BQ144">
        <v>2</v>
      </c>
      <c r="BR144">
        <v>2</v>
      </c>
      <c r="BS144">
        <v>0</v>
      </c>
      <c r="BT144">
        <v>1</v>
      </c>
      <c r="BU144">
        <v>1</v>
      </c>
      <c r="BV144">
        <v>9</v>
      </c>
      <c r="BW144">
        <v>1</v>
      </c>
      <c r="BX144">
        <v>1</v>
      </c>
      <c r="BY144">
        <v>0</v>
      </c>
    </row>
    <row r="145" spans="1:77" ht="135" x14ac:dyDescent="0.25">
      <c r="A145" t="s">
        <v>713</v>
      </c>
      <c r="B145" t="s">
        <v>524</v>
      </c>
      <c r="C145" t="s">
        <v>524</v>
      </c>
      <c r="D145">
        <v>0</v>
      </c>
      <c r="E145">
        <v>12.955399999999999</v>
      </c>
      <c r="F145" s="3">
        <v>46877</v>
      </c>
      <c r="G145">
        <v>63</v>
      </c>
      <c r="H145">
        <v>1</v>
      </c>
      <c r="I145" s="1">
        <v>45478</v>
      </c>
      <c r="J145" s="2">
        <v>4.1666666666666664E-2</v>
      </c>
      <c r="K145" s="1">
        <v>45478</v>
      </c>
      <c r="L145" s="1">
        <v>45478</v>
      </c>
      <c r="M145">
        <v>9882472683</v>
      </c>
      <c r="O145">
        <v>1</v>
      </c>
      <c r="P145">
        <v>1</v>
      </c>
      <c r="Q145">
        <v>2</v>
      </c>
      <c r="R145">
        <v>2</v>
      </c>
      <c r="S145">
        <v>2</v>
      </c>
      <c r="T145">
        <v>2</v>
      </c>
      <c r="U145">
        <v>2</v>
      </c>
      <c r="V145">
        <v>2</v>
      </c>
      <c r="W145">
        <v>2</v>
      </c>
      <c r="X145">
        <v>2</v>
      </c>
      <c r="Y145">
        <v>2</v>
      </c>
      <c r="AA145">
        <v>13.8</v>
      </c>
      <c r="AB145">
        <v>43.2</v>
      </c>
      <c r="AC145">
        <v>83.9</v>
      </c>
      <c r="AD145">
        <v>23.18</v>
      </c>
      <c r="AF145">
        <v>191</v>
      </c>
      <c r="AG145">
        <v>123.4</v>
      </c>
      <c r="AH145">
        <v>37</v>
      </c>
      <c r="AI145">
        <v>153</v>
      </c>
      <c r="AJ145">
        <v>30.6</v>
      </c>
      <c r="AK145">
        <v>170</v>
      </c>
      <c r="AO145" s="4" t="s">
        <v>525</v>
      </c>
      <c r="AQ145" s="4"/>
      <c r="AS145">
        <v>9</v>
      </c>
      <c r="AT145">
        <v>5</v>
      </c>
      <c r="AU145">
        <v>1</v>
      </c>
      <c r="AV145">
        <v>3</v>
      </c>
      <c r="AW145">
        <v>5</v>
      </c>
      <c r="AY145">
        <v>1</v>
      </c>
      <c r="AZ145">
        <v>1</v>
      </c>
      <c r="BA145">
        <v>2</v>
      </c>
      <c r="BC145">
        <v>4</v>
      </c>
      <c r="BD145">
        <v>2</v>
      </c>
      <c r="BE145">
        <v>2</v>
      </c>
      <c r="BF145">
        <v>0</v>
      </c>
      <c r="BG145">
        <v>100</v>
      </c>
      <c r="BH145">
        <v>0</v>
      </c>
      <c r="BI145">
        <v>0</v>
      </c>
      <c r="BJ145">
        <v>0</v>
      </c>
      <c r="BK145">
        <v>0</v>
      </c>
      <c r="BL145">
        <v>0</v>
      </c>
      <c r="BM145">
        <v>0</v>
      </c>
      <c r="BN145">
        <v>0</v>
      </c>
      <c r="BO145">
        <v>0</v>
      </c>
      <c r="BP145">
        <v>2</v>
      </c>
      <c r="BQ145">
        <v>2</v>
      </c>
      <c r="BR145">
        <v>2</v>
      </c>
      <c r="BS145">
        <v>1</v>
      </c>
      <c r="BT145">
        <v>1</v>
      </c>
      <c r="BU145">
        <v>1</v>
      </c>
      <c r="BV145">
        <v>9</v>
      </c>
      <c r="BW145">
        <v>1</v>
      </c>
      <c r="BX145">
        <v>1</v>
      </c>
      <c r="BY145">
        <v>0</v>
      </c>
    </row>
    <row r="146" spans="1:77" ht="180" x14ac:dyDescent="0.25">
      <c r="A146" t="s">
        <v>628</v>
      </c>
      <c r="B146" t="s">
        <v>360</v>
      </c>
      <c r="C146" t="s">
        <v>1069</v>
      </c>
      <c r="D146">
        <v>1</v>
      </c>
      <c r="E146">
        <v>14.218</v>
      </c>
      <c r="F146" s="3">
        <v>24000009353</v>
      </c>
      <c r="G146">
        <v>65</v>
      </c>
      <c r="H146">
        <v>1</v>
      </c>
      <c r="I146" s="1">
        <v>45332</v>
      </c>
      <c r="J146" s="2">
        <v>0.91666666666666663</v>
      </c>
      <c r="K146" s="1">
        <v>45333</v>
      </c>
      <c r="M146">
        <v>8788726932</v>
      </c>
      <c r="O146">
        <v>9</v>
      </c>
      <c r="P146">
        <v>1</v>
      </c>
      <c r="Q146">
        <v>1</v>
      </c>
      <c r="R146">
        <v>2</v>
      </c>
      <c r="S146">
        <v>2</v>
      </c>
      <c r="T146">
        <v>2</v>
      </c>
      <c r="U146">
        <v>2</v>
      </c>
      <c r="V146">
        <v>2</v>
      </c>
      <c r="W146">
        <v>1</v>
      </c>
      <c r="X146">
        <v>2</v>
      </c>
      <c r="Y146">
        <v>2</v>
      </c>
      <c r="AA146">
        <v>9.6</v>
      </c>
      <c r="AB146">
        <v>30.3</v>
      </c>
      <c r="AC146">
        <v>70.7</v>
      </c>
      <c r="AD146">
        <v>9.69</v>
      </c>
      <c r="AE146">
        <v>8.6</v>
      </c>
      <c r="AF146">
        <v>101</v>
      </c>
      <c r="AG146">
        <v>44.8</v>
      </c>
      <c r="AH146">
        <v>31</v>
      </c>
      <c r="AI146">
        <v>126</v>
      </c>
      <c r="AJ146">
        <v>25.2</v>
      </c>
      <c r="AK146">
        <v>363</v>
      </c>
      <c r="AO146" s="4" t="s">
        <v>361</v>
      </c>
      <c r="AQ146" s="4" t="s">
        <v>362</v>
      </c>
      <c r="AS146">
        <v>10</v>
      </c>
      <c r="AT146">
        <v>5</v>
      </c>
      <c r="AU146">
        <v>1</v>
      </c>
      <c r="AV146">
        <v>3</v>
      </c>
      <c r="AW146">
        <v>5</v>
      </c>
      <c r="AY146">
        <v>1</v>
      </c>
      <c r="AZ146">
        <v>1</v>
      </c>
      <c r="BD146">
        <v>2</v>
      </c>
      <c r="BE146">
        <v>2</v>
      </c>
      <c r="BF146">
        <v>0</v>
      </c>
      <c r="BG146">
        <v>100</v>
      </c>
      <c r="BH146">
        <v>1</v>
      </c>
      <c r="BI146">
        <v>2</v>
      </c>
      <c r="BJ146">
        <v>2</v>
      </c>
      <c r="BK146">
        <v>1</v>
      </c>
      <c r="BL146">
        <v>1</v>
      </c>
      <c r="BM146">
        <v>1</v>
      </c>
      <c r="BN146">
        <v>1</v>
      </c>
      <c r="BO146">
        <v>0</v>
      </c>
      <c r="BP146">
        <v>0</v>
      </c>
      <c r="BQ146">
        <v>0</v>
      </c>
      <c r="BR146">
        <v>0</v>
      </c>
      <c r="BS146">
        <v>0</v>
      </c>
      <c r="BT146">
        <v>0</v>
      </c>
      <c r="BU146">
        <v>0</v>
      </c>
      <c r="BV146">
        <v>9</v>
      </c>
      <c r="BW146">
        <v>1</v>
      </c>
      <c r="BX146">
        <v>1</v>
      </c>
      <c r="BY146" t="s">
        <v>974</v>
      </c>
    </row>
    <row r="147" spans="1:77" ht="120" x14ac:dyDescent="0.25">
      <c r="A147" t="s">
        <v>631</v>
      </c>
      <c r="B147" t="s">
        <v>332</v>
      </c>
      <c r="C147" t="s">
        <v>1061</v>
      </c>
      <c r="D147">
        <v>0</v>
      </c>
      <c r="E147">
        <v>22.801500000000001</v>
      </c>
      <c r="F147" s="3">
        <v>240002442</v>
      </c>
      <c r="G147">
        <v>63</v>
      </c>
      <c r="H147">
        <v>1</v>
      </c>
      <c r="I147" s="1">
        <v>45305</v>
      </c>
      <c r="J147" s="2">
        <v>0.33333333333333331</v>
      </c>
      <c r="K147" s="1">
        <v>45307</v>
      </c>
      <c r="M147">
        <v>8999894488</v>
      </c>
      <c r="P147">
        <v>1</v>
      </c>
      <c r="Q147">
        <v>1</v>
      </c>
      <c r="R147">
        <v>2</v>
      </c>
      <c r="S147">
        <v>2</v>
      </c>
      <c r="T147">
        <v>2</v>
      </c>
      <c r="U147">
        <v>2</v>
      </c>
      <c r="V147">
        <v>2</v>
      </c>
      <c r="W147">
        <v>2</v>
      </c>
      <c r="X147">
        <v>2</v>
      </c>
      <c r="Y147">
        <v>2</v>
      </c>
      <c r="Z147" t="s">
        <v>333</v>
      </c>
      <c r="AA147">
        <v>12.8</v>
      </c>
      <c r="AB147">
        <v>38.9</v>
      </c>
      <c r="AC147">
        <v>83</v>
      </c>
      <c r="AD147">
        <v>17.63</v>
      </c>
      <c r="AE147">
        <v>9.1999999999999993</v>
      </c>
      <c r="AF147">
        <v>253</v>
      </c>
      <c r="AG147">
        <v>159.80000000000001</v>
      </c>
      <c r="AH147">
        <v>41</v>
      </c>
      <c r="AI147">
        <v>261</v>
      </c>
      <c r="AJ147">
        <v>52.2</v>
      </c>
      <c r="AK147">
        <v>403</v>
      </c>
      <c r="AO147" s="4" t="s">
        <v>334</v>
      </c>
      <c r="AQ147" s="4" t="s">
        <v>335</v>
      </c>
      <c r="AS147">
        <v>8</v>
      </c>
      <c r="AT147">
        <v>5</v>
      </c>
      <c r="AU147">
        <v>1</v>
      </c>
      <c r="AV147">
        <v>3</v>
      </c>
      <c r="AW147">
        <v>5</v>
      </c>
      <c r="AY147">
        <v>1</v>
      </c>
      <c r="AZ147">
        <v>2</v>
      </c>
      <c r="BA147">
        <v>2</v>
      </c>
      <c r="BD147">
        <v>2</v>
      </c>
      <c r="BE147">
        <v>2</v>
      </c>
      <c r="BF147">
        <v>1</v>
      </c>
      <c r="BG147">
        <v>90</v>
      </c>
      <c r="BH147">
        <v>0</v>
      </c>
      <c r="BI147">
        <v>2</v>
      </c>
      <c r="BJ147">
        <v>2</v>
      </c>
      <c r="BK147">
        <v>2</v>
      </c>
      <c r="BL147">
        <v>1</v>
      </c>
      <c r="BM147">
        <v>1</v>
      </c>
      <c r="BN147">
        <v>1</v>
      </c>
      <c r="BO147">
        <v>0</v>
      </c>
      <c r="BP147">
        <v>0</v>
      </c>
      <c r="BQ147">
        <v>0</v>
      </c>
      <c r="BR147">
        <v>0</v>
      </c>
      <c r="BS147">
        <v>0</v>
      </c>
      <c r="BT147">
        <v>0</v>
      </c>
      <c r="BU147">
        <v>0</v>
      </c>
      <c r="BV147">
        <v>9</v>
      </c>
      <c r="BW147">
        <v>1</v>
      </c>
      <c r="BX147">
        <v>0</v>
      </c>
      <c r="BY147">
        <v>0</v>
      </c>
    </row>
    <row r="148" spans="1:77" ht="90" x14ac:dyDescent="0.25">
      <c r="A148" t="s">
        <v>632</v>
      </c>
      <c r="B148" t="s">
        <v>31</v>
      </c>
      <c r="C148" t="s">
        <v>975</v>
      </c>
      <c r="D148">
        <v>1</v>
      </c>
      <c r="E148">
        <v>24.080100000000002</v>
      </c>
      <c r="F148" s="3">
        <v>230000045604</v>
      </c>
      <c r="G148">
        <v>83</v>
      </c>
      <c r="H148">
        <v>1</v>
      </c>
      <c r="I148" s="1">
        <v>45196</v>
      </c>
      <c r="J148" s="2">
        <v>0.25</v>
      </c>
      <c r="K148" s="1">
        <v>45197</v>
      </c>
      <c r="L148" s="1">
        <v>45210</v>
      </c>
      <c r="M148">
        <v>7798907861</v>
      </c>
      <c r="O148">
        <v>17</v>
      </c>
      <c r="P148">
        <v>2</v>
      </c>
      <c r="Q148">
        <v>2</v>
      </c>
      <c r="R148">
        <v>2</v>
      </c>
      <c r="S148">
        <v>2</v>
      </c>
      <c r="T148">
        <v>2</v>
      </c>
      <c r="U148">
        <v>2</v>
      </c>
      <c r="V148">
        <v>2</v>
      </c>
      <c r="W148">
        <v>2</v>
      </c>
      <c r="X148">
        <v>2</v>
      </c>
      <c r="Y148">
        <v>1</v>
      </c>
      <c r="AA148">
        <v>13.7</v>
      </c>
      <c r="AB148">
        <v>40.9</v>
      </c>
      <c r="AC148">
        <v>91.5</v>
      </c>
      <c r="AD148">
        <v>22.2</v>
      </c>
      <c r="AE148">
        <v>5.8</v>
      </c>
      <c r="AF148">
        <v>145</v>
      </c>
      <c r="AG148">
        <v>101.4</v>
      </c>
      <c r="AH148">
        <v>35</v>
      </c>
      <c r="AI148">
        <v>43</v>
      </c>
      <c r="AJ148">
        <v>8.6</v>
      </c>
      <c r="AK148">
        <v>148</v>
      </c>
      <c r="AO148" s="4" t="s">
        <v>32</v>
      </c>
      <c r="AQ148" s="4"/>
      <c r="AS148">
        <v>7</v>
      </c>
      <c r="AT148">
        <v>5</v>
      </c>
      <c r="AU148">
        <v>1</v>
      </c>
      <c r="AV148">
        <v>3</v>
      </c>
      <c r="AW148">
        <v>5</v>
      </c>
      <c r="AY148">
        <v>1</v>
      </c>
      <c r="AZ148">
        <v>1</v>
      </c>
      <c r="BA148">
        <v>2</v>
      </c>
      <c r="BF148">
        <v>5</v>
      </c>
      <c r="BG148">
        <v>5</v>
      </c>
      <c r="BH148">
        <v>0</v>
      </c>
      <c r="BI148">
        <v>0</v>
      </c>
      <c r="BJ148">
        <v>0</v>
      </c>
      <c r="BK148">
        <v>0</v>
      </c>
      <c r="BL148">
        <v>0</v>
      </c>
      <c r="BM148">
        <v>0</v>
      </c>
      <c r="BN148">
        <v>0</v>
      </c>
      <c r="BO148">
        <v>0</v>
      </c>
      <c r="BP148">
        <v>2</v>
      </c>
      <c r="BQ148">
        <v>2</v>
      </c>
      <c r="BR148">
        <v>2</v>
      </c>
      <c r="BS148">
        <v>1</v>
      </c>
      <c r="BT148">
        <v>1</v>
      </c>
      <c r="BU148">
        <v>1</v>
      </c>
      <c r="BV148">
        <v>9</v>
      </c>
      <c r="BW148">
        <v>1</v>
      </c>
      <c r="BX148">
        <v>1</v>
      </c>
      <c r="BY148" t="s">
        <v>976</v>
      </c>
    </row>
    <row r="149" spans="1:77" ht="255" x14ac:dyDescent="0.25">
      <c r="A149" t="s">
        <v>639</v>
      </c>
      <c r="B149" t="s">
        <v>471</v>
      </c>
      <c r="C149" t="s">
        <v>1100</v>
      </c>
      <c r="D149">
        <v>0</v>
      </c>
      <c r="E149">
        <v>41.854399999999998</v>
      </c>
      <c r="F149" s="3">
        <v>240000040622</v>
      </c>
      <c r="G149">
        <v>33</v>
      </c>
      <c r="H149">
        <v>1</v>
      </c>
      <c r="I149" s="1">
        <v>45422</v>
      </c>
      <c r="J149" s="2">
        <v>0.33333333333333331</v>
      </c>
      <c r="K149" s="1">
        <v>45422</v>
      </c>
      <c r="L149" s="1">
        <v>45427</v>
      </c>
      <c r="M149">
        <v>7387900224</v>
      </c>
      <c r="O149">
        <v>2</v>
      </c>
      <c r="P149">
        <v>1</v>
      </c>
      <c r="Q149">
        <v>2</v>
      </c>
      <c r="R149">
        <v>1</v>
      </c>
      <c r="S149">
        <v>2</v>
      </c>
      <c r="T149">
        <v>1</v>
      </c>
      <c r="U149">
        <v>2</v>
      </c>
      <c r="V149">
        <v>2</v>
      </c>
      <c r="W149">
        <v>2</v>
      </c>
      <c r="X149">
        <v>2</v>
      </c>
      <c r="Y149">
        <v>2</v>
      </c>
      <c r="AA149">
        <v>12.6</v>
      </c>
      <c r="AB149">
        <v>37.299999999999997</v>
      </c>
      <c r="AC149">
        <v>10.72</v>
      </c>
      <c r="AD149">
        <v>13</v>
      </c>
      <c r="AE149">
        <v>4.8</v>
      </c>
      <c r="AF149">
        <v>136</v>
      </c>
      <c r="AG149">
        <v>95.6</v>
      </c>
      <c r="AH149">
        <v>27</v>
      </c>
      <c r="AI149">
        <v>67</v>
      </c>
      <c r="AJ149">
        <v>13.4</v>
      </c>
      <c r="AK149">
        <v>373</v>
      </c>
      <c r="AO149" s="4" t="s">
        <v>472</v>
      </c>
      <c r="AQ149" s="4" t="s">
        <v>473</v>
      </c>
      <c r="AS149">
        <v>9</v>
      </c>
      <c r="AT149">
        <v>5</v>
      </c>
      <c r="AU149">
        <v>1</v>
      </c>
      <c r="AV149">
        <v>3</v>
      </c>
      <c r="AW149">
        <v>5</v>
      </c>
      <c r="AY149">
        <v>1</v>
      </c>
      <c r="BA149">
        <v>1</v>
      </c>
      <c r="BB149">
        <v>1</v>
      </c>
      <c r="BD149">
        <v>2</v>
      </c>
      <c r="BE149">
        <v>2</v>
      </c>
      <c r="BF149">
        <v>0</v>
      </c>
      <c r="BG149">
        <v>100</v>
      </c>
      <c r="BH149">
        <v>0</v>
      </c>
      <c r="BI149">
        <v>0</v>
      </c>
      <c r="BJ149">
        <v>0</v>
      </c>
      <c r="BK149">
        <v>0</v>
      </c>
      <c r="BL149">
        <v>0</v>
      </c>
      <c r="BM149">
        <v>0</v>
      </c>
      <c r="BN149">
        <v>0</v>
      </c>
      <c r="BO149">
        <v>1</v>
      </c>
      <c r="BP149">
        <v>2</v>
      </c>
      <c r="BQ149">
        <v>2</v>
      </c>
      <c r="BR149">
        <v>2</v>
      </c>
      <c r="BS149">
        <v>1</v>
      </c>
      <c r="BT149">
        <v>0</v>
      </c>
      <c r="BU149">
        <v>1</v>
      </c>
      <c r="BV149">
        <v>9</v>
      </c>
      <c r="BW149">
        <v>0</v>
      </c>
      <c r="BX149">
        <v>1</v>
      </c>
      <c r="BY149">
        <v>0</v>
      </c>
    </row>
    <row r="150" spans="1:77" ht="60" x14ac:dyDescent="0.25">
      <c r="A150" t="s">
        <v>643</v>
      </c>
      <c r="B150" t="s">
        <v>263</v>
      </c>
      <c r="C150" t="s">
        <v>1041</v>
      </c>
      <c r="D150">
        <v>0</v>
      </c>
      <c r="E150">
        <v>102.834</v>
      </c>
      <c r="F150" s="3">
        <v>221201778</v>
      </c>
      <c r="G150">
        <v>50</v>
      </c>
      <c r="H150">
        <v>1</v>
      </c>
      <c r="I150" s="1">
        <v>44902</v>
      </c>
      <c r="J150" s="2">
        <v>0.29166666666666669</v>
      </c>
      <c r="K150" s="1">
        <v>44903</v>
      </c>
      <c r="L150" s="1">
        <v>44907</v>
      </c>
      <c r="M150">
        <v>9834148137</v>
      </c>
      <c r="O150">
        <v>11</v>
      </c>
      <c r="P150">
        <v>1</v>
      </c>
      <c r="Q150">
        <v>2</v>
      </c>
      <c r="R150">
        <v>2</v>
      </c>
      <c r="S150">
        <v>1</v>
      </c>
      <c r="T150">
        <v>2</v>
      </c>
      <c r="U150">
        <v>2</v>
      </c>
      <c r="V150">
        <v>2</v>
      </c>
      <c r="W150">
        <v>2</v>
      </c>
      <c r="X150">
        <v>2</v>
      </c>
      <c r="Y150">
        <v>2</v>
      </c>
      <c r="AA150">
        <v>14.7</v>
      </c>
      <c r="AD150">
        <v>15.16</v>
      </c>
      <c r="AE150">
        <v>5.2</v>
      </c>
      <c r="AF150">
        <v>165</v>
      </c>
      <c r="AG150">
        <v>99.6</v>
      </c>
      <c r="AH150">
        <v>43</v>
      </c>
      <c r="AI150">
        <v>111</v>
      </c>
      <c r="AJ150">
        <v>22.2</v>
      </c>
      <c r="AK150">
        <v>2000</v>
      </c>
      <c r="AO150" s="4" t="s">
        <v>193</v>
      </c>
      <c r="AQ150" s="4" t="s">
        <v>264</v>
      </c>
      <c r="AS150">
        <v>6</v>
      </c>
      <c r="AT150">
        <v>5</v>
      </c>
      <c r="AU150">
        <v>1</v>
      </c>
      <c r="AV150">
        <v>3</v>
      </c>
      <c r="AW150">
        <v>5</v>
      </c>
      <c r="AY150">
        <v>1</v>
      </c>
      <c r="AZ150">
        <v>2</v>
      </c>
      <c r="BA150">
        <v>1</v>
      </c>
      <c r="BB150">
        <v>3</v>
      </c>
      <c r="BC150">
        <v>4</v>
      </c>
      <c r="BD150">
        <v>2</v>
      </c>
      <c r="BE150">
        <v>2</v>
      </c>
      <c r="BF150">
        <v>1</v>
      </c>
      <c r="BG150">
        <v>70</v>
      </c>
      <c r="BH150">
        <v>1</v>
      </c>
      <c r="BI150">
        <v>2</v>
      </c>
      <c r="BJ150">
        <v>2</v>
      </c>
      <c r="BK150">
        <v>1</v>
      </c>
      <c r="BL150">
        <v>1</v>
      </c>
      <c r="BM150">
        <v>1</v>
      </c>
      <c r="BN150">
        <v>1</v>
      </c>
      <c r="BO150">
        <v>0</v>
      </c>
      <c r="BP150">
        <v>0</v>
      </c>
      <c r="BQ150">
        <v>0</v>
      </c>
      <c r="BR150">
        <v>0</v>
      </c>
      <c r="BS150">
        <v>0</v>
      </c>
      <c r="BT150">
        <v>0</v>
      </c>
      <c r="BU150">
        <v>0</v>
      </c>
      <c r="BV150">
        <v>9</v>
      </c>
      <c r="BW150">
        <v>1</v>
      </c>
      <c r="BX150">
        <v>1</v>
      </c>
      <c r="BY150">
        <v>0</v>
      </c>
    </row>
    <row r="151" spans="1:77" ht="120" x14ac:dyDescent="0.25">
      <c r="A151" t="s">
        <v>704</v>
      </c>
      <c r="B151" t="s">
        <v>449</v>
      </c>
      <c r="C151" t="s">
        <v>1093</v>
      </c>
      <c r="D151">
        <v>0</v>
      </c>
      <c r="E151">
        <v>1.53043</v>
      </c>
      <c r="F151" s="3">
        <v>2400047870</v>
      </c>
      <c r="G151">
        <v>48</v>
      </c>
      <c r="H151">
        <v>2</v>
      </c>
      <c r="I151" s="1">
        <v>45442</v>
      </c>
      <c r="J151" s="2">
        <v>8.3333333333333329E-2</v>
      </c>
      <c r="K151" s="1">
        <v>45442</v>
      </c>
      <c r="L151" s="1">
        <v>45450</v>
      </c>
      <c r="M151">
        <v>7088751810</v>
      </c>
      <c r="O151">
        <v>7</v>
      </c>
      <c r="P151">
        <v>2</v>
      </c>
      <c r="Q151">
        <v>2</v>
      </c>
      <c r="R151">
        <v>2</v>
      </c>
      <c r="S151">
        <v>1</v>
      </c>
      <c r="T151">
        <v>2</v>
      </c>
      <c r="U151">
        <v>2</v>
      </c>
      <c r="V151">
        <v>2</v>
      </c>
      <c r="W151">
        <v>2</v>
      </c>
      <c r="X151">
        <v>2</v>
      </c>
      <c r="Y151">
        <v>2</v>
      </c>
      <c r="AA151">
        <v>11.3</v>
      </c>
      <c r="AB151">
        <v>33.200000000000003</v>
      </c>
      <c r="AC151">
        <v>87.9</v>
      </c>
      <c r="AO151" s="4" t="s">
        <v>450</v>
      </c>
      <c r="AQ151" s="4" t="s">
        <v>451</v>
      </c>
      <c r="AS151">
        <v>9</v>
      </c>
      <c r="AT151">
        <v>5</v>
      </c>
      <c r="AU151">
        <v>1</v>
      </c>
      <c r="AV151">
        <v>3</v>
      </c>
      <c r="AW151">
        <v>5</v>
      </c>
      <c r="AY151">
        <v>1</v>
      </c>
      <c r="AZ151">
        <v>1</v>
      </c>
      <c r="BA151">
        <v>2</v>
      </c>
      <c r="BD151">
        <v>2</v>
      </c>
      <c r="BE151">
        <v>2</v>
      </c>
      <c r="BF151">
        <v>0</v>
      </c>
      <c r="BG151">
        <v>100</v>
      </c>
      <c r="BO151">
        <v>1</v>
      </c>
      <c r="BP151">
        <v>1</v>
      </c>
      <c r="BQ151">
        <v>2</v>
      </c>
      <c r="BR151">
        <v>2</v>
      </c>
      <c r="BS151">
        <v>1</v>
      </c>
      <c r="BT151">
        <v>1</v>
      </c>
      <c r="BU151">
        <v>1</v>
      </c>
      <c r="BV151">
        <v>9</v>
      </c>
      <c r="BW151">
        <v>1</v>
      </c>
      <c r="BX151">
        <v>1</v>
      </c>
      <c r="BY151">
        <v>1</v>
      </c>
    </row>
    <row r="152" spans="1:77" ht="135" x14ac:dyDescent="0.25">
      <c r="A152" t="s">
        <v>698</v>
      </c>
      <c r="B152" t="s">
        <v>398</v>
      </c>
      <c r="C152" t="s">
        <v>1080</v>
      </c>
      <c r="D152">
        <v>1</v>
      </c>
      <c r="E152">
        <v>0.46009800000000001</v>
      </c>
      <c r="F152" s="3">
        <v>240000022574</v>
      </c>
      <c r="G152">
        <v>62</v>
      </c>
      <c r="H152">
        <v>1</v>
      </c>
      <c r="I152" s="1">
        <v>45356</v>
      </c>
      <c r="J152" s="2">
        <v>0.45833333333333331</v>
      </c>
      <c r="K152" s="1">
        <v>45356</v>
      </c>
      <c r="L152" s="1">
        <v>45358</v>
      </c>
      <c r="M152">
        <v>9960575854</v>
      </c>
      <c r="N152">
        <v>9028444211</v>
      </c>
      <c r="O152">
        <v>4</v>
      </c>
      <c r="P152">
        <v>1</v>
      </c>
      <c r="Q152">
        <v>2</v>
      </c>
      <c r="R152">
        <v>2</v>
      </c>
      <c r="S152">
        <v>1</v>
      </c>
      <c r="T152">
        <v>2</v>
      </c>
      <c r="U152">
        <v>2</v>
      </c>
      <c r="V152">
        <v>2</v>
      </c>
      <c r="W152">
        <v>2</v>
      </c>
      <c r="X152">
        <v>2</v>
      </c>
      <c r="Y152">
        <v>2</v>
      </c>
      <c r="AA152">
        <v>14.4</v>
      </c>
      <c r="AB152">
        <v>45.1</v>
      </c>
      <c r="AC152">
        <v>82.5</v>
      </c>
      <c r="AD152">
        <v>52.77</v>
      </c>
      <c r="AE152">
        <v>6.4</v>
      </c>
      <c r="AF152">
        <v>223</v>
      </c>
      <c r="AG152">
        <v>41</v>
      </c>
      <c r="AH152">
        <v>41</v>
      </c>
      <c r="AI152">
        <v>137</v>
      </c>
      <c r="AJ152">
        <v>27.4</v>
      </c>
      <c r="AK152">
        <v>241</v>
      </c>
      <c r="AO152" s="4" t="s">
        <v>399</v>
      </c>
      <c r="AQ152" s="4" t="s">
        <v>400</v>
      </c>
      <c r="AS152">
        <v>9</v>
      </c>
      <c r="AT152">
        <v>5</v>
      </c>
      <c r="AU152">
        <v>1</v>
      </c>
      <c r="AV152">
        <v>3</v>
      </c>
      <c r="AW152">
        <v>5</v>
      </c>
      <c r="AY152">
        <v>1</v>
      </c>
      <c r="AZ152">
        <v>1</v>
      </c>
      <c r="BA152">
        <v>2</v>
      </c>
      <c r="BD152">
        <v>2</v>
      </c>
      <c r="BE152">
        <v>2</v>
      </c>
      <c r="BF152">
        <v>0</v>
      </c>
      <c r="BG152">
        <v>100</v>
      </c>
      <c r="BH152">
        <v>0</v>
      </c>
      <c r="BI152">
        <v>0</v>
      </c>
      <c r="BJ152">
        <v>0</v>
      </c>
      <c r="BK152">
        <v>0</v>
      </c>
      <c r="BL152">
        <v>0</v>
      </c>
      <c r="BM152">
        <v>0</v>
      </c>
      <c r="BN152">
        <v>0</v>
      </c>
      <c r="BO152">
        <v>1</v>
      </c>
      <c r="BP152">
        <v>2</v>
      </c>
      <c r="BQ152">
        <v>2</v>
      </c>
      <c r="BR152">
        <v>2</v>
      </c>
      <c r="BS152">
        <v>1</v>
      </c>
      <c r="BT152">
        <v>1</v>
      </c>
      <c r="BU152">
        <v>1</v>
      </c>
      <c r="BV152">
        <v>10</v>
      </c>
      <c r="BW152">
        <v>1</v>
      </c>
      <c r="BX152">
        <v>1</v>
      </c>
      <c r="BY152">
        <v>0</v>
      </c>
    </row>
    <row r="153" spans="1:77" ht="60" x14ac:dyDescent="0.25">
      <c r="A153" t="s">
        <v>659</v>
      </c>
      <c r="B153" t="s">
        <v>537</v>
      </c>
      <c r="C153" t="s">
        <v>1120</v>
      </c>
      <c r="D153">
        <v>1</v>
      </c>
      <c r="E153">
        <v>0.71194100000000005</v>
      </c>
      <c r="F153" s="3">
        <v>240000061390</v>
      </c>
      <c r="G153">
        <v>58</v>
      </c>
      <c r="H153">
        <v>1</v>
      </c>
      <c r="I153" s="1">
        <v>45487</v>
      </c>
      <c r="J153" s="2">
        <v>0.41666666666666669</v>
      </c>
      <c r="K153" s="1">
        <v>45487</v>
      </c>
      <c r="M153">
        <v>9832956169</v>
      </c>
      <c r="O153">
        <v>2</v>
      </c>
      <c r="P153">
        <v>1</v>
      </c>
      <c r="Q153">
        <v>2</v>
      </c>
      <c r="R153">
        <v>2</v>
      </c>
      <c r="S153">
        <v>1</v>
      </c>
      <c r="T153">
        <v>2</v>
      </c>
      <c r="U153">
        <v>2</v>
      </c>
      <c r="V153">
        <v>2</v>
      </c>
      <c r="W153">
        <v>2</v>
      </c>
      <c r="X153">
        <v>2</v>
      </c>
      <c r="Y153">
        <v>2</v>
      </c>
      <c r="AO153" s="4" t="s">
        <v>538</v>
      </c>
      <c r="AQ153" s="4"/>
      <c r="AS153">
        <v>10</v>
      </c>
      <c r="AT153">
        <v>5</v>
      </c>
      <c r="AU153">
        <v>1</v>
      </c>
      <c r="AV153">
        <v>3</v>
      </c>
      <c r="AW153">
        <v>5</v>
      </c>
      <c r="AY153">
        <v>1</v>
      </c>
      <c r="AZ153">
        <v>1</v>
      </c>
      <c r="BA153">
        <v>2</v>
      </c>
      <c r="BD153">
        <v>2</v>
      </c>
      <c r="BE153">
        <v>2</v>
      </c>
      <c r="BF153">
        <v>0</v>
      </c>
      <c r="BG153">
        <v>100</v>
      </c>
      <c r="BH153">
        <v>1</v>
      </c>
      <c r="BI153">
        <v>2</v>
      </c>
      <c r="BJ153">
        <v>2</v>
      </c>
      <c r="BK153">
        <v>2</v>
      </c>
      <c r="BL153">
        <v>1</v>
      </c>
      <c r="BM153">
        <v>1</v>
      </c>
      <c r="BN153">
        <v>1</v>
      </c>
      <c r="BO153">
        <v>0</v>
      </c>
      <c r="BP153">
        <v>0</v>
      </c>
      <c r="BQ153">
        <v>0</v>
      </c>
      <c r="BR153">
        <v>0</v>
      </c>
      <c r="BS153">
        <v>0</v>
      </c>
      <c r="BT153">
        <v>0</v>
      </c>
      <c r="BU153">
        <v>0</v>
      </c>
      <c r="BV153">
        <v>10</v>
      </c>
      <c r="BW153">
        <v>1</v>
      </c>
      <c r="BX153">
        <v>1</v>
      </c>
      <c r="BY153">
        <v>0</v>
      </c>
    </row>
    <row r="154" spans="1:77" ht="75" x14ac:dyDescent="0.25">
      <c r="A154" t="s">
        <v>662</v>
      </c>
      <c r="B154" t="s">
        <v>369</v>
      </c>
      <c r="C154" t="s">
        <v>1072</v>
      </c>
      <c r="D154">
        <v>1</v>
      </c>
      <c r="E154">
        <v>0.92019600000000001</v>
      </c>
      <c r="F154" s="3">
        <v>240000011853</v>
      </c>
      <c r="G154">
        <v>42</v>
      </c>
      <c r="H154">
        <v>1</v>
      </c>
      <c r="I154" s="1">
        <v>45324</v>
      </c>
      <c r="J154" s="2">
        <v>0.95833333333333337</v>
      </c>
      <c r="K154" s="1">
        <v>45325</v>
      </c>
      <c r="L154" s="1">
        <v>45328</v>
      </c>
      <c r="M154">
        <v>9021456694</v>
      </c>
      <c r="O154">
        <v>3</v>
      </c>
      <c r="P154">
        <v>1</v>
      </c>
      <c r="Q154">
        <v>2</v>
      </c>
      <c r="R154">
        <v>1</v>
      </c>
      <c r="S154">
        <v>1</v>
      </c>
      <c r="T154">
        <v>2</v>
      </c>
      <c r="U154">
        <v>2</v>
      </c>
      <c r="V154">
        <v>2</v>
      </c>
      <c r="W154">
        <v>1</v>
      </c>
      <c r="X154">
        <v>2</v>
      </c>
      <c r="Y154">
        <v>2</v>
      </c>
      <c r="Z154" t="s">
        <v>370</v>
      </c>
      <c r="AA154">
        <v>16.399999999999999</v>
      </c>
      <c r="AB154">
        <v>48.3</v>
      </c>
      <c r="AC154">
        <v>83.4</v>
      </c>
      <c r="AD154">
        <v>26.05</v>
      </c>
      <c r="AE154">
        <v>5.3</v>
      </c>
      <c r="AF154">
        <v>186</v>
      </c>
      <c r="AG154">
        <v>101.6</v>
      </c>
      <c r="AH154">
        <v>43</v>
      </c>
      <c r="AI154">
        <v>207</v>
      </c>
      <c r="AJ154">
        <v>41.4</v>
      </c>
      <c r="AK154">
        <v>157</v>
      </c>
      <c r="AO154" s="4" t="s">
        <v>371</v>
      </c>
      <c r="AQ154" s="4" t="s">
        <v>49</v>
      </c>
      <c r="AS154">
        <v>8</v>
      </c>
      <c r="AT154">
        <v>5</v>
      </c>
      <c r="AU154">
        <v>1</v>
      </c>
      <c r="AV154">
        <v>3</v>
      </c>
      <c r="AW154">
        <v>5</v>
      </c>
      <c r="AY154">
        <v>1</v>
      </c>
      <c r="AZ154">
        <v>1</v>
      </c>
      <c r="BA154">
        <v>2</v>
      </c>
      <c r="BD154">
        <v>2</v>
      </c>
      <c r="BE154">
        <v>2</v>
      </c>
      <c r="BF154">
        <v>1</v>
      </c>
      <c r="BG154">
        <v>100</v>
      </c>
      <c r="BH154">
        <v>0</v>
      </c>
      <c r="BI154">
        <v>0</v>
      </c>
      <c r="BJ154">
        <v>0</v>
      </c>
      <c r="BK154">
        <v>0</v>
      </c>
      <c r="BL154">
        <v>0</v>
      </c>
      <c r="BM154">
        <v>0</v>
      </c>
      <c r="BN154">
        <v>0</v>
      </c>
      <c r="BO154">
        <v>1</v>
      </c>
      <c r="BP154">
        <v>2</v>
      </c>
      <c r="BQ154">
        <v>2</v>
      </c>
      <c r="BR154">
        <v>2</v>
      </c>
      <c r="BS154">
        <v>1</v>
      </c>
      <c r="BT154">
        <v>1</v>
      </c>
      <c r="BU154">
        <v>1</v>
      </c>
      <c r="BV154">
        <v>10</v>
      </c>
      <c r="BW154">
        <v>1</v>
      </c>
      <c r="BX154">
        <v>1</v>
      </c>
      <c r="BY154">
        <v>0</v>
      </c>
    </row>
    <row r="155" spans="1:77" ht="300" x14ac:dyDescent="0.25">
      <c r="A155" t="s">
        <v>663</v>
      </c>
      <c r="B155" t="s">
        <v>54</v>
      </c>
      <c r="C155" t="s">
        <v>985</v>
      </c>
      <c r="D155">
        <v>1</v>
      </c>
      <c r="E155">
        <v>0.93472299999999997</v>
      </c>
      <c r="F155" s="3">
        <v>230000048837</v>
      </c>
      <c r="G155">
        <v>47</v>
      </c>
      <c r="H155">
        <v>1</v>
      </c>
      <c r="I155" s="1">
        <v>45208</v>
      </c>
      <c r="J155" s="2">
        <v>0.35416666666666669</v>
      </c>
      <c r="K155" s="1">
        <v>45208</v>
      </c>
      <c r="L155" s="1">
        <v>45211</v>
      </c>
      <c r="M155">
        <v>9322838664</v>
      </c>
      <c r="N155">
        <v>7378323273</v>
      </c>
      <c r="O155">
        <v>8</v>
      </c>
      <c r="P155">
        <v>1</v>
      </c>
      <c r="Q155">
        <v>2</v>
      </c>
      <c r="R155">
        <v>2</v>
      </c>
      <c r="S155">
        <v>1</v>
      </c>
      <c r="T155">
        <v>2</v>
      </c>
      <c r="U155">
        <v>2</v>
      </c>
      <c r="V155">
        <v>2</v>
      </c>
      <c r="W155">
        <v>2</v>
      </c>
      <c r="X155">
        <v>2</v>
      </c>
      <c r="Y155">
        <v>1</v>
      </c>
      <c r="AA155">
        <v>13.2</v>
      </c>
      <c r="AD155">
        <v>7.61</v>
      </c>
      <c r="AE155">
        <v>5.9</v>
      </c>
      <c r="AF155">
        <v>182</v>
      </c>
      <c r="AG155">
        <v>126.6</v>
      </c>
      <c r="AH155">
        <v>41</v>
      </c>
      <c r="AI155">
        <v>72</v>
      </c>
      <c r="AJ155">
        <v>14.4</v>
      </c>
      <c r="AK155">
        <v>735</v>
      </c>
      <c r="AO155" s="4" t="s">
        <v>55</v>
      </c>
      <c r="AQ155" s="4" t="s">
        <v>49</v>
      </c>
      <c r="AS155">
        <v>10</v>
      </c>
      <c r="AT155">
        <v>5</v>
      </c>
      <c r="AU155">
        <v>1</v>
      </c>
      <c r="AV155">
        <v>3</v>
      </c>
      <c r="AW155">
        <v>5</v>
      </c>
      <c r="AY155">
        <v>1</v>
      </c>
      <c r="AZ155">
        <v>1</v>
      </c>
      <c r="BA155">
        <v>1</v>
      </c>
      <c r="BB155">
        <v>1</v>
      </c>
      <c r="BF155">
        <v>0</v>
      </c>
      <c r="BG155">
        <v>100</v>
      </c>
      <c r="BH155">
        <v>1</v>
      </c>
      <c r="BI155">
        <v>2</v>
      </c>
      <c r="BJ155">
        <v>2</v>
      </c>
      <c r="BK155">
        <v>2</v>
      </c>
      <c r="BL155">
        <v>1</v>
      </c>
      <c r="BM155">
        <v>1</v>
      </c>
      <c r="BN155">
        <v>1</v>
      </c>
      <c r="BO155">
        <v>0</v>
      </c>
      <c r="BP155">
        <v>0</v>
      </c>
      <c r="BQ155">
        <v>0</v>
      </c>
      <c r="BR155">
        <v>0</v>
      </c>
      <c r="BS155">
        <v>0</v>
      </c>
      <c r="BT155">
        <v>0</v>
      </c>
      <c r="BU155">
        <v>0</v>
      </c>
      <c r="BV155">
        <v>10</v>
      </c>
      <c r="BW155">
        <v>1</v>
      </c>
      <c r="BX155">
        <v>1</v>
      </c>
      <c r="BY155">
        <v>0</v>
      </c>
    </row>
    <row r="156" spans="1:77" ht="180" x14ac:dyDescent="0.25">
      <c r="A156" t="s">
        <v>667</v>
      </c>
      <c r="B156" t="s">
        <v>50</v>
      </c>
      <c r="C156" t="s">
        <v>984</v>
      </c>
      <c r="D156">
        <v>1</v>
      </c>
      <c r="E156">
        <v>1.08002</v>
      </c>
      <c r="F156" s="3">
        <v>230000052006</v>
      </c>
      <c r="G156">
        <v>47</v>
      </c>
      <c r="H156">
        <v>2</v>
      </c>
      <c r="I156" s="1">
        <v>45216</v>
      </c>
      <c r="J156" s="2">
        <v>0.45833333333333331</v>
      </c>
      <c r="K156" s="1">
        <v>45216</v>
      </c>
      <c r="L156" s="1">
        <v>45216</v>
      </c>
      <c r="M156">
        <v>9175019937</v>
      </c>
      <c r="N156">
        <v>9175702520</v>
      </c>
      <c r="O156">
        <v>5</v>
      </c>
      <c r="P156">
        <v>1</v>
      </c>
      <c r="Q156">
        <v>2</v>
      </c>
      <c r="R156">
        <v>2</v>
      </c>
      <c r="S156">
        <v>2</v>
      </c>
      <c r="T156">
        <v>2</v>
      </c>
      <c r="U156">
        <v>2</v>
      </c>
      <c r="V156">
        <v>2</v>
      </c>
      <c r="W156">
        <v>2</v>
      </c>
      <c r="X156">
        <v>2</v>
      </c>
      <c r="Y156">
        <v>2</v>
      </c>
      <c r="AA156">
        <v>14.6</v>
      </c>
      <c r="AB156">
        <v>46.2</v>
      </c>
      <c r="AC156">
        <v>83.9</v>
      </c>
      <c r="AD156">
        <v>15.88</v>
      </c>
      <c r="AE156">
        <v>6</v>
      </c>
      <c r="AF156">
        <v>246</v>
      </c>
      <c r="AG156">
        <v>141.4</v>
      </c>
      <c r="AH156">
        <v>48</v>
      </c>
      <c r="AI156">
        <v>283</v>
      </c>
      <c r="AJ156">
        <v>56.6</v>
      </c>
      <c r="AK156">
        <v>179</v>
      </c>
      <c r="AO156" s="4" t="s">
        <v>51</v>
      </c>
      <c r="AQ156" s="4" t="s">
        <v>49</v>
      </c>
      <c r="AS156">
        <v>10</v>
      </c>
      <c r="AT156">
        <v>5</v>
      </c>
      <c r="AU156">
        <v>1</v>
      </c>
      <c r="AV156">
        <v>3</v>
      </c>
      <c r="AW156">
        <v>5</v>
      </c>
      <c r="AY156">
        <v>1</v>
      </c>
      <c r="AZ156">
        <v>1</v>
      </c>
      <c r="BA156">
        <v>2</v>
      </c>
      <c r="BF156">
        <v>2</v>
      </c>
      <c r="BG156">
        <v>95</v>
      </c>
      <c r="BH156">
        <v>0</v>
      </c>
      <c r="BI156">
        <v>0</v>
      </c>
      <c r="BJ156">
        <v>0</v>
      </c>
      <c r="BK156">
        <v>0</v>
      </c>
      <c r="BL156">
        <v>0</v>
      </c>
      <c r="BM156">
        <v>0</v>
      </c>
      <c r="BN156">
        <v>0</v>
      </c>
      <c r="BO156">
        <v>1</v>
      </c>
      <c r="BP156">
        <v>2</v>
      </c>
      <c r="BQ156">
        <v>2</v>
      </c>
      <c r="BR156">
        <v>2</v>
      </c>
      <c r="BS156">
        <v>1</v>
      </c>
      <c r="BT156">
        <v>1</v>
      </c>
      <c r="BU156">
        <v>1</v>
      </c>
      <c r="BV156">
        <v>10</v>
      </c>
      <c r="BW156">
        <v>1</v>
      </c>
      <c r="BX156">
        <v>1</v>
      </c>
      <c r="BY156">
        <v>0</v>
      </c>
    </row>
    <row r="157" spans="1:77" ht="135" x14ac:dyDescent="0.25">
      <c r="A157" t="s">
        <v>705</v>
      </c>
      <c r="B157" t="s">
        <v>522</v>
      </c>
      <c r="C157" t="s">
        <v>1116</v>
      </c>
      <c r="D157">
        <v>0</v>
      </c>
      <c r="E157">
        <v>1.8064899999999999</v>
      </c>
      <c r="F157" s="3">
        <v>58594</v>
      </c>
      <c r="G157">
        <v>48</v>
      </c>
      <c r="H157">
        <v>1</v>
      </c>
      <c r="I157" s="1">
        <v>45477</v>
      </c>
      <c r="J157" s="2">
        <v>0.47916666666666669</v>
      </c>
      <c r="K157" s="1">
        <v>45327</v>
      </c>
      <c r="L157" s="1">
        <v>45479</v>
      </c>
      <c r="M157">
        <v>7249567458</v>
      </c>
      <c r="N157">
        <v>7709499969</v>
      </c>
      <c r="O157">
        <v>6</v>
      </c>
      <c r="P157">
        <v>1</v>
      </c>
      <c r="Q157">
        <v>2</v>
      </c>
      <c r="R157">
        <v>2</v>
      </c>
      <c r="S157">
        <v>2</v>
      </c>
      <c r="T157">
        <v>2</v>
      </c>
      <c r="U157">
        <v>2</v>
      </c>
      <c r="V157">
        <v>2</v>
      </c>
      <c r="W157">
        <v>2</v>
      </c>
      <c r="X157">
        <v>2</v>
      </c>
      <c r="Y157">
        <v>2</v>
      </c>
      <c r="AA157">
        <v>13</v>
      </c>
      <c r="AD157">
        <v>17.5</v>
      </c>
      <c r="AF157">
        <v>198</v>
      </c>
      <c r="AG157">
        <v>142</v>
      </c>
      <c r="AH157">
        <v>34</v>
      </c>
      <c r="AI157">
        <v>107</v>
      </c>
      <c r="AJ157">
        <v>21.4</v>
      </c>
      <c r="AK157">
        <v>320</v>
      </c>
      <c r="AL157">
        <v>158</v>
      </c>
      <c r="AO157" s="4" t="s">
        <v>523</v>
      </c>
      <c r="AQ157" s="4"/>
      <c r="AS157">
        <v>10</v>
      </c>
      <c r="AT157">
        <v>5</v>
      </c>
      <c r="AU157">
        <v>1</v>
      </c>
      <c r="AV157">
        <v>3</v>
      </c>
      <c r="AW157">
        <v>5</v>
      </c>
      <c r="AY157">
        <v>1</v>
      </c>
      <c r="AZ157">
        <v>1</v>
      </c>
      <c r="BA157">
        <v>2</v>
      </c>
      <c r="BC157">
        <v>4</v>
      </c>
      <c r="BD157">
        <v>2</v>
      </c>
      <c r="BE157">
        <v>2</v>
      </c>
      <c r="BF157">
        <v>0</v>
      </c>
      <c r="BG157">
        <v>100</v>
      </c>
      <c r="BH157">
        <v>1</v>
      </c>
      <c r="BI157">
        <v>2</v>
      </c>
      <c r="BJ157">
        <v>2</v>
      </c>
      <c r="BK157">
        <v>2</v>
      </c>
      <c r="BL157">
        <v>1</v>
      </c>
      <c r="BM157">
        <v>1</v>
      </c>
      <c r="BN157">
        <v>1</v>
      </c>
      <c r="BO157">
        <v>0</v>
      </c>
      <c r="BP157">
        <v>0</v>
      </c>
      <c r="BQ157">
        <v>0</v>
      </c>
      <c r="BR157">
        <v>0</v>
      </c>
      <c r="BS157">
        <v>0</v>
      </c>
      <c r="BT157">
        <v>0</v>
      </c>
      <c r="BU157">
        <v>0</v>
      </c>
      <c r="BV157">
        <v>10</v>
      </c>
      <c r="BW157">
        <v>1</v>
      </c>
      <c r="BX157">
        <v>1</v>
      </c>
      <c r="BY157">
        <v>0</v>
      </c>
    </row>
    <row r="158" spans="1:77" ht="60" x14ac:dyDescent="0.25">
      <c r="A158" t="s">
        <v>694</v>
      </c>
      <c r="B158" t="s">
        <v>555</v>
      </c>
      <c r="C158" t="s">
        <v>1125</v>
      </c>
      <c r="D158">
        <v>0</v>
      </c>
      <c r="E158">
        <v>2.0922399999999999</v>
      </c>
      <c r="F158" s="3">
        <v>240000065310</v>
      </c>
      <c r="G158">
        <v>37</v>
      </c>
      <c r="H158">
        <v>1</v>
      </c>
      <c r="I158" s="1">
        <v>45500</v>
      </c>
      <c r="J158" s="2">
        <v>4.1666666666666664E-2</v>
      </c>
      <c r="K158" s="1">
        <v>45500</v>
      </c>
      <c r="L158" s="1">
        <v>45502</v>
      </c>
      <c r="M158">
        <v>8275473565</v>
      </c>
      <c r="O158">
        <v>4</v>
      </c>
      <c r="P158">
        <v>2</v>
      </c>
      <c r="Q158">
        <v>2</v>
      </c>
      <c r="R158">
        <v>2</v>
      </c>
      <c r="S158">
        <v>2</v>
      </c>
      <c r="T158">
        <v>2</v>
      </c>
      <c r="U158">
        <v>2</v>
      </c>
      <c r="V158">
        <v>1</v>
      </c>
      <c r="W158">
        <v>2</v>
      </c>
      <c r="X158">
        <v>2</v>
      </c>
      <c r="Y158">
        <v>2</v>
      </c>
      <c r="AA158">
        <v>14.6</v>
      </c>
      <c r="AD158">
        <v>76.2</v>
      </c>
      <c r="AE158">
        <v>5.6</v>
      </c>
      <c r="AF158">
        <v>108</v>
      </c>
      <c r="AG158">
        <v>85.2</v>
      </c>
      <c r="AH158">
        <v>36</v>
      </c>
      <c r="AI158">
        <v>84</v>
      </c>
      <c r="AJ158">
        <v>16.8</v>
      </c>
      <c r="AK158">
        <v>2000</v>
      </c>
      <c r="AO158" s="4" t="s">
        <v>556</v>
      </c>
      <c r="AQ158" s="4"/>
      <c r="AS158">
        <v>9</v>
      </c>
      <c r="AT158">
        <v>5</v>
      </c>
      <c r="AU158">
        <v>1</v>
      </c>
      <c r="AV158">
        <v>3</v>
      </c>
      <c r="AW158">
        <v>5</v>
      </c>
      <c r="AY158">
        <v>1</v>
      </c>
      <c r="AZ158">
        <v>1</v>
      </c>
      <c r="BA158">
        <v>2</v>
      </c>
      <c r="BC158">
        <v>2</v>
      </c>
      <c r="BD158">
        <v>2</v>
      </c>
      <c r="BE158">
        <v>2</v>
      </c>
      <c r="BF158">
        <v>0</v>
      </c>
      <c r="BG158">
        <v>100</v>
      </c>
      <c r="BH158">
        <v>1</v>
      </c>
      <c r="BI158">
        <v>2</v>
      </c>
      <c r="BJ158">
        <v>2</v>
      </c>
      <c r="BK158">
        <v>2</v>
      </c>
      <c r="BL158">
        <v>1</v>
      </c>
      <c r="BM158">
        <v>1</v>
      </c>
      <c r="BN158">
        <v>1</v>
      </c>
      <c r="BO158">
        <v>0</v>
      </c>
      <c r="BP158">
        <v>0</v>
      </c>
      <c r="BQ158">
        <v>0</v>
      </c>
      <c r="BR158">
        <v>0</v>
      </c>
      <c r="BS158">
        <v>0</v>
      </c>
      <c r="BT158">
        <v>0</v>
      </c>
      <c r="BU158">
        <v>0</v>
      </c>
      <c r="BV158">
        <v>10</v>
      </c>
      <c r="BW158">
        <v>1</v>
      </c>
      <c r="BX158">
        <v>1</v>
      </c>
      <c r="BY158">
        <v>0</v>
      </c>
    </row>
    <row r="159" spans="1:77" ht="120" x14ac:dyDescent="0.25">
      <c r="A159" t="s">
        <v>712</v>
      </c>
      <c r="B159" t="s">
        <v>384</v>
      </c>
      <c r="C159" t="s">
        <v>384</v>
      </c>
      <c r="D159">
        <v>0</v>
      </c>
      <c r="E159">
        <v>9.2697599999999998</v>
      </c>
      <c r="F159" s="3">
        <v>240000030005</v>
      </c>
      <c r="G159">
        <v>59</v>
      </c>
      <c r="H159">
        <v>1</v>
      </c>
      <c r="I159" s="1">
        <v>45377</v>
      </c>
      <c r="K159" s="1">
        <v>45379</v>
      </c>
      <c r="M159">
        <v>9325593827</v>
      </c>
      <c r="O159">
        <v>1</v>
      </c>
      <c r="P159">
        <v>1</v>
      </c>
      <c r="Q159">
        <v>1</v>
      </c>
      <c r="R159">
        <v>1</v>
      </c>
      <c r="S159">
        <v>2</v>
      </c>
      <c r="T159">
        <v>1</v>
      </c>
      <c r="U159">
        <v>2</v>
      </c>
      <c r="V159">
        <v>2</v>
      </c>
      <c r="W159">
        <v>2</v>
      </c>
      <c r="X159">
        <v>2</v>
      </c>
      <c r="Y159">
        <v>2</v>
      </c>
      <c r="AA159">
        <v>13.8</v>
      </c>
      <c r="AB159">
        <v>42.3</v>
      </c>
      <c r="AC159">
        <v>85.6</v>
      </c>
      <c r="AD159">
        <v>17.78</v>
      </c>
      <c r="AE159">
        <v>12.4</v>
      </c>
      <c r="AF159">
        <v>195</v>
      </c>
      <c r="AG159">
        <v>55</v>
      </c>
      <c r="AH159">
        <v>40</v>
      </c>
      <c r="AI159">
        <v>500</v>
      </c>
      <c r="AJ159">
        <v>100</v>
      </c>
      <c r="AK159">
        <v>239</v>
      </c>
      <c r="AO159" s="4" t="s">
        <v>385</v>
      </c>
      <c r="AQ159" s="4" t="s">
        <v>386</v>
      </c>
      <c r="AS159">
        <v>10</v>
      </c>
      <c r="AT159">
        <v>5</v>
      </c>
      <c r="AU159">
        <v>1</v>
      </c>
      <c r="AV159">
        <v>3</v>
      </c>
      <c r="AW159">
        <v>5</v>
      </c>
      <c r="AY159">
        <v>1</v>
      </c>
      <c r="AZ159">
        <v>1</v>
      </c>
      <c r="BA159">
        <v>2</v>
      </c>
      <c r="BC159">
        <v>4</v>
      </c>
      <c r="BD159">
        <v>2</v>
      </c>
      <c r="BE159">
        <v>2</v>
      </c>
      <c r="BF159">
        <v>0</v>
      </c>
      <c r="BG159">
        <v>100</v>
      </c>
      <c r="BH159">
        <v>0</v>
      </c>
      <c r="BI159">
        <v>0</v>
      </c>
      <c r="BJ159">
        <v>0</v>
      </c>
      <c r="BK159">
        <v>0</v>
      </c>
      <c r="BL159">
        <v>0</v>
      </c>
      <c r="BM159">
        <v>0</v>
      </c>
      <c r="BN159">
        <v>0</v>
      </c>
      <c r="BO159">
        <v>1</v>
      </c>
      <c r="BP159">
        <v>2</v>
      </c>
      <c r="BQ159">
        <v>2</v>
      </c>
      <c r="BR159">
        <v>2</v>
      </c>
      <c r="BS159">
        <v>1</v>
      </c>
      <c r="BT159">
        <v>1</v>
      </c>
      <c r="BU159">
        <v>1</v>
      </c>
      <c r="BV159">
        <v>10</v>
      </c>
      <c r="BW159">
        <v>0</v>
      </c>
      <c r="BX159">
        <v>1</v>
      </c>
      <c r="BY159" t="s">
        <v>1040</v>
      </c>
    </row>
    <row r="160" spans="1:77" ht="360" x14ac:dyDescent="0.25">
      <c r="A160" t="s">
        <v>573</v>
      </c>
      <c r="B160" t="s">
        <v>146</v>
      </c>
      <c r="C160" t="s">
        <v>1005</v>
      </c>
      <c r="D160">
        <v>1</v>
      </c>
      <c r="E160">
        <v>65.188599999999994</v>
      </c>
      <c r="F160" s="3">
        <v>2307031109</v>
      </c>
      <c r="G160">
        <v>58</v>
      </c>
      <c r="H160">
        <v>1</v>
      </c>
      <c r="I160" s="1">
        <v>45130</v>
      </c>
      <c r="J160" s="2">
        <v>8.3333333333333329E-2</v>
      </c>
      <c r="K160" s="1">
        <v>45130</v>
      </c>
      <c r="L160" s="1">
        <v>45141</v>
      </c>
      <c r="M160">
        <v>7276991493</v>
      </c>
      <c r="O160">
        <v>6</v>
      </c>
      <c r="P160">
        <v>1</v>
      </c>
      <c r="Q160">
        <v>1</v>
      </c>
      <c r="R160">
        <v>2</v>
      </c>
      <c r="S160">
        <v>2</v>
      </c>
      <c r="T160">
        <v>2</v>
      </c>
      <c r="U160">
        <v>2</v>
      </c>
      <c r="V160">
        <v>2</v>
      </c>
      <c r="W160">
        <v>2</v>
      </c>
      <c r="X160">
        <v>2</v>
      </c>
      <c r="Y160">
        <v>2</v>
      </c>
      <c r="Z160" t="s">
        <v>147</v>
      </c>
      <c r="AA160">
        <v>14.9</v>
      </c>
      <c r="AD160">
        <v>26.58</v>
      </c>
      <c r="AE160">
        <v>11.2</v>
      </c>
      <c r="AF160">
        <v>177</v>
      </c>
      <c r="AG160">
        <v>118.8</v>
      </c>
      <c r="AH160">
        <v>50</v>
      </c>
      <c r="AI160">
        <v>41</v>
      </c>
      <c r="AJ160">
        <v>8.1999999999999993</v>
      </c>
      <c r="AK160">
        <v>267</v>
      </c>
      <c r="AO160" s="4" t="s">
        <v>148</v>
      </c>
      <c r="AQ160" s="4" t="s">
        <v>149</v>
      </c>
      <c r="AY160">
        <v>1</v>
      </c>
      <c r="AZ160">
        <v>2</v>
      </c>
      <c r="BA160">
        <v>2</v>
      </c>
      <c r="BF160">
        <v>2</v>
      </c>
      <c r="BG160">
        <v>85</v>
      </c>
      <c r="BH160">
        <v>0</v>
      </c>
      <c r="BI160">
        <v>0</v>
      </c>
      <c r="BJ160">
        <v>0</v>
      </c>
      <c r="BK160">
        <v>0</v>
      </c>
      <c r="BL160">
        <v>0</v>
      </c>
      <c r="BM160">
        <v>0</v>
      </c>
      <c r="BN160">
        <v>0</v>
      </c>
      <c r="BO160">
        <v>0</v>
      </c>
      <c r="BP160">
        <v>0</v>
      </c>
      <c r="BQ160">
        <v>0</v>
      </c>
      <c r="BR160">
        <v>0</v>
      </c>
      <c r="BS160">
        <v>0</v>
      </c>
      <c r="BT160">
        <v>0</v>
      </c>
      <c r="BU160">
        <v>1</v>
      </c>
      <c r="BV160">
        <v>1</v>
      </c>
      <c r="BW160">
        <v>0</v>
      </c>
      <c r="BX160">
        <v>1</v>
      </c>
      <c r="BY160">
        <v>0</v>
      </c>
    </row>
    <row r="161" spans="1:77" x14ac:dyDescent="0.25">
      <c r="A161" t="s">
        <v>929</v>
      </c>
      <c r="B161" t="s">
        <v>910</v>
      </c>
      <c r="C161" t="s">
        <v>1142</v>
      </c>
      <c r="D161">
        <v>0</v>
      </c>
      <c r="E161">
        <v>369.07400000000001</v>
      </c>
      <c r="F161" s="3">
        <v>240000086173</v>
      </c>
      <c r="G161">
        <v>88</v>
      </c>
      <c r="H161">
        <v>2</v>
      </c>
      <c r="I161" s="1">
        <v>45571</v>
      </c>
      <c r="J161" s="2">
        <v>0.25</v>
      </c>
      <c r="K161" s="1">
        <v>45571</v>
      </c>
      <c r="L161" s="1">
        <v>45572</v>
      </c>
      <c r="M161">
        <v>7058113899</v>
      </c>
      <c r="O161">
        <v>24</v>
      </c>
      <c r="P161">
        <v>1</v>
      </c>
      <c r="Q161">
        <v>2</v>
      </c>
      <c r="R161">
        <v>2</v>
      </c>
      <c r="S161">
        <v>2</v>
      </c>
      <c r="T161">
        <v>2</v>
      </c>
      <c r="U161">
        <v>2</v>
      </c>
      <c r="V161">
        <v>1</v>
      </c>
      <c r="W161">
        <v>2</v>
      </c>
      <c r="X161">
        <v>2</v>
      </c>
      <c r="Y161">
        <v>2</v>
      </c>
      <c r="Z161" t="s">
        <v>911</v>
      </c>
      <c r="AA161">
        <v>11.6</v>
      </c>
      <c r="AB161">
        <v>35.4</v>
      </c>
      <c r="AC161">
        <v>86.4</v>
      </c>
      <c r="AD161">
        <v>7.9</v>
      </c>
      <c r="AK161">
        <v>189</v>
      </c>
      <c r="AO161" t="s">
        <v>912</v>
      </c>
      <c r="AQ161" t="s">
        <v>913</v>
      </c>
      <c r="AS161">
        <v>5</v>
      </c>
      <c r="AT161">
        <v>1</v>
      </c>
      <c r="AU161">
        <v>2</v>
      </c>
      <c r="AV161">
        <v>1</v>
      </c>
      <c r="AW161">
        <v>3</v>
      </c>
      <c r="AY161">
        <v>1</v>
      </c>
      <c r="AZ161">
        <v>2</v>
      </c>
      <c r="BA161">
        <v>2</v>
      </c>
      <c r="BC161">
        <v>4</v>
      </c>
      <c r="BD161">
        <v>2</v>
      </c>
      <c r="BE161">
        <v>2</v>
      </c>
      <c r="BF161">
        <v>6</v>
      </c>
      <c r="BG161">
        <v>0</v>
      </c>
      <c r="BH161">
        <v>0</v>
      </c>
      <c r="BI161">
        <v>1</v>
      </c>
      <c r="BJ161">
        <v>0</v>
      </c>
      <c r="BK161">
        <v>0</v>
      </c>
      <c r="BL161">
        <v>0</v>
      </c>
      <c r="BM161">
        <v>0</v>
      </c>
      <c r="BN161">
        <v>1</v>
      </c>
      <c r="BO161">
        <v>0</v>
      </c>
      <c r="BP161">
        <v>0</v>
      </c>
      <c r="BQ161">
        <v>0</v>
      </c>
      <c r="BR161">
        <v>0</v>
      </c>
      <c r="BS161">
        <v>0</v>
      </c>
      <c r="BT161">
        <v>0</v>
      </c>
      <c r="BU161">
        <v>0</v>
      </c>
      <c r="BV161">
        <v>2</v>
      </c>
      <c r="BW161">
        <v>1</v>
      </c>
      <c r="BX161">
        <v>0</v>
      </c>
      <c r="BY161">
        <v>0</v>
      </c>
    </row>
    <row r="162" spans="1:77" ht="75" x14ac:dyDescent="0.25">
      <c r="A162" t="s">
        <v>578</v>
      </c>
      <c r="B162" t="s">
        <v>140</v>
      </c>
      <c r="C162" t="s">
        <v>1002</v>
      </c>
      <c r="D162">
        <v>1</v>
      </c>
      <c r="E162">
        <v>3.48706</v>
      </c>
      <c r="F162" s="3">
        <v>53</v>
      </c>
      <c r="G162">
        <v>53</v>
      </c>
      <c r="H162">
        <v>1</v>
      </c>
      <c r="K162" s="1">
        <v>45113</v>
      </c>
      <c r="L162" s="1">
        <v>45117</v>
      </c>
      <c r="M162">
        <v>7770011688</v>
      </c>
      <c r="N162">
        <v>9272419999</v>
      </c>
      <c r="O162">
        <v>0</v>
      </c>
      <c r="P162">
        <v>1</v>
      </c>
      <c r="Q162">
        <v>1</v>
      </c>
      <c r="R162">
        <v>2</v>
      </c>
      <c r="S162">
        <v>2</v>
      </c>
      <c r="T162">
        <v>2</v>
      </c>
      <c r="U162">
        <v>2</v>
      </c>
      <c r="V162">
        <v>2</v>
      </c>
      <c r="W162">
        <v>2</v>
      </c>
      <c r="X162">
        <v>2</v>
      </c>
      <c r="Y162">
        <v>2</v>
      </c>
      <c r="AA162">
        <v>14.4</v>
      </c>
      <c r="AB162">
        <v>41.9</v>
      </c>
      <c r="AC162">
        <v>87.3</v>
      </c>
      <c r="AD162">
        <v>8.66</v>
      </c>
      <c r="AF162">
        <v>173</v>
      </c>
      <c r="AG162">
        <v>125.8</v>
      </c>
      <c r="AH162">
        <v>35</v>
      </c>
      <c r="AI162">
        <v>6.1</v>
      </c>
      <c r="AK162">
        <v>716</v>
      </c>
      <c r="AL162">
        <v>239</v>
      </c>
      <c r="AO162" s="4" t="s">
        <v>141</v>
      </c>
      <c r="AQ162" s="4" t="s">
        <v>142</v>
      </c>
      <c r="AS162">
        <v>10</v>
      </c>
      <c r="AT162">
        <v>2</v>
      </c>
      <c r="AU162">
        <v>3</v>
      </c>
      <c r="AV162">
        <v>3</v>
      </c>
      <c r="AW162">
        <v>5</v>
      </c>
      <c r="AY162">
        <v>1</v>
      </c>
      <c r="AZ162">
        <v>1</v>
      </c>
      <c r="BA162">
        <v>2</v>
      </c>
      <c r="BF162">
        <v>1</v>
      </c>
      <c r="BG162">
        <v>100</v>
      </c>
      <c r="BH162">
        <v>0</v>
      </c>
      <c r="BI162">
        <v>0</v>
      </c>
      <c r="BJ162">
        <v>1</v>
      </c>
      <c r="BK162">
        <v>2</v>
      </c>
      <c r="BL162">
        <v>1</v>
      </c>
      <c r="BM162">
        <v>1</v>
      </c>
      <c r="BN162">
        <v>0</v>
      </c>
      <c r="BO162">
        <v>0</v>
      </c>
      <c r="BP162">
        <v>0</v>
      </c>
      <c r="BQ162">
        <v>0</v>
      </c>
      <c r="BR162">
        <v>0</v>
      </c>
      <c r="BS162">
        <v>0</v>
      </c>
      <c r="BT162">
        <v>0</v>
      </c>
      <c r="BU162">
        <v>0</v>
      </c>
      <c r="BV162">
        <v>5</v>
      </c>
      <c r="BW162">
        <v>1</v>
      </c>
      <c r="BX162">
        <v>0</v>
      </c>
      <c r="BY162">
        <v>0</v>
      </c>
    </row>
    <row r="163" spans="1:77" ht="330" x14ac:dyDescent="0.25">
      <c r="A163" t="s">
        <v>579</v>
      </c>
      <c r="B163" t="s">
        <v>199</v>
      </c>
      <c r="C163" t="s">
        <v>1019</v>
      </c>
      <c r="D163">
        <v>1</v>
      </c>
      <c r="E163">
        <v>86.009299999999996</v>
      </c>
      <c r="F163" s="3">
        <v>230801803</v>
      </c>
      <c r="G163">
        <v>75</v>
      </c>
      <c r="H163">
        <v>2</v>
      </c>
      <c r="I163" s="1">
        <v>45151</v>
      </c>
      <c r="J163" s="2">
        <v>0.5625</v>
      </c>
      <c r="K163" s="1">
        <v>45151</v>
      </c>
      <c r="L163" s="1">
        <v>45152</v>
      </c>
      <c r="M163">
        <v>9421802120</v>
      </c>
      <c r="O163">
        <v>11</v>
      </c>
      <c r="P163">
        <v>2</v>
      </c>
      <c r="Q163">
        <v>2</v>
      </c>
      <c r="R163">
        <v>2</v>
      </c>
      <c r="S163">
        <v>1</v>
      </c>
      <c r="T163">
        <v>2</v>
      </c>
      <c r="U163">
        <v>2</v>
      </c>
      <c r="V163">
        <v>2</v>
      </c>
      <c r="W163">
        <v>2</v>
      </c>
      <c r="X163">
        <v>2</v>
      </c>
      <c r="Y163">
        <v>2</v>
      </c>
      <c r="AA163">
        <v>12.3</v>
      </c>
      <c r="AD163">
        <v>20.72</v>
      </c>
      <c r="AE163">
        <v>6.1</v>
      </c>
      <c r="AF163">
        <v>236</v>
      </c>
      <c r="AG163">
        <v>153.4</v>
      </c>
      <c r="AH163">
        <v>37</v>
      </c>
      <c r="AI163">
        <v>228</v>
      </c>
      <c r="AJ163">
        <v>45</v>
      </c>
      <c r="AK163">
        <v>2000</v>
      </c>
      <c r="AM163" t="s">
        <v>200</v>
      </c>
      <c r="AO163" s="4" t="s">
        <v>201</v>
      </c>
      <c r="AQ163" s="4" t="s">
        <v>202</v>
      </c>
      <c r="AS163">
        <v>7</v>
      </c>
      <c r="AT163">
        <v>1</v>
      </c>
      <c r="AU163">
        <v>2</v>
      </c>
      <c r="AV163">
        <v>2</v>
      </c>
      <c r="AW163">
        <v>4</v>
      </c>
      <c r="AY163">
        <v>1</v>
      </c>
      <c r="AZ163">
        <v>2</v>
      </c>
      <c r="BA163">
        <v>1</v>
      </c>
      <c r="BB163">
        <v>1</v>
      </c>
      <c r="BF163">
        <v>6</v>
      </c>
      <c r="BG163">
        <v>0</v>
      </c>
      <c r="BH163">
        <v>0</v>
      </c>
      <c r="BI163">
        <v>2</v>
      </c>
      <c r="BJ163">
        <v>2</v>
      </c>
      <c r="BK163">
        <v>0</v>
      </c>
      <c r="BL163">
        <v>0</v>
      </c>
      <c r="BM163">
        <v>0</v>
      </c>
      <c r="BN163">
        <v>1</v>
      </c>
      <c r="BO163">
        <v>0</v>
      </c>
      <c r="BP163">
        <v>0</v>
      </c>
      <c r="BQ163">
        <v>0</v>
      </c>
      <c r="BR163">
        <v>0</v>
      </c>
      <c r="BS163">
        <v>0</v>
      </c>
      <c r="BT163">
        <v>0</v>
      </c>
      <c r="BU163">
        <v>0</v>
      </c>
      <c r="BV163">
        <v>5</v>
      </c>
      <c r="BW163">
        <v>1</v>
      </c>
      <c r="BX163">
        <v>0</v>
      </c>
      <c r="BY163">
        <v>0</v>
      </c>
    </row>
    <row r="164" spans="1:77" ht="375" x14ac:dyDescent="0.25">
      <c r="A164" t="s">
        <v>580</v>
      </c>
      <c r="B164" t="s">
        <v>126</v>
      </c>
      <c r="C164" t="s">
        <v>126</v>
      </c>
      <c r="D164">
        <v>1</v>
      </c>
      <c r="E164">
        <v>24.2254</v>
      </c>
      <c r="F164" s="3">
        <v>230200264</v>
      </c>
      <c r="G164">
        <v>53</v>
      </c>
      <c r="H164">
        <v>1</v>
      </c>
      <c r="I164" s="1">
        <v>44953</v>
      </c>
      <c r="K164" s="1">
        <v>44959</v>
      </c>
      <c r="L164" s="1">
        <v>44960</v>
      </c>
      <c r="M164">
        <v>7875077954</v>
      </c>
      <c r="P164">
        <v>2</v>
      </c>
      <c r="Q164">
        <v>2</v>
      </c>
      <c r="R164">
        <v>2</v>
      </c>
      <c r="S164">
        <v>2</v>
      </c>
      <c r="T164">
        <v>2</v>
      </c>
      <c r="U164">
        <v>2</v>
      </c>
      <c r="V164">
        <v>2</v>
      </c>
      <c r="W164">
        <v>2</v>
      </c>
      <c r="X164">
        <v>2</v>
      </c>
      <c r="Y164">
        <v>2</v>
      </c>
      <c r="AA164">
        <v>13</v>
      </c>
      <c r="AB164">
        <v>39.6</v>
      </c>
      <c r="AC164">
        <v>79</v>
      </c>
      <c r="AD164">
        <v>10.9</v>
      </c>
      <c r="AE164">
        <v>6.5</v>
      </c>
      <c r="AF164">
        <v>191</v>
      </c>
      <c r="AG164">
        <v>131.80000000000001</v>
      </c>
      <c r="AH164">
        <v>45</v>
      </c>
      <c r="AI164">
        <v>71</v>
      </c>
      <c r="AJ164">
        <v>14.2</v>
      </c>
      <c r="AK164">
        <v>2000</v>
      </c>
      <c r="AO164" s="4" t="s">
        <v>127</v>
      </c>
      <c r="AQ164" s="4" t="s">
        <v>128</v>
      </c>
      <c r="AS164">
        <v>8</v>
      </c>
      <c r="AT164">
        <v>1</v>
      </c>
      <c r="AU164">
        <v>3</v>
      </c>
      <c r="AV164">
        <v>3</v>
      </c>
      <c r="AW164">
        <v>4</v>
      </c>
      <c r="AY164">
        <v>1</v>
      </c>
      <c r="AZ164">
        <v>1</v>
      </c>
      <c r="BA164">
        <v>2</v>
      </c>
      <c r="BC164">
        <v>4</v>
      </c>
      <c r="BF164">
        <v>0</v>
      </c>
      <c r="BG164">
        <v>100</v>
      </c>
      <c r="BH164">
        <v>0</v>
      </c>
      <c r="BI164">
        <v>0</v>
      </c>
      <c r="BJ164">
        <v>0</v>
      </c>
      <c r="BK164">
        <v>0</v>
      </c>
      <c r="BL164">
        <v>0</v>
      </c>
      <c r="BM164">
        <v>0</v>
      </c>
      <c r="BN164">
        <v>0</v>
      </c>
      <c r="BO164">
        <v>0</v>
      </c>
      <c r="BP164">
        <v>1</v>
      </c>
      <c r="BQ164">
        <v>0</v>
      </c>
      <c r="BR164">
        <v>2</v>
      </c>
      <c r="BS164">
        <v>1</v>
      </c>
      <c r="BT164">
        <v>1</v>
      </c>
      <c r="BU164">
        <v>1</v>
      </c>
      <c r="BV164">
        <v>6</v>
      </c>
      <c r="BW164">
        <v>1</v>
      </c>
      <c r="BX164">
        <v>1</v>
      </c>
      <c r="BY164">
        <v>0</v>
      </c>
    </row>
    <row r="165" spans="1:77" ht="300" x14ac:dyDescent="0.25">
      <c r="A165" t="s">
        <v>583</v>
      </c>
      <c r="B165" t="s">
        <v>319</v>
      </c>
      <c r="C165" t="s">
        <v>1059</v>
      </c>
      <c r="D165">
        <v>1</v>
      </c>
      <c r="E165">
        <v>35.122500000000002</v>
      </c>
      <c r="F165" s="3">
        <v>230204724</v>
      </c>
      <c r="G165">
        <v>32</v>
      </c>
      <c r="H165">
        <v>1</v>
      </c>
      <c r="I165" s="1">
        <v>45346</v>
      </c>
      <c r="J165" s="2">
        <v>0.375</v>
      </c>
      <c r="K165" s="1">
        <v>44981</v>
      </c>
      <c r="L165" s="1">
        <v>44988</v>
      </c>
      <c r="M165">
        <v>9322008662</v>
      </c>
      <c r="O165">
        <v>10</v>
      </c>
      <c r="P165">
        <v>2</v>
      </c>
      <c r="Q165">
        <v>2</v>
      </c>
      <c r="R165">
        <v>2</v>
      </c>
      <c r="S165">
        <v>2</v>
      </c>
      <c r="T165">
        <v>2</v>
      </c>
      <c r="U165">
        <v>2</v>
      </c>
      <c r="V165">
        <v>2</v>
      </c>
      <c r="W165">
        <v>2</v>
      </c>
      <c r="X165">
        <v>1</v>
      </c>
      <c r="Y165">
        <v>2</v>
      </c>
      <c r="AA165">
        <v>14.5</v>
      </c>
      <c r="AB165">
        <v>44.6</v>
      </c>
      <c r="AC165">
        <v>80.2</v>
      </c>
      <c r="AD165">
        <v>11.6</v>
      </c>
      <c r="AF165">
        <v>138</v>
      </c>
      <c r="AG165">
        <v>81</v>
      </c>
      <c r="AH165">
        <v>34</v>
      </c>
      <c r="AI165">
        <v>115</v>
      </c>
      <c r="AJ165">
        <v>23</v>
      </c>
      <c r="AK165">
        <v>313</v>
      </c>
      <c r="AO165" s="4" t="s">
        <v>320</v>
      </c>
      <c r="AQ165" s="4" t="s">
        <v>321</v>
      </c>
      <c r="AT165">
        <v>1</v>
      </c>
      <c r="AU165">
        <v>3</v>
      </c>
      <c r="AV165">
        <v>3</v>
      </c>
      <c r="AW165">
        <v>4</v>
      </c>
      <c r="AY165">
        <v>2</v>
      </c>
      <c r="AZ165">
        <v>2</v>
      </c>
      <c r="BA165">
        <v>2</v>
      </c>
      <c r="BC165">
        <v>2</v>
      </c>
      <c r="BD165">
        <v>1</v>
      </c>
      <c r="BE165">
        <v>2</v>
      </c>
      <c r="BF165">
        <v>1</v>
      </c>
      <c r="BG165">
        <v>100</v>
      </c>
      <c r="BH165">
        <v>0</v>
      </c>
      <c r="BI165">
        <v>0</v>
      </c>
      <c r="BJ165">
        <v>0</v>
      </c>
      <c r="BK165">
        <v>0</v>
      </c>
      <c r="BL165">
        <v>0</v>
      </c>
      <c r="BM165">
        <v>0</v>
      </c>
      <c r="BN165">
        <v>0</v>
      </c>
      <c r="BO165">
        <v>1</v>
      </c>
      <c r="BP165">
        <v>2</v>
      </c>
      <c r="BQ165">
        <v>0</v>
      </c>
      <c r="BR165">
        <v>0</v>
      </c>
      <c r="BS165">
        <v>1</v>
      </c>
      <c r="BT165">
        <v>1</v>
      </c>
      <c r="BU165">
        <v>1</v>
      </c>
      <c r="BV165">
        <v>6</v>
      </c>
      <c r="BW165">
        <v>1</v>
      </c>
      <c r="BX165">
        <v>1</v>
      </c>
      <c r="BY165">
        <v>0</v>
      </c>
    </row>
    <row r="166" spans="1:77" x14ac:dyDescent="0.25">
      <c r="A166" s="8"/>
      <c r="B166" s="8" t="s">
        <v>272</v>
      </c>
      <c r="C166" s="8" t="e">
        <v>#N/A</v>
      </c>
      <c r="D166" s="8" t="e">
        <v>#N/A</v>
      </c>
      <c r="E166" s="8">
        <v>200.62200000000001</v>
      </c>
      <c r="F166" s="9">
        <v>231100398</v>
      </c>
      <c r="G166" s="8">
        <v>69</v>
      </c>
      <c r="H166" s="8">
        <v>2</v>
      </c>
      <c r="I166" s="10">
        <v>45234</v>
      </c>
      <c r="J166" s="11">
        <v>0.375</v>
      </c>
      <c r="K166" s="10">
        <v>45236</v>
      </c>
      <c r="L166" s="10">
        <v>45239</v>
      </c>
      <c r="M166" s="8">
        <v>9421240186</v>
      </c>
      <c r="N166" s="8">
        <v>9421250424</v>
      </c>
      <c r="O166" s="8"/>
      <c r="P166" s="8">
        <v>1</v>
      </c>
      <c r="Q166" s="8">
        <v>2</v>
      </c>
      <c r="R166" s="8">
        <v>2</v>
      </c>
      <c r="S166" s="8">
        <v>2</v>
      </c>
      <c r="T166" s="8">
        <v>2</v>
      </c>
      <c r="U166" s="8">
        <v>2</v>
      </c>
      <c r="V166" s="8">
        <v>2</v>
      </c>
      <c r="W166" s="8">
        <v>2</v>
      </c>
      <c r="X166" s="8">
        <v>2</v>
      </c>
      <c r="Y166" s="8">
        <v>2</v>
      </c>
      <c r="Z166" s="8"/>
      <c r="AA166" s="8">
        <v>13</v>
      </c>
      <c r="AB166" s="8">
        <v>39.5</v>
      </c>
      <c r="AC166" s="8">
        <v>83.3</v>
      </c>
      <c r="AD166" s="8">
        <v>18.13</v>
      </c>
      <c r="AE166" s="8">
        <v>10.6</v>
      </c>
      <c r="AF166" s="8">
        <v>158</v>
      </c>
      <c r="AG166" s="8">
        <v>108.2</v>
      </c>
      <c r="AH166" s="8">
        <v>40</v>
      </c>
      <c r="AI166" s="8">
        <v>49</v>
      </c>
      <c r="AJ166" s="8">
        <v>9.8000000000000007</v>
      </c>
      <c r="AK166" s="8">
        <v>2000</v>
      </c>
      <c r="AL166" s="8"/>
      <c r="AM166" s="8"/>
      <c r="AN166" s="8"/>
      <c r="AO166" s="8"/>
      <c r="AP166" s="8"/>
      <c r="AQ166" s="8" t="s">
        <v>273</v>
      </c>
      <c r="AR166" s="8"/>
      <c r="AS166" s="8"/>
      <c r="AT166" s="8">
        <v>1</v>
      </c>
      <c r="AU166" s="8">
        <v>2</v>
      </c>
      <c r="AV166" s="8">
        <v>2</v>
      </c>
      <c r="AW166" s="8">
        <v>4</v>
      </c>
      <c r="AX166" s="8"/>
      <c r="AY166" s="8">
        <v>1</v>
      </c>
      <c r="AZ166" s="8">
        <v>1</v>
      </c>
      <c r="BA166" s="8">
        <v>2</v>
      </c>
      <c r="BB166" s="8"/>
      <c r="BC166" s="8">
        <v>1</v>
      </c>
      <c r="BD166" s="8">
        <v>2</v>
      </c>
      <c r="BE166" s="8">
        <v>2</v>
      </c>
      <c r="BF166" s="8">
        <v>6</v>
      </c>
      <c r="BG166" s="8">
        <v>0</v>
      </c>
      <c r="BH166" s="8"/>
      <c r="BI166" s="8"/>
      <c r="BJ166" s="8"/>
      <c r="BK166" s="8"/>
      <c r="BL166" s="8"/>
      <c r="BM166" s="8"/>
      <c r="BN166" s="8"/>
      <c r="BO166" s="8">
        <v>0</v>
      </c>
      <c r="BP166" s="8">
        <v>2</v>
      </c>
      <c r="BQ166" s="8">
        <v>0</v>
      </c>
      <c r="BR166" s="8">
        <v>1</v>
      </c>
      <c r="BS166" s="8">
        <v>1</v>
      </c>
      <c r="BT166" s="8">
        <v>1</v>
      </c>
      <c r="BU166" s="8">
        <v>1</v>
      </c>
      <c r="BV166" s="8">
        <v>6</v>
      </c>
      <c r="BW166" s="8">
        <v>0</v>
      </c>
      <c r="BX166" s="8">
        <v>1</v>
      </c>
      <c r="BY166" s="8" t="s">
        <v>1040</v>
      </c>
    </row>
    <row r="167" spans="1:77" ht="75" x14ac:dyDescent="0.25">
      <c r="A167" t="s">
        <v>585</v>
      </c>
      <c r="B167" t="s">
        <v>194</v>
      </c>
      <c r="C167" t="s">
        <v>1018</v>
      </c>
      <c r="D167">
        <v>0</v>
      </c>
      <c r="E167">
        <v>76.560299999999998</v>
      </c>
      <c r="F167" s="3">
        <v>150506252</v>
      </c>
      <c r="G167">
        <v>33</v>
      </c>
      <c r="H167">
        <v>2</v>
      </c>
      <c r="I167" s="1">
        <v>45156</v>
      </c>
      <c r="J167" s="2">
        <v>0.375</v>
      </c>
      <c r="K167" s="1">
        <v>45156</v>
      </c>
      <c r="L167" s="1">
        <v>45162</v>
      </c>
      <c r="M167">
        <v>9096995588</v>
      </c>
      <c r="O167">
        <v>9</v>
      </c>
      <c r="P167">
        <v>2</v>
      </c>
      <c r="Q167">
        <v>2</v>
      </c>
      <c r="R167">
        <v>2</v>
      </c>
      <c r="S167">
        <v>2</v>
      </c>
      <c r="T167">
        <v>2</v>
      </c>
      <c r="U167">
        <v>2</v>
      </c>
      <c r="V167">
        <v>2</v>
      </c>
      <c r="W167">
        <v>2</v>
      </c>
      <c r="X167">
        <v>2</v>
      </c>
      <c r="Y167">
        <v>2</v>
      </c>
      <c r="Z167" t="s">
        <v>195</v>
      </c>
      <c r="AA167">
        <v>10.9</v>
      </c>
      <c r="AB167">
        <v>33.4</v>
      </c>
      <c r="AD167">
        <v>8.6199999999999992</v>
      </c>
      <c r="AE167">
        <v>5</v>
      </c>
      <c r="AK167">
        <v>1099</v>
      </c>
      <c r="AM167" t="s">
        <v>196</v>
      </c>
      <c r="AO167" s="4" t="s">
        <v>197</v>
      </c>
      <c r="AQ167" s="4" t="s">
        <v>198</v>
      </c>
      <c r="AT167">
        <v>1</v>
      </c>
      <c r="AU167">
        <v>2</v>
      </c>
      <c r="AV167">
        <v>3</v>
      </c>
      <c r="AW167">
        <v>4</v>
      </c>
      <c r="AY167">
        <v>1</v>
      </c>
      <c r="BA167">
        <v>2</v>
      </c>
      <c r="BD167">
        <v>1</v>
      </c>
      <c r="BE167">
        <v>2</v>
      </c>
      <c r="BF167">
        <v>6</v>
      </c>
      <c r="BG167">
        <v>0</v>
      </c>
      <c r="BH167">
        <v>1</v>
      </c>
      <c r="BI167">
        <v>2</v>
      </c>
      <c r="BJ167">
        <v>2</v>
      </c>
      <c r="BK167">
        <v>0</v>
      </c>
      <c r="BL167">
        <v>0</v>
      </c>
      <c r="BM167">
        <v>1</v>
      </c>
      <c r="BN167">
        <v>1</v>
      </c>
      <c r="BO167">
        <v>0</v>
      </c>
      <c r="BP167">
        <v>0</v>
      </c>
      <c r="BQ167">
        <v>0</v>
      </c>
      <c r="BR167">
        <v>0</v>
      </c>
      <c r="BS167">
        <v>0</v>
      </c>
      <c r="BT167">
        <v>0</v>
      </c>
      <c r="BU167">
        <v>0</v>
      </c>
      <c r="BV167">
        <v>7</v>
      </c>
      <c r="BW167">
        <v>1</v>
      </c>
      <c r="BX167">
        <v>1</v>
      </c>
      <c r="BY167">
        <v>0</v>
      </c>
    </row>
    <row r="168" spans="1:77" ht="409.5" x14ac:dyDescent="0.25">
      <c r="A168" t="s">
        <v>593</v>
      </c>
      <c r="B168" t="s">
        <v>97</v>
      </c>
      <c r="C168" t="s">
        <v>97</v>
      </c>
      <c r="D168">
        <v>1</v>
      </c>
      <c r="E168">
        <v>10.412800000000001</v>
      </c>
      <c r="F168" s="3">
        <v>180201236</v>
      </c>
      <c r="G168">
        <v>64</v>
      </c>
      <c r="H168">
        <v>2</v>
      </c>
      <c r="I168" s="1">
        <v>44932</v>
      </c>
      <c r="J168" s="2">
        <v>0.45833333333333331</v>
      </c>
      <c r="K168" s="1">
        <v>44934</v>
      </c>
      <c r="L168" s="1">
        <v>44938</v>
      </c>
      <c r="M168">
        <v>8208450620</v>
      </c>
      <c r="P168">
        <v>1</v>
      </c>
      <c r="Q168">
        <v>1</v>
      </c>
      <c r="R168">
        <v>2</v>
      </c>
      <c r="S168">
        <v>2</v>
      </c>
      <c r="T168">
        <v>2</v>
      </c>
      <c r="U168">
        <v>2</v>
      </c>
      <c r="V168">
        <v>2</v>
      </c>
      <c r="W168">
        <v>1</v>
      </c>
      <c r="X168">
        <v>2</v>
      </c>
      <c r="Y168">
        <v>2</v>
      </c>
      <c r="AA168">
        <v>9.6999999999999993</v>
      </c>
      <c r="AB168">
        <v>31.7</v>
      </c>
      <c r="AC168">
        <v>84.7</v>
      </c>
      <c r="AD168">
        <v>29.9</v>
      </c>
      <c r="AE168">
        <v>11.2</v>
      </c>
      <c r="AK168">
        <v>260</v>
      </c>
      <c r="AO168" s="4" t="s">
        <v>98</v>
      </c>
      <c r="AQ168" s="4" t="s">
        <v>99</v>
      </c>
      <c r="AT168">
        <v>1</v>
      </c>
      <c r="AU168">
        <v>2</v>
      </c>
      <c r="AV168">
        <v>3</v>
      </c>
      <c r="AW168">
        <v>4</v>
      </c>
      <c r="AY168">
        <v>1</v>
      </c>
      <c r="AZ168">
        <v>1</v>
      </c>
      <c r="BA168">
        <v>2</v>
      </c>
      <c r="BC168">
        <v>4</v>
      </c>
      <c r="BF168">
        <v>4</v>
      </c>
      <c r="BG168">
        <v>50</v>
      </c>
      <c r="BH168">
        <v>0</v>
      </c>
      <c r="BI168">
        <v>0</v>
      </c>
      <c r="BJ168">
        <v>0</v>
      </c>
      <c r="BK168">
        <v>0</v>
      </c>
      <c r="BL168">
        <v>0</v>
      </c>
      <c r="BM168">
        <v>0</v>
      </c>
      <c r="BN168">
        <v>0</v>
      </c>
      <c r="BO168">
        <v>0</v>
      </c>
      <c r="BP168">
        <v>1</v>
      </c>
      <c r="BQ168">
        <v>2</v>
      </c>
      <c r="BR168">
        <v>2</v>
      </c>
      <c r="BS168">
        <v>1</v>
      </c>
      <c r="BT168">
        <v>1</v>
      </c>
      <c r="BU168">
        <v>1</v>
      </c>
      <c r="BV168">
        <v>8</v>
      </c>
      <c r="BW168">
        <v>1</v>
      </c>
      <c r="BX168">
        <v>1</v>
      </c>
      <c r="BY168">
        <v>0</v>
      </c>
    </row>
    <row r="169" spans="1:77" x14ac:dyDescent="0.25">
      <c r="B169" t="s">
        <v>18</v>
      </c>
      <c r="C169" t="e">
        <v>#N/A</v>
      </c>
      <c r="D169" t="e">
        <v>#N/A</v>
      </c>
      <c r="E169">
        <v>23.140499999999999</v>
      </c>
      <c r="F169" s="3">
        <v>201001811</v>
      </c>
      <c r="G169">
        <v>59</v>
      </c>
      <c r="H169">
        <v>1</v>
      </c>
      <c r="I169" s="1">
        <v>45170</v>
      </c>
      <c r="J169" s="2">
        <v>4.8148148148148141E-2</v>
      </c>
      <c r="K169" s="1">
        <v>45170</v>
      </c>
      <c r="L169" s="1">
        <v>45173</v>
      </c>
      <c r="M169">
        <v>8888111011</v>
      </c>
      <c r="N169">
        <v>9404233539</v>
      </c>
      <c r="O169">
        <v>27</v>
      </c>
      <c r="P169">
        <v>1</v>
      </c>
      <c r="Q169">
        <v>1</v>
      </c>
      <c r="R169">
        <v>1</v>
      </c>
      <c r="S169">
        <v>1</v>
      </c>
      <c r="T169">
        <v>2</v>
      </c>
      <c r="U169">
        <v>2</v>
      </c>
      <c r="V169">
        <v>2</v>
      </c>
      <c r="W169">
        <v>2</v>
      </c>
      <c r="X169">
        <v>2</v>
      </c>
      <c r="Y169">
        <v>1</v>
      </c>
      <c r="Z169" t="s">
        <v>19</v>
      </c>
      <c r="AA169">
        <v>11.3</v>
      </c>
      <c r="AB169">
        <v>37</v>
      </c>
      <c r="AC169">
        <v>81.8</v>
      </c>
      <c r="AD169">
        <v>6.67</v>
      </c>
      <c r="AE169">
        <v>8.5</v>
      </c>
      <c r="AF169">
        <v>85</v>
      </c>
      <c r="AG169">
        <v>30.8</v>
      </c>
      <c r="AH169">
        <v>38</v>
      </c>
      <c r="AI169">
        <v>81</v>
      </c>
      <c r="AK169">
        <v>883</v>
      </c>
      <c r="AO169" t="s">
        <v>20</v>
      </c>
      <c r="AQ169" t="s">
        <v>21</v>
      </c>
      <c r="AT169">
        <v>1</v>
      </c>
      <c r="AU169">
        <v>3</v>
      </c>
      <c r="AV169">
        <v>3</v>
      </c>
      <c r="AW169">
        <v>4</v>
      </c>
      <c r="AY169">
        <v>1</v>
      </c>
      <c r="AZ169">
        <v>2</v>
      </c>
      <c r="BA169">
        <v>2</v>
      </c>
      <c r="BC169">
        <v>4</v>
      </c>
      <c r="BF169">
        <v>6</v>
      </c>
      <c r="BG169">
        <v>0</v>
      </c>
      <c r="BO169">
        <v>0</v>
      </c>
      <c r="BP169">
        <v>0</v>
      </c>
      <c r="BQ169">
        <v>2</v>
      </c>
      <c r="BR169">
        <v>2</v>
      </c>
      <c r="BS169">
        <v>2</v>
      </c>
      <c r="BT169">
        <v>1</v>
      </c>
      <c r="BU169">
        <v>1</v>
      </c>
      <c r="BV169">
        <v>8</v>
      </c>
      <c r="BW169">
        <v>0</v>
      </c>
      <c r="BX169">
        <v>0</v>
      </c>
      <c r="BY169" t="s">
        <v>1051</v>
      </c>
    </row>
    <row r="170" spans="1:77" ht="409.5" x14ac:dyDescent="0.25">
      <c r="A170" t="s">
        <v>596</v>
      </c>
      <c r="B170" t="s">
        <v>326</v>
      </c>
      <c r="C170" t="s">
        <v>326</v>
      </c>
      <c r="D170">
        <v>1</v>
      </c>
      <c r="E170">
        <v>33.3934</v>
      </c>
      <c r="F170" s="3">
        <v>230205341</v>
      </c>
      <c r="G170">
        <v>58</v>
      </c>
      <c r="H170">
        <v>1</v>
      </c>
      <c r="I170" s="1">
        <v>44980</v>
      </c>
      <c r="K170" s="1">
        <v>44984</v>
      </c>
      <c r="L170" s="1">
        <v>44988</v>
      </c>
      <c r="M170">
        <v>9673959376</v>
      </c>
      <c r="O170">
        <v>7</v>
      </c>
      <c r="P170">
        <v>2</v>
      </c>
      <c r="Q170">
        <v>2</v>
      </c>
      <c r="R170">
        <v>1</v>
      </c>
      <c r="S170">
        <v>2</v>
      </c>
      <c r="T170">
        <v>2</v>
      </c>
      <c r="U170">
        <v>2</v>
      </c>
      <c r="V170">
        <v>2</v>
      </c>
      <c r="W170">
        <v>2</v>
      </c>
      <c r="X170">
        <v>2</v>
      </c>
      <c r="Y170">
        <v>2</v>
      </c>
      <c r="AA170">
        <v>15.4</v>
      </c>
      <c r="AB170">
        <v>45.8</v>
      </c>
      <c r="AC170">
        <v>99.8</v>
      </c>
      <c r="AD170">
        <v>15.67</v>
      </c>
      <c r="AE170">
        <v>5.6</v>
      </c>
      <c r="AK170">
        <v>2000</v>
      </c>
      <c r="AO170" s="4" t="s">
        <v>327</v>
      </c>
      <c r="AQ170" s="4" t="s">
        <v>328</v>
      </c>
      <c r="AT170">
        <v>1</v>
      </c>
      <c r="AU170">
        <v>3</v>
      </c>
      <c r="AV170">
        <v>3</v>
      </c>
      <c r="AW170">
        <v>5</v>
      </c>
      <c r="AY170">
        <v>1</v>
      </c>
      <c r="AZ170">
        <v>1</v>
      </c>
      <c r="BA170">
        <v>2</v>
      </c>
      <c r="BD170">
        <v>2</v>
      </c>
      <c r="BE170">
        <v>2</v>
      </c>
      <c r="BF170">
        <v>4</v>
      </c>
      <c r="BG170">
        <v>65</v>
      </c>
      <c r="BH170">
        <v>0</v>
      </c>
      <c r="BI170">
        <v>2</v>
      </c>
      <c r="BJ170">
        <v>1</v>
      </c>
      <c r="BK170">
        <v>2</v>
      </c>
      <c r="BL170">
        <v>1</v>
      </c>
      <c r="BM170">
        <v>1</v>
      </c>
      <c r="BN170">
        <v>1</v>
      </c>
      <c r="BO170">
        <v>0</v>
      </c>
      <c r="BP170">
        <v>0</v>
      </c>
      <c r="BQ170">
        <v>0</v>
      </c>
      <c r="BR170">
        <v>0</v>
      </c>
      <c r="BS170">
        <v>0</v>
      </c>
      <c r="BT170">
        <v>0</v>
      </c>
      <c r="BU170">
        <v>0</v>
      </c>
      <c r="BV170">
        <v>8</v>
      </c>
      <c r="BW170">
        <v>1</v>
      </c>
      <c r="BX170">
        <v>1</v>
      </c>
      <c r="BY170">
        <v>0</v>
      </c>
    </row>
    <row r="171" spans="1:77" ht="270" x14ac:dyDescent="0.25">
      <c r="A171" t="s">
        <v>592</v>
      </c>
      <c r="B171" t="s">
        <v>65</v>
      </c>
      <c r="C171" t="s">
        <v>989</v>
      </c>
      <c r="D171">
        <v>1</v>
      </c>
      <c r="E171">
        <v>48.421700000000001</v>
      </c>
      <c r="F171" s="3">
        <v>110103214</v>
      </c>
      <c r="G171">
        <v>90</v>
      </c>
      <c r="H171">
        <v>1</v>
      </c>
      <c r="I171" s="1">
        <v>45103</v>
      </c>
      <c r="J171" s="2">
        <v>0.31944444444444448</v>
      </c>
      <c r="K171" s="1">
        <v>45103</v>
      </c>
      <c r="L171" s="1">
        <v>45104</v>
      </c>
      <c r="M171">
        <v>9552409747</v>
      </c>
      <c r="O171">
        <v>24</v>
      </c>
      <c r="P171">
        <v>1</v>
      </c>
      <c r="Q171">
        <v>1</v>
      </c>
      <c r="R171">
        <v>2</v>
      </c>
      <c r="S171">
        <v>2</v>
      </c>
      <c r="T171">
        <v>2</v>
      </c>
      <c r="U171">
        <v>2</v>
      </c>
      <c r="V171">
        <v>2</v>
      </c>
      <c r="W171">
        <v>2</v>
      </c>
      <c r="X171">
        <v>2</v>
      </c>
      <c r="Y171">
        <v>2</v>
      </c>
      <c r="Z171" t="s">
        <v>66</v>
      </c>
      <c r="AA171">
        <v>8.6999999999999993</v>
      </c>
      <c r="AB171">
        <v>27.7</v>
      </c>
      <c r="AC171">
        <v>64.2</v>
      </c>
      <c r="AD171">
        <v>5.0599999999999996</v>
      </c>
      <c r="AE171">
        <v>5.8</v>
      </c>
      <c r="AF171">
        <v>98</v>
      </c>
      <c r="AG171">
        <v>49.6</v>
      </c>
      <c r="AH171">
        <v>25</v>
      </c>
      <c r="AI171">
        <v>117</v>
      </c>
      <c r="AJ171">
        <v>23.4</v>
      </c>
      <c r="AK171">
        <v>2000</v>
      </c>
      <c r="AO171" s="4" t="s">
        <v>67</v>
      </c>
      <c r="AQ171" s="4" t="s">
        <v>68</v>
      </c>
      <c r="AT171">
        <v>1</v>
      </c>
      <c r="AU171">
        <v>2</v>
      </c>
      <c r="AV171">
        <v>3</v>
      </c>
      <c r="AW171">
        <v>4</v>
      </c>
      <c r="AY171">
        <v>1</v>
      </c>
      <c r="AZ171">
        <v>1</v>
      </c>
      <c r="BA171">
        <v>2</v>
      </c>
      <c r="BF171">
        <v>5</v>
      </c>
      <c r="BG171">
        <v>15</v>
      </c>
      <c r="BH171">
        <v>0</v>
      </c>
      <c r="BI171">
        <v>0</v>
      </c>
      <c r="BJ171">
        <v>0</v>
      </c>
      <c r="BK171">
        <v>0</v>
      </c>
      <c r="BL171">
        <v>0</v>
      </c>
      <c r="BM171">
        <v>0</v>
      </c>
      <c r="BN171">
        <v>0</v>
      </c>
      <c r="BO171">
        <v>0</v>
      </c>
      <c r="BP171">
        <v>1</v>
      </c>
      <c r="BQ171">
        <v>2</v>
      </c>
      <c r="BR171">
        <v>2</v>
      </c>
      <c r="BS171">
        <v>1</v>
      </c>
      <c r="BT171">
        <v>1</v>
      </c>
      <c r="BU171">
        <v>1</v>
      </c>
      <c r="BV171">
        <v>8</v>
      </c>
      <c r="BW171">
        <v>0</v>
      </c>
      <c r="BX171">
        <v>1</v>
      </c>
      <c r="BY171">
        <v>0</v>
      </c>
    </row>
    <row r="172" spans="1:77" ht="390" x14ac:dyDescent="0.25">
      <c r="A172" t="s">
        <v>710</v>
      </c>
      <c r="B172" t="s">
        <v>137</v>
      </c>
      <c r="C172" t="s">
        <v>1001</v>
      </c>
      <c r="D172">
        <v>0</v>
      </c>
      <c r="E172">
        <v>4.9787499999999998</v>
      </c>
      <c r="F172" s="3">
        <v>151007079</v>
      </c>
      <c r="G172">
        <v>77</v>
      </c>
      <c r="H172">
        <v>2</v>
      </c>
      <c r="I172" s="1">
        <v>45119</v>
      </c>
      <c r="J172" s="2">
        <v>0.375</v>
      </c>
      <c r="K172" s="1">
        <v>45124</v>
      </c>
      <c r="L172" s="1">
        <v>45125</v>
      </c>
      <c r="O172">
        <v>2</v>
      </c>
      <c r="P172">
        <v>1</v>
      </c>
      <c r="Q172">
        <v>1</v>
      </c>
      <c r="R172">
        <v>2</v>
      </c>
      <c r="S172">
        <v>2</v>
      </c>
      <c r="T172">
        <v>2</v>
      </c>
      <c r="U172">
        <v>2</v>
      </c>
      <c r="V172">
        <v>2</v>
      </c>
      <c r="W172">
        <v>2</v>
      </c>
      <c r="X172">
        <v>2</v>
      </c>
      <c r="Y172">
        <v>1</v>
      </c>
      <c r="AA172">
        <v>12.7</v>
      </c>
      <c r="AB172">
        <v>39.5</v>
      </c>
      <c r="AC172">
        <v>81.900000000000006</v>
      </c>
      <c r="AD172">
        <v>5.82</v>
      </c>
      <c r="AF172">
        <v>9.6999999999999993</v>
      </c>
      <c r="AG172">
        <v>76</v>
      </c>
      <c r="AH172">
        <v>27</v>
      </c>
      <c r="AI172">
        <v>165</v>
      </c>
      <c r="AJ172">
        <v>33</v>
      </c>
      <c r="AK172">
        <v>2000</v>
      </c>
      <c r="AO172" s="4" t="s">
        <v>138</v>
      </c>
      <c r="AQ172" s="4" t="s">
        <v>139</v>
      </c>
      <c r="AT172">
        <v>1</v>
      </c>
      <c r="AU172">
        <v>3</v>
      </c>
      <c r="AV172">
        <v>3</v>
      </c>
      <c r="AW172">
        <v>5</v>
      </c>
      <c r="AY172">
        <v>1</v>
      </c>
      <c r="AZ172">
        <v>2</v>
      </c>
      <c r="BA172">
        <v>2</v>
      </c>
      <c r="BF172">
        <v>0</v>
      </c>
      <c r="BG172">
        <v>100</v>
      </c>
      <c r="BH172">
        <v>1</v>
      </c>
      <c r="BI172">
        <v>1</v>
      </c>
      <c r="BJ172">
        <v>1</v>
      </c>
      <c r="BK172">
        <v>2</v>
      </c>
      <c r="BL172">
        <v>1</v>
      </c>
      <c r="BM172">
        <v>1</v>
      </c>
      <c r="BN172">
        <v>1</v>
      </c>
      <c r="BO172">
        <v>0</v>
      </c>
      <c r="BP172">
        <v>0</v>
      </c>
      <c r="BQ172">
        <v>0</v>
      </c>
      <c r="BR172">
        <v>0</v>
      </c>
      <c r="BS172">
        <v>0</v>
      </c>
      <c r="BT172">
        <v>0</v>
      </c>
      <c r="BU172">
        <v>0</v>
      </c>
      <c r="BV172">
        <v>8</v>
      </c>
      <c r="BW172">
        <v>1</v>
      </c>
      <c r="BX172">
        <v>1</v>
      </c>
      <c r="BY172">
        <v>1</v>
      </c>
    </row>
    <row r="173" spans="1:77" ht="105" x14ac:dyDescent="0.25">
      <c r="A173" t="s">
        <v>608</v>
      </c>
      <c r="B173" t="s">
        <v>33</v>
      </c>
      <c r="C173" t="s">
        <v>977</v>
      </c>
      <c r="D173">
        <v>1</v>
      </c>
      <c r="E173">
        <v>5.3274599999999998E-2</v>
      </c>
      <c r="F173" s="3">
        <v>120205789</v>
      </c>
      <c r="G173">
        <v>78</v>
      </c>
      <c r="H173">
        <v>1</v>
      </c>
      <c r="I173" s="1">
        <v>45170</v>
      </c>
      <c r="J173" s="2">
        <v>0.49305555555555558</v>
      </c>
      <c r="K173" s="1">
        <v>45170</v>
      </c>
      <c r="L173" s="1">
        <v>45173</v>
      </c>
      <c r="M173">
        <v>9850007762</v>
      </c>
      <c r="P173">
        <v>1</v>
      </c>
      <c r="Q173">
        <v>1</v>
      </c>
      <c r="R173">
        <v>2</v>
      </c>
      <c r="S173">
        <v>2</v>
      </c>
      <c r="T173">
        <v>2</v>
      </c>
      <c r="U173">
        <v>2</v>
      </c>
      <c r="V173">
        <v>2</v>
      </c>
      <c r="W173">
        <v>2</v>
      </c>
      <c r="X173">
        <v>2</v>
      </c>
      <c r="Y173">
        <v>1</v>
      </c>
      <c r="Z173" t="s">
        <v>34</v>
      </c>
      <c r="AA173">
        <v>13.2</v>
      </c>
      <c r="AD173">
        <v>28.51</v>
      </c>
      <c r="AE173">
        <v>8.1</v>
      </c>
      <c r="AF173">
        <v>111</v>
      </c>
      <c r="AG173">
        <v>54</v>
      </c>
      <c r="AH173">
        <v>33</v>
      </c>
      <c r="AI173">
        <v>117</v>
      </c>
      <c r="AJ173">
        <v>23.4</v>
      </c>
      <c r="AK173">
        <v>328</v>
      </c>
      <c r="AO173" s="4" t="s">
        <v>35</v>
      </c>
      <c r="AQ173" s="4"/>
      <c r="AT173">
        <v>1</v>
      </c>
      <c r="AU173">
        <v>3</v>
      </c>
      <c r="AV173">
        <v>3</v>
      </c>
      <c r="AW173">
        <v>5</v>
      </c>
      <c r="AY173">
        <v>1</v>
      </c>
      <c r="AZ173">
        <v>1</v>
      </c>
      <c r="BA173">
        <v>2</v>
      </c>
      <c r="BC173">
        <v>4</v>
      </c>
      <c r="BF173">
        <v>1</v>
      </c>
      <c r="BG173">
        <v>100</v>
      </c>
      <c r="BH173">
        <v>0</v>
      </c>
      <c r="BI173">
        <v>0</v>
      </c>
      <c r="BJ173">
        <v>0</v>
      </c>
      <c r="BK173">
        <v>0</v>
      </c>
      <c r="BL173">
        <v>0</v>
      </c>
      <c r="BM173">
        <v>0</v>
      </c>
      <c r="BN173">
        <v>0</v>
      </c>
      <c r="BO173">
        <v>1</v>
      </c>
      <c r="BP173">
        <v>1</v>
      </c>
      <c r="BQ173">
        <v>2</v>
      </c>
      <c r="BR173">
        <v>2</v>
      </c>
      <c r="BS173">
        <v>1</v>
      </c>
      <c r="BT173">
        <v>1</v>
      </c>
      <c r="BU173">
        <v>1</v>
      </c>
      <c r="BV173">
        <v>9</v>
      </c>
      <c r="BW173">
        <v>0</v>
      </c>
      <c r="BX173">
        <v>0</v>
      </c>
      <c r="BY173">
        <v>0</v>
      </c>
    </row>
    <row r="174" spans="1:77" ht="210" x14ac:dyDescent="0.25">
      <c r="A174" t="s">
        <v>625</v>
      </c>
      <c r="B174" t="s">
        <v>311</v>
      </c>
      <c r="C174" t="s">
        <v>1056</v>
      </c>
      <c r="D174">
        <v>0</v>
      </c>
      <c r="E174">
        <v>0.80396100000000004</v>
      </c>
      <c r="F174" s="3">
        <v>230201446</v>
      </c>
      <c r="G174">
        <v>32</v>
      </c>
      <c r="H174">
        <v>1</v>
      </c>
      <c r="I174" s="1">
        <v>44964</v>
      </c>
      <c r="J174" s="2">
        <v>0.875</v>
      </c>
      <c r="K174" s="1">
        <v>44965</v>
      </c>
      <c r="L174" s="1">
        <v>44967</v>
      </c>
      <c r="M174">
        <v>8550995333</v>
      </c>
      <c r="P174">
        <v>2</v>
      </c>
      <c r="Q174">
        <v>2</v>
      </c>
      <c r="R174">
        <v>2</v>
      </c>
      <c r="S174">
        <v>2</v>
      </c>
      <c r="T174">
        <v>2</v>
      </c>
      <c r="U174">
        <v>2</v>
      </c>
      <c r="V174">
        <v>2</v>
      </c>
      <c r="W174">
        <v>2</v>
      </c>
      <c r="X174">
        <v>2</v>
      </c>
      <c r="Y174">
        <v>2</v>
      </c>
      <c r="AA174">
        <v>15.2</v>
      </c>
      <c r="AB174">
        <v>44.5</v>
      </c>
      <c r="AC174">
        <v>87.9</v>
      </c>
      <c r="AD174">
        <v>49.3</v>
      </c>
      <c r="AE174">
        <v>5.5</v>
      </c>
      <c r="AF174">
        <v>174</v>
      </c>
      <c r="AG174">
        <v>114</v>
      </c>
      <c r="AH174">
        <v>41</v>
      </c>
      <c r="AI174">
        <v>92</v>
      </c>
      <c r="AJ174">
        <v>18.399999999999999</v>
      </c>
      <c r="AK174">
        <v>181</v>
      </c>
      <c r="AM174" t="s">
        <v>312</v>
      </c>
      <c r="AO174" s="4" t="s">
        <v>313</v>
      </c>
      <c r="AQ174" s="4" t="s">
        <v>314</v>
      </c>
      <c r="AT174">
        <v>1</v>
      </c>
      <c r="AU174">
        <v>3</v>
      </c>
      <c r="AV174">
        <v>3</v>
      </c>
      <c r="AW174">
        <v>5</v>
      </c>
      <c r="AY174">
        <v>1</v>
      </c>
      <c r="AZ174">
        <v>1</v>
      </c>
      <c r="BA174">
        <v>2</v>
      </c>
      <c r="BD174">
        <v>2</v>
      </c>
      <c r="BE174">
        <v>2</v>
      </c>
      <c r="BF174">
        <v>0</v>
      </c>
      <c r="BG174">
        <v>100</v>
      </c>
      <c r="BH174">
        <v>1</v>
      </c>
      <c r="BI174">
        <v>2</v>
      </c>
      <c r="BJ174">
        <v>2</v>
      </c>
      <c r="BK174">
        <v>1</v>
      </c>
      <c r="BL174">
        <v>1</v>
      </c>
      <c r="BM174">
        <v>1</v>
      </c>
      <c r="BN174">
        <v>1</v>
      </c>
      <c r="BO174">
        <v>0</v>
      </c>
      <c r="BP174">
        <v>0</v>
      </c>
      <c r="BQ174">
        <v>0</v>
      </c>
      <c r="BR174">
        <v>0</v>
      </c>
      <c r="BS174">
        <v>0</v>
      </c>
      <c r="BT174">
        <v>0</v>
      </c>
      <c r="BU174">
        <v>0</v>
      </c>
      <c r="BV174">
        <v>9</v>
      </c>
      <c r="BW174">
        <v>1</v>
      </c>
      <c r="BX174">
        <v>1</v>
      </c>
      <c r="BY174">
        <v>0</v>
      </c>
    </row>
    <row r="175" spans="1:77" ht="315" x14ac:dyDescent="0.25">
      <c r="A175" t="s">
        <v>611</v>
      </c>
      <c r="B175" t="s">
        <v>174</v>
      </c>
      <c r="C175" t="s">
        <v>1009</v>
      </c>
      <c r="D175">
        <v>1</v>
      </c>
      <c r="E175">
        <v>1.4449700000000001</v>
      </c>
      <c r="F175" s="3">
        <v>210603906</v>
      </c>
      <c r="G175">
        <v>71</v>
      </c>
      <c r="H175">
        <v>2</v>
      </c>
      <c r="I175" s="1">
        <v>45167</v>
      </c>
      <c r="J175" s="2">
        <v>0.54166666666666663</v>
      </c>
      <c r="K175" s="1">
        <v>45168</v>
      </c>
      <c r="L175" s="1">
        <v>45170</v>
      </c>
      <c r="M175">
        <v>9922551013</v>
      </c>
      <c r="O175">
        <v>9</v>
      </c>
      <c r="P175">
        <v>2</v>
      </c>
      <c r="Q175">
        <v>2</v>
      </c>
      <c r="R175">
        <v>2</v>
      </c>
      <c r="S175">
        <v>1</v>
      </c>
      <c r="T175">
        <v>2</v>
      </c>
      <c r="U175">
        <v>2</v>
      </c>
      <c r="V175">
        <v>2</v>
      </c>
      <c r="W175">
        <v>2</v>
      </c>
      <c r="X175">
        <v>2</v>
      </c>
      <c r="Y175">
        <v>1</v>
      </c>
      <c r="Z175" t="s">
        <v>175</v>
      </c>
      <c r="AA175">
        <v>10.5</v>
      </c>
      <c r="AB175">
        <v>32.6</v>
      </c>
      <c r="AC175">
        <v>88.2</v>
      </c>
      <c r="AD175">
        <v>7.17</v>
      </c>
      <c r="AE175">
        <v>5.6</v>
      </c>
      <c r="AF175">
        <v>182</v>
      </c>
      <c r="AG175">
        <v>113.4</v>
      </c>
      <c r="AH175">
        <v>58</v>
      </c>
      <c r="AI175">
        <v>53</v>
      </c>
      <c r="AJ175">
        <v>10.6</v>
      </c>
      <c r="AK175">
        <v>2000</v>
      </c>
      <c r="AM175" t="s">
        <v>176</v>
      </c>
      <c r="AO175" s="4" t="s">
        <v>177</v>
      </c>
      <c r="AQ175" s="4" t="s">
        <v>178</v>
      </c>
      <c r="AT175">
        <v>1</v>
      </c>
      <c r="AU175">
        <v>3</v>
      </c>
      <c r="AV175">
        <v>3</v>
      </c>
      <c r="AW175">
        <v>5</v>
      </c>
      <c r="AY175">
        <v>1</v>
      </c>
      <c r="AZ175">
        <v>1</v>
      </c>
      <c r="BA175">
        <v>2</v>
      </c>
      <c r="BC175">
        <v>4</v>
      </c>
      <c r="BF175">
        <v>3</v>
      </c>
      <c r="BG175">
        <v>75</v>
      </c>
      <c r="BH175">
        <v>0</v>
      </c>
      <c r="BI175">
        <v>0</v>
      </c>
      <c r="BJ175">
        <v>0</v>
      </c>
      <c r="BK175">
        <v>0</v>
      </c>
      <c r="BL175">
        <v>0</v>
      </c>
      <c r="BM175">
        <v>0</v>
      </c>
      <c r="BN175">
        <v>0</v>
      </c>
      <c r="BO175">
        <v>1</v>
      </c>
      <c r="BP175">
        <v>1</v>
      </c>
      <c r="BQ175">
        <v>2</v>
      </c>
      <c r="BR175">
        <v>2</v>
      </c>
      <c r="BS175">
        <v>1</v>
      </c>
      <c r="BT175">
        <v>1</v>
      </c>
      <c r="BU175">
        <v>1</v>
      </c>
      <c r="BV175">
        <v>9</v>
      </c>
      <c r="BW175">
        <v>1</v>
      </c>
      <c r="BX175">
        <v>1</v>
      </c>
      <c r="BY175">
        <v>0</v>
      </c>
    </row>
    <row r="176" spans="1:77" ht="409.5" x14ac:dyDescent="0.25">
      <c r="A176" t="s">
        <v>613</v>
      </c>
      <c r="B176" t="s">
        <v>156</v>
      </c>
      <c r="C176" t="s">
        <v>156</v>
      </c>
      <c r="D176">
        <v>1</v>
      </c>
      <c r="E176">
        <v>2.6346699999999998</v>
      </c>
      <c r="F176" s="3">
        <v>190701897</v>
      </c>
      <c r="G176">
        <v>74</v>
      </c>
      <c r="H176">
        <v>2</v>
      </c>
      <c r="I176" s="1">
        <v>45159</v>
      </c>
      <c r="J176" s="2">
        <v>0.29166666666666669</v>
      </c>
      <c r="K176" s="1">
        <v>45160</v>
      </c>
      <c r="L176" s="1">
        <v>45164</v>
      </c>
      <c r="M176">
        <v>9850336332</v>
      </c>
      <c r="O176">
        <v>2</v>
      </c>
      <c r="P176">
        <v>1</v>
      </c>
      <c r="Q176">
        <v>1</v>
      </c>
      <c r="R176">
        <v>2</v>
      </c>
      <c r="S176">
        <v>1</v>
      </c>
      <c r="T176">
        <v>2</v>
      </c>
      <c r="U176">
        <v>2</v>
      </c>
      <c r="V176">
        <v>2</v>
      </c>
      <c r="W176">
        <v>2</v>
      </c>
      <c r="X176">
        <v>2</v>
      </c>
      <c r="Y176">
        <v>1</v>
      </c>
      <c r="Z176" t="s">
        <v>157</v>
      </c>
      <c r="AA176">
        <v>9.9</v>
      </c>
      <c r="AB176">
        <v>30.7</v>
      </c>
      <c r="AC176">
        <v>74.400000000000006</v>
      </c>
      <c r="AD176">
        <v>18.579999999999998</v>
      </c>
      <c r="AE176">
        <v>7.5</v>
      </c>
      <c r="AF176">
        <v>178</v>
      </c>
      <c r="AG176">
        <v>96</v>
      </c>
      <c r="AH176">
        <v>32</v>
      </c>
      <c r="AI176">
        <v>250</v>
      </c>
      <c r="AJ176">
        <v>50</v>
      </c>
      <c r="AK176">
        <v>268</v>
      </c>
      <c r="AM176" t="s">
        <v>158</v>
      </c>
      <c r="AO176" s="4" t="s">
        <v>159</v>
      </c>
      <c r="AQ176" s="4" t="s">
        <v>160</v>
      </c>
      <c r="AT176">
        <v>1</v>
      </c>
      <c r="AU176">
        <v>3</v>
      </c>
      <c r="AV176">
        <v>3</v>
      </c>
      <c r="AW176">
        <v>5</v>
      </c>
      <c r="AY176">
        <v>1</v>
      </c>
      <c r="AZ176">
        <v>1</v>
      </c>
      <c r="BA176">
        <v>2</v>
      </c>
      <c r="BC176">
        <v>4</v>
      </c>
      <c r="BF176">
        <v>1</v>
      </c>
      <c r="BG176">
        <v>100</v>
      </c>
      <c r="BH176">
        <v>0</v>
      </c>
      <c r="BI176">
        <v>0</v>
      </c>
      <c r="BJ176">
        <v>0</v>
      </c>
      <c r="BK176">
        <v>0</v>
      </c>
      <c r="BL176">
        <v>0</v>
      </c>
      <c r="BM176">
        <v>0</v>
      </c>
      <c r="BN176">
        <v>0</v>
      </c>
      <c r="BO176">
        <v>0</v>
      </c>
      <c r="BP176">
        <v>2</v>
      </c>
      <c r="BQ176">
        <v>2</v>
      </c>
      <c r="BR176">
        <v>2</v>
      </c>
      <c r="BS176">
        <v>1</v>
      </c>
      <c r="BT176">
        <v>1</v>
      </c>
      <c r="BU176">
        <v>1</v>
      </c>
      <c r="BV176">
        <v>9</v>
      </c>
      <c r="BW176">
        <v>0</v>
      </c>
      <c r="BX176">
        <v>0</v>
      </c>
      <c r="BY176">
        <v>0</v>
      </c>
    </row>
    <row r="177" spans="1:77" ht="120" x14ac:dyDescent="0.25">
      <c r="A177" t="s">
        <v>605</v>
      </c>
      <c r="B177" t="s">
        <v>203</v>
      </c>
      <c r="C177" t="s">
        <v>1020</v>
      </c>
      <c r="D177">
        <v>0</v>
      </c>
      <c r="E177">
        <v>2.7266900000000001</v>
      </c>
      <c r="F177" s="3">
        <v>120502506</v>
      </c>
      <c r="G177">
        <v>80</v>
      </c>
      <c r="H177">
        <v>1</v>
      </c>
      <c r="I177" s="1">
        <v>45158</v>
      </c>
      <c r="J177" s="2">
        <v>0.45833333333333331</v>
      </c>
      <c r="K177" s="1">
        <v>45159</v>
      </c>
      <c r="L177" s="1">
        <v>45160</v>
      </c>
      <c r="M177">
        <v>9822555050</v>
      </c>
      <c r="O177">
        <v>3</v>
      </c>
      <c r="P177">
        <v>1</v>
      </c>
      <c r="Q177">
        <v>1</v>
      </c>
      <c r="R177">
        <v>2</v>
      </c>
      <c r="S177">
        <v>1</v>
      </c>
      <c r="T177">
        <v>2</v>
      </c>
      <c r="U177">
        <v>2</v>
      </c>
      <c r="V177">
        <v>2</v>
      </c>
      <c r="W177">
        <v>2</v>
      </c>
      <c r="X177">
        <v>2</v>
      </c>
      <c r="Y177">
        <v>2</v>
      </c>
      <c r="AA177">
        <v>13.5</v>
      </c>
      <c r="AB177">
        <v>5.5</v>
      </c>
      <c r="AD177">
        <v>42.51</v>
      </c>
      <c r="AE177">
        <v>5.5</v>
      </c>
      <c r="AF177">
        <v>165</v>
      </c>
      <c r="AG177">
        <v>103.8</v>
      </c>
      <c r="AH177">
        <v>36</v>
      </c>
      <c r="AI177">
        <v>126</v>
      </c>
      <c r="AJ177">
        <v>25.2</v>
      </c>
      <c r="AK177">
        <v>335</v>
      </c>
      <c r="AO177" s="4" t="s">
        <v>204</v>
      </c>
      <c r="AQ177" s="4" t="s">
        <v>205</v>
      </c>
      <c r="AT177">
        <v>1</v>
      </c>
      <c r="AU177">
        <v>3</v>
      </c>
      <c r="AV177">
        <v>3</v>
      </c>
      <c r="AW177">
        <v>5</v>
      </c>
      <c r="AY177">
        <v>1</v>
      </c>
      <c r="AZ177">
        <v>1</v>
      </c>
      <c r="BA177">
        <v>2</v>
      </c>
      <c r="BC177">
        <v>4</v>
      </c>
      <c r="BF177">
        <v>0</v>
      </c>
      <c r="BG177">
        <v>100</v>
      </c>
      <c r="BH177">
        <v>0</v>
      </c>
      <c r="BI177">
        <v>2</v>
      </c>
      <c r="BJ177">
        <v>2</v>
      </c>
      <c r="BK177">
        <v>2</v>
      </c>
      <c r="BL177">
        <v>1</v>
      </c>
      <c r="BM177">
        <v>1</v>
      </c>
      <c r="BN177">
        <v>1</v>
      </c>
      <c r="BO177">
        <v>0</v>
      </c>
      <c r="BP177">
        <v>0</v>
      </c>
      <c r="BQ177">
        <v>0</v>
      </c>
      <c r="BR177">
        <v>0</v>
      </c>
      <c r="BS177">
        <v>0</v>
      </c>
      <c r="BT177">
        <v>0</v>
      </c>
      <c r="BU177">
        <v>0</v>
      </c>
      <c r="BV177">
        <v>9</v>
      </c>
      <c r="BW177">
        <v>1</v>
      </c>
      <c r="BX177">
        <v>1</v>
      </c>
      <c r="BY177">
        <v>1</v>
      </c>
    </row>
    <row r="178" spans="1:77" ht="120" x14ac:dyDescent="0.25">
      <c r="A178" s="8" t="s">
        <v>933</v>
      </c>
      <c r="B178" s="8" t="s">
        <v>130</v>
      </c>
      <c r="C178" s="8" t="s">
        <v>998</v>
      </c>
      <c r="D178" s="8">
        <v>0</v>
      </c>
      <c r="E178" s="8">
        <v>4.8026400000000002</v>
      </c>
      <c r="F178" s="9">
        <v>230704454</v>
      </c>
      <c r="G178" s="8">
        <v>45</v>
      </c>
      <c r="H178" s="8">
        <v>1</v>
      </c>
      <c r="I178" s="10">
        <v>45135</v>
      </c>
      <c r="J178" s="11">
        <v>0.47916666666666669</v>
      </c>
      <c r="K178" s="10">
        <v>45135</v>
      </c>
      <c r="L178" s="10">
        <v>45136</v>
      </c>
      <c r="M178" s="8">
        <v>7888249757</v>
      </c>
      <c r="N178" s="8"/>
      <c r="O178" s="8">
        <v>4</v>
      </c>
      <c r="P178" s="8">
        <v>2</v>
      </c>
      <c r="Q178" s="8">
        <v>2</v>
      </c>
      <c r="R178" s="8">
        <v>2</v>
      </c>
      <c r="S178" s="8">
        <v>2</v>
      </c>
      <c r="T178" s="8">
        <v>2</v>
      </c>
      <c r="U178" s="8">
        <v>2</v>
      </c>
      <c r="V178" s="8">
        <v>2</v>
      </c>
      <c r="W178" s="8">
        <v>2</v>
      </c>
      <c r="X178" s="8">
        <v>2</v>
      </c>
      <c r="Y178" s="8">
        <v>2</v>
      </c>
      <c r="Z178" s="8"/>
      <c r="AA178" s="8">
        <v>14.2</v>
      </c>
      <c r="AB178" s="8">
        <v>42.6</v>
      </c>
      <c r="AC178" s="8">
        <v>88.2</v>
      </c>
      <c r="AD178" s="8">
        <v>14.52</v>
      </c>
      <c r="AE178" s="8">
        <v>6.5</v>
      </c>
      <c r="AF178" s="8">
        <v>216</v>
      </c>
      <c r="AG178" s="8">
        <v>123.2</v>
      </c>
      <c r="AH178" s="8">
        <v>40</v>
      </c>
      <c r="AI178" s="8">
        <v>264</v>
      </c>
      <c r="AJ178" s="8">
        <v>52.8</v>
      </c>
      <c r="AK178" s="8"/>
      <c r="AL178" s="8"/>
      <c r="AM178" s="8"/>
      <c r="AN178" s="8"/>
      <c r="AO178" s="12" t="s">
        <v>131</v>
      </c>
      <c r="AP178" s="8"/>
      <c r="AQ178" s="12"/>
      <c r="AR178" s="8"/>
      <c r="AS178" s="8"/>
      <c r="AT178" s="8">
        <v>1</v>
      </c>
      <c r="AU178" s="8">
        <v>3</v>
      </c>
      <c r="AV178" s="8">
        <v>3</v>
      </c>
      <c r="AW178" s="8">
        <v>5</v>
      </c>
      <c r="AX178" s="8"/>
      <c r="AY178" s="8">
        <v>1</v>
      </c>
      <c r="AZ178" s="8">
        <v>1</v>
      </c>
      <c r="BA178" s="8">
        <v>2</v>
      </c>
      <c r="BB178" s="8"/>
      <c r="BC178" s="8"/>
      <c r="BD178" s="8"/>
      <c r="BE178" s="8"/>
      <c r="BF178" s="8">
        <v>1</v>
      </c>
      <c r="BG178" s="8">
        <v>100</v>
      </c>
      <c r="BH178" s="8"/>
      <c r="BI178" s="8"/>
      <c r="BJ178" s="8"/>
      <c r="BK178" s="8"/>
      <c r="BL178" s="8"/>
      <c r="BM178" s="8"/>
      <c r="BN178" s="8"/>
      <c r="BO178" s="8">
        <v>1</v>
      </c>
      <c r="BP178" s="8">
        <v>1</v>
      </c>
      <c r="BQ178" s="8">
        <v>2</v>
      </c>
      <c r="BR178" s="8">
        <v>2</v>
      </c>
      <c r="BS178" s="8">
        <v>1</v>
      </c>
      <c r="BT178" s="8">
        <v>1</v>
      </c>
      <c r="BU178" s="8">
        <v>1</v>
      </c>
      <c r="BV178" s="8">
        <v>9</v>
      </c>
      <c r="BW178" s="8">
        <v>1</v>
      </c>
      <c r="BX178" s="8">
        <v>1</v>
      </c>
      <c r="BY178" s="8">
        <v>1</v>
      </c>
    </row>
    <row r="179" spans="1:77" ht="409.5" x14ac:dyDescent="0.25">
      <c r="A179" t="s">
        <v>616</v>
      </c>
      <c r="B179" t="s">
        <v>186</v>
      </c>
      <c r="C179" t="s">
        <v>1014</v>
      </c>
      <c r="D179">
        <v>1</v>
      </c>
      <c r="E179">
        <v>9.8848500000000001</v>
      </c>
      <c r="F179" s="3">
        <v>230000035124</v>
      </c>
      <c r="G179">
        <v>72</v>
      </c>
      <c r="H179">
        <v>1</v>
      </c>
      <c r="I179" s="1">
        <v>45156</v>
      </c>
      <c r="J179" s="2">
        <v>0.35416666666666669</v>
      </c>
      <c r="K179" s="1">
        <v>45156</v>
      </c>
      <c r="L179" s="1">
        <v>45159</v>
      </c>
      <c r="M179">
        <v>9890513032</v>
      </c>
      <c r="O179">
        <v>2</v>
      </c>
      <c r="P179">
        <v>1</v>
      </c>
      <c r="Q179">
        <v>2</v>
      </c>
      <c r="R179">
        <v>1</v>
      </c>
      <c r="S179">
        <v>2</v>
      </c>
      <c r="T179">
        <v>2</v>
      </c>
      <c r="U179">
        <v>2</v>
      </c>
      <c r="V179">
        <v>2</v>
      </c>
      <c r="W179">
        <v>2</v>
      </c>
      <c r="X179">
        <v>2</v>
      </c>
      <c r="Y179">
        <v>1</v>
      </c>
      <c r="Z179" t="s">
        <v>187</v>
      </c>
      <c r="AA179">
        <v>12.1</v>
      </c>
      <c r="AD179">
        <v>15.44</v>
      </c>
      <c r="AF179">
        <v>203</v>
      </c>
      <c r="AG179">
        <v>145.4</v>
      </c>
      <c r="AH179">
        <v>28</v>
      </c>
      <c r="AI179">
        <v>148</v>
      </c>
      <c r="AK179">
        <v>476</v>
      </c>
      <c r="AM179" t="s">
        <v>188</v>
      </c>
      <c r="AO179" s="4" t="s">
        <v>189</v>
      </c>
      <c r="AQ179" s="4" t="s">
        <v>190</v>
      </c>
      <c r="AT179">
        <v>1</v>
      </c>
      <c r="AU179">
        <v>3</v>
      </c>
      <c r="AV179">
        <v>3</v>
      </c>
      <c r="AW179">
        <v>5</v>
      </c>
      <c r="AY179">
        <v>1</v>
      </c>
      <c r="AZ179">
        <v>1</v>
      </c>
      <c r="BA179">
        <v>2</v>
      </c>
      <c r="BF179">
        <v>1</v>
      </c>
      <c r="BG179">
        <v>95</v>
      </c>
      <c r="BH179">
        <v>0</v>
      </c>
      <c r="BI179">
        <v>0</v>
      </c>
      <c r="BJ179">
        <v>0</v>
      </c>
      <c r="BK179">
        <v>0</v>
      </c>
      <c r="BL179">
        <v>0</v>
      </c>
      <c r="BM179">
        <v>0</v>
      </c>
      <c r="BN179">
        <v>0</v>
      </c>
      <c r="BO179">
        <v>1</v>
      </c>
      <c r="BP179">
        <v>1</v>
      </c>
      <c r="BQ179">
        <v>2</v>
      </c>
      <c r="BR179">
        <v>2</v>
      </c>
      <c r="BS179">
        <v>1</v>
      </c>
      <c r="BT179">
        <v>1</v>
      </c>
      <c r="BU179">
        <v>1</v>
      </c>
      <c r="BV179">
        <v>9</v>
      </c>
      <c r="BW179">
        <v>1</v>
      </c>
      <c r="BX179">
        <v>1</v>
      </c>
      <c r="BY179" t="s">
        <v>1015</v>
      </c>
    </row>
    <row r="180" spans="1:77" ht="409.5" x14ac:dyDescent="0.25">
      <c r="A180" t="s">
        <v>649</v>
      </c>
      <c r="B180" t="s">
        <v>294</v>
      </c>
      <c r="C180" t="s">
        <v>1050</v>
      </c>
      <c r="D180">
        <v>1</v>
      </c>
      <c r="E180">
        <v>10.5968</v>
      </c>
      <c r="F180" s="3">
        <v>200103233</v>
      </c>
      <c r="G180">
        <v>66</v>
      </c>
      <c r="H180">
        <v>1</v>
      </c>
      <c r="I180" s="1">
        <v>45028</v>
      </c>
      <c r="J180" s="2">
        <v>0.85416666666666663</v>
      </c>
      <c r="K180" s="1">
        <v>45028</v>
      </c>
      <c r="L180" s="1">
        <v>45029</v>
      </c>
      <c r="M180">
        <v>9850068182</v>
      </c>
      <c r="N180">
        <v>8055509303</v>
      </c>
      <c r="P180">
        <v>1</v>
      </c>
      <c r="Q180">
        <v>2</v>
      </c>
      <c r="R180">
        <v>2</v>
      </c>
      <c r="S180">
        <v>2</v>
      </c>
      <c r="T180">
        <v>2</v>
      </c>
      <c r="U180">
        <v>2</v>
      </c>
      <c r="V180">
        <v>2</v>
      </c>
      <c r="W180">
        <v>2</v>
      </c>
      <c r="X180">
        <v>2</v>
      </c>
      <c r="Y180">
        <v>2</v>
      </c>
      <c r="Z180" t="s">
        <v>295</v>
      </c>
      <c r="AA180">
        <v>15.2</v>
      </c>
      <c r="AB180">
        <v>43.6</v>
      </c>
      <c r="AC180">
        <v>90</v>
      </c>
      <c r="AD180">
        <v>14</v>
      </c>
      <c r="AE180">
        <v>5.5</v>
      </c>
      <c r="AF180">
        <v>164</v>
      </c>
      <c r="AG180">
        <v>106</v>
      </c>
      <c r="AH180">
        <v>40</v>
      </c>
      <c r="AI180">
        <v>87</v>
      </c>
      <c r="AJ180">
        <v>17</v>
      </c>
      <c r="AK180">
        <v>222</v>
      </c>
      <c r="AO180" s="4" t="s">
        <v>296</v>
      </c>
      <c r="AQ180" s="4" t="s">
        <v>297</v>
      </c>
      <c r="AT180">
        <v>1</v>
      </c>
      <c r="AU180">
        <v>3</v>
      </c>
      <c r="AV180">
        <v>2</v>
      </c>
      <c r="AW180">
        <v>4</v>
      </c>
      <c r="AY180">
        <v>1</v>
      </c>
      <c r="AZ180">
        <v>1</v>
      </c>
      <c r="BA180">
        <v>2</v>
      </c>
      <c r="BD180">
        <v>2</v>
      </c>
      <c r="BE180">
        <v>2</v>
      </c>
      <c r="BF180">
        <v>1</v>
      </c>
      <c r="BG180">
        <v>100</v>
      </c>
      <c r="BH180">
        <v>1</v>
      </c>
      <c r="BI180">
        <v>1</v>
      </c>
      <c r="BJ180">
        <v>2</v>
      </c>
      <c r="BK180">
        <v>2</v>
      </c>
      <c r="BL180">
        <v>1</v>
      </c>
      <c r="BM180">
        <v>1</v>
      </c>
      <c r="BN180">
        <v>1</v>
      </c>
      <c r="BO180">
        <v>0</v>
      </c>
      <c r="BP180">
        <v>0</v>
      </c>
      <c r="BQ180">
        <v>0</v>
      </c>
      <c r="BR180">
        <v>0</v>
      </c>
      <c r="BS180">
        <v>0</v>
      </c>
      <c r="BT180">
        <v>0</v>
      </c>
      <c r="BU180">
        <v>0</v>
      </c>
      <c r="BV180">
        <v>9</v>
      </c>
      <c r="BW180">
        <v>1</v>
      </c>
      <c r="BX180">
        <v>1</v>
      </c>
      <c r="BY180" t="s">
        <v>1051</v>
      </c>
    </row>
    <row r="181" spans="1:77" ht="330" x14ac:dyDescent="0.25">
      <c r="A181" t="s">
        <v>618</v>
      </c>
      <c r="B181" t="s">
        <v>62</v>
      </c>
      <c r="C181" t="s">
        <v>988</v>
      </c>
      <c r="D181">
        <v>1</v>
      </c>
      <c r="E181">
        <v>14.4374</v>
      </c>
      <c r="F181" s="3">
        <v>230607917</v>
      </c>
      <c r="G181">
        <v>88</v>
      </c>
      <c r="H181">
        <v>1</v>
      </c>
      <c r="K181" s="1">
        <v>45103</v>
      </c>
      <c r="L181" s="1">
        <v>45105</v>
      </c>
      <c r="M181">
        <v>9423567145</v>
      </c>
      <c r="O181">
        <v>5</v>
      </c>
      <c r="P181">
        <v>1</v>
      </c>
      <c r="Q181">
        <v>1</v>
      </c>
      <c r="R181">
        <v>2</v>
      </c>
      <c r="S181">
        <v>2</v>
      </c>
      <c r="T181">
        <v>2</v>
      </c>
      <c r="U181">
        <v>2</v>
      </c>
      <c r="V181">
        <v>2</v>
      </c>
      <c r="W181">
        <v>2</v>
      </c>
      <c r="X181">
        <v>2</v>
      </c>
      <c r="AA181">
        <v>14.2</v>
      </c>
      <c r="AB181">
        <v>44.3</v>
      </c>
      <c r="AC181">
        <v>78.599999999999994</v>
      </c>
      <c r="AD181">
        <v>17</v>
      </c>
      <c r="AE181">
        <v>9.5</v>
      </c>
      <c r="AF181">
        <v>146</v>
      </c>
      <c r="AG181">
        <v>84</v>
      </c>
      <c r="AH181">
        <v>37</v>
      </c>
      <c r="AI181">
        <v>123</v>
      </c>
      <c r="AJ181">
        <v>24</v>
      </c>
      <c r="AK181">
        <v>220</v>
      </c>
      <c r="AO181" s="4" t="s">
        <v>63</v>
      </c>
      <c r="AQ181" s="4" t="s">
        <v>64</v>
      </c>
      <c r="AT181">
        <v>1</v>
      </c>
      <c r="AU181">
        <v>3</v>
      </c>
      <c r="AV181">
        <v>3</v>
      </c>
      <c r="AW181">
        <v>4</v>
      </c>
      <c r="AY181">
        <v>1</v>
      </c>
      <c r="AZ181">
        <v>1</v>
      </c>
      <c r="BA181">
        <v>2</v>
      </c>
      <c r="BF181">
        <v>0</v>
      </c>
      <c r="BG181">
        <v>100</v>
      </c>
      <c r="BH181">
        <v>0</v>
      </c>
      <c r="BI181">
        <v>2</v>
      </c>
      <c r="BJ181">
        <v>2</v>
      </c>
      <c r="BK181">
        <v>2</v>
      </c>
      <c r="BL181">
        <v>1</v>
      </c>
      <c r="BM181">
        <v>1</v>
      </c>
      <c r="BN181">
        <v>1</v>
      </c>
      <c r="BO181">
        <v>0</v>
      </c>
      <c r="BP181">
        <v>0</v>
      </c>
      <c r="BQ181">
        <v>0</v>
      </c>
      <c r="BR181">
        <v>0</v>
      </c>
      <c r="BS181">
        <v>0</v>
      </c>
      <c r="BT181">
        <v>0</v>
      </c>
      <c r="BU181">
        <v>0</v>
      </c>
      <c r="BV181">
        <v>9</v>
      </c>
      <c r="BW181">
        <v>1</v>
      </c>
      <c r="BX181">
        <v>1</v>
      </c>
      <c r="BY181">
        <v>0</v>
      </c>
    </row>
    <row r="182" spans="1:77" ht="90" x14ac:dyDescent="0.25">
      <c r="A182" t="s">
        <v>630</v>
      </c>
      <c r="B182" t="s">
        <v>58</v>
      </c>
      <c r="C182" t="s">
        <v>987</v>
      </c>
      <c r="D182">
        <v>1</v>
      </c>
      <c r="E182">
        <v>16.621700000000001</v>
      </c>
      <c r="F182" s="3">
        <v>131205306</v>
      </c>
      <c r="G182">
        <v>55</v>
      </c>
      <c r="H182">
        <v>1</v>
      </c>
      <c r="I182" s="1">
        <v>45091</v>
      </c>
      <c r="J182" s="2">
        <v>0.20833333333333334</v>
      </c>
      <c r="K182" s="1">
        <v>45092</v>
      </c>
      <c r="L182" s="1">
        <v>45097</v>
      </c>
      <c r="M182">
        <v>7506213289</v>
      </c>
      <c r="O182">
        <v>8</v>
      </c>
      <c r="P182">
        <v>1</v>
      </c>
      <c r="Q182">
        <v>2</v>
      </c>
      <c r="R182">
        <v>1</v>
      </c>
      <c r="S182">
        <v>2</v>
      </c>
      <c r="T182">
        <v>2</v>
      </c>
      <c r="U182">
        <v>2</v>
      </c>
      <c r="V182">
        <v>2</v>
      </c>
      <c r="W182">
        <v>1</v>
      </c>
      <c r="X182">
        <v>2</v>
      </c>
      <c r="Y182">
        <v>1</v>
      </c>
      <c r="AA182">
        <v>15.2</v>
      </c>
      <c r="AB182">
        <v>46.1</v>
      </c>
      <c r="AC182">
        <v>72.3</v>
      </c>
      <c r="AD182">
        <v>24.49</v>
      </c>
      <c r="AF182">
        <v>125</v>
      </c>
      <c r="AG182">
        <v>89</v>
      </c>
      <c r="AH182">
        <v>45</v>
      </c>
      <c r="AI182">
        <v>54</v>
      </c>
      <c r="AJ182">
        <v>10.8</v>
      </c>
      <c r="AK182">
        <v>2000</v>
      </c>
      <c r="AO182" s="4" t="s">
        <v>59</v>
      </c>
      <c r="AQ182" s="4" t="s">
        <v>60</v>
      </c>
      <c r="AT182">
        <v>1</v>
      </c>
      <c r="AU182">
        <v>3</v>
      </c>
      <c r="AV182">
        <v>3</v>
      </c>
      <c r="AW182">
        <v>5</v>
      </c>
      <c r="AY182">
        <v>1</v>
      </c>
      <c r="BA182">
        <v>2</v>
      </c>
      <c r="BC182">
        <v>4</v>
      </c>
      <c r="BF182">
        <v>0</v>
      </c>
      <c r="BG182">
        <v>100</v>
      </c>
      <c r="BH182">
        <v>0</v>
      </c>
      <c r="BI182">
        <v>0</v>
      </c>
      <c r="BJ182">
        <v>0</v>
      </c>
      <c r="BK182">
        <v>0</v>
      </c>
      <c r="BL182">
        <v>0</v>
      </c>
      <c r="BM182">
        <v>0</v>
      </c>
      <c r="BN182">
        <v>0</v>
      </c>
      <c r="BO182">
        <v>1</v>
      </c>
      <c r="BP182">
        <v>2</v>
      </c>
      <c r="BQ182">
        <v>2</v>
      </c>
      <c r="BR182">
        <v>1</v>
      </c>
      <c r="BS182">
        <v>1</v>
      </c>
      <c r="BT182">
        <v>1</v>
      </c>
      <c r="BU182">
        <v>1</v>
      </c>
      <c r="BV182">
        <v>9</v>
      </c>
      <c r="BW182">
        <v>1</v>
      </c>
      <c r="BX182">
        <v>1</v>
      </c>
      <c r="BY182">
        <v>0</v>
      </c>
    </row>
    <row r="183" spans="1:77" x14ac:dyDescent="0.25">
      <c r="A183" t="s">
        <v>927</v>
      </c>
      <c r="B183" t="s">
        <v>904</v>
      </c>
      <c r="C183" t="s">
        <v>1140</v>
      </c>
      <c r="D183">
        <v>0</v>
      </c>
      <c r="E183">
        <v>20.2378</v>
      </c>
      <c r="F183" s="3">
        <v>240000087532</v>
      </c>
      <c r="G183">
        <v>60</v>
      </c>
      <c r="H183">
        <v>2</v>
      </c>
      <c r="I183" s="1">
        <v>45575</v>
      </c>
      <c r="J183" s="2">
        <v>0.45833333333333331</v>
      </c>
      <c r="K183" s="1">
        <v>45575</v>
      </c>
      <c r="L183" s="1">
        <v>45577</v>
      </c>
      <c r="M183">
        <v>9734059978</v>
      </c>
      <c r="O183">
        <v>10</v>
      </c>
      <c r="P183">
        <v>1</v>
      </c>
      <c r="Q183">
        <v>1</v>
      </c>
      <c r="R183">
        <v>2</v>
      </c>
      <c r="S183">
        <v>2</v>
      </c>
      <c r="T183">
        <v>2</v>
      </c>
      <c r="U183">
        <v>2</v>
      </c>
      <c r="V183">
        <v>2</v>
      </c>
      <c r="W183">
        <v>2</v>
      </c>
      <c r="X183">
        <v>2</v>
      </c>
      <c r="Y183">
        <v>2</v>
      </c>
      <c r="AA183">
        <v>13.2</v>
      </c>
      <c r="AD183">
        <v>22.7</v>
      </c>
      <c r="AE183">
        <v>6.7</v>
      </c>
      <c r="AF183">
        <v>185</v>
      </c>
      <c r="AG183">
        <v>122</v>
      </c>
      <c r="AH183">
        <v>50</v>
      </c>
      <c r="AI183">
        <v>63</v>
      </c>
      <c r="AJ183">
        <v>12.6</v>
      </c>
      <c r="AK183">
        <v>229</v>
      </c>
      <c r="AO183" t="s">
        <v>905</v>
      </c>
      <c r="AQ183" t="s">
        <v>906</v>
      </c>
      <c r="AT183">
        <v>1</v>
      </c>
      <c r="AU183">
        <v>3</v>
      </c>
      <c r="AV183">
        <v>3</v>
      </c>
      <c r="AW183">
        <v>5</v>
      </c>
      <c r="AY183">
        <v>1</v>
      </c>
      <c r="AZ183">
        <v>1</v>
      </c>
      <c r="BA183">
        <v>2</v>
      </c>
      <c r="BC183">
        <v>4</v>
      </c>
      <c r="BD183">
        <v>2</v>
      </c>
      <c r="BE183">
        <v>2</v>
      </c>
      <c r="BF183">
        <v>1</v>
      </c>
      <c r="BG183">
        <v>100</v>
      </c>
      <c r="BH183">
        <v>0</v>
      </c>
      <c r="BI183">
        <v>2</v>
      </c>
      <c r="BJ183">
        <v>2</v>
      </c>
      <c r="BK183">
        <v>2</v>
      </c>
      <c r="BL183">
        <v>1</v>
      </c>
      <c r="BM183">
        <v>1</v>
      </c>
      <c r="BN183">
        <v>1</v>
      </c>
      <c r="BO183">
        <v>0</v>
      </c>
      <c r="BP183">
        <v>0</v>
      </c>
      <c r="BQ183">
        <v>0</v>
      </c>
      <c r="BR183">
        <v>0</v>
      </c>
      <c r="BS183">
        <v>0</v>
      </c>
      <c r="BT183">
        <v>0</v>
      </c>
      <c r="BU183">
        <v>0</v>
      </c>
      <c r="BV183">
        <v>9</v>
      </c>
      <c r="BW183">
        <v>1</v>
      </c>
      <c r="BX183">
        <v>1</v>
      </c>
      <c r="BY183">
        <v>1</v>
      </c>
    </row>
    <row r="184" spans="1:77" ht="165" x14ac:dyDescent="0.25">
      <c r="A184" t="s">
        <v>619</v>
      </c>
      <c r="B184" t="s">
        <v>285</v>
      </c>
      <c r="C184" t="s">
        <v>1049</v>
      </c>
      <c r="D184">
        <v>1</v>
      </c>
      <c r="E184">
        <v>27.6204</v>
      </c>
      <c r="F184" s="3">
        <v>230500806</v>
      </c>
      <c r="G184">
        <v>67</v>
      </c>
      <c r="H184">
        <v>1</v>
      </c>
      <c r="K184" s="1">
        <v>45051</v>
      </c>
      <c r="L184" s="1">
        <v>45052</v>
      </c>
      <c r="M184">
        <v>9765047875</v>
      </c>
      <c r="P184">
        <v>1</v>
      </c>
      <c r="Q184">
        <v>1</v>
      </c>
      <c r="R184">
        <v>2</v>
      </c>
      <c r="S184">
        <v>1</v>
      </c>
      <c r="T184">
        <v>2</v>
      </c>
      <c r="U184">
        <v>2</v>
      </c>
      <c r="V184">
        <v>2</v>
      </c>
      <c r="W184">
        <v>2</v>
      </c>
      <c r="X184">
        <v>2</v>
      </c>
      <c r="Y184">
        <v>2</v>
      </c>
      <c r="AA184">
        <v>12.9</v>
      </c>
      <c r="AB184">
        <v>40.1</v>
      </c>
      <c r="AC184">
        <v>78.3</v>
      </c>
      <c r="AD184">
        <v>4.7699999999999996</v>
      </c>
      <c r="AF184">
        <v>10.4</v>
      </c>
      <c r="AG184">
        <v>111</v>
      </c>
      <c r="AH184">
        <v>32</v>
      </c>
      <c r="AI184">
        <v>294</v>
      </c>
      <c r="AJ184">
        <v>58.8</v>
      </c>
      <c r="AK184">
        <v>770</v>
      </c>
      <c r="AO184" s="4" t="s">
        <v>286</v>
      </c>
      <c r="AQ184" s="4" t="s">
        <v>287</v>
      </c>
      <c r="AT184">
        <v>1</v>
      </c>
      <c r="AU184">
        <v>3</v>
      </c>
      <c r="AV184">
        <v>3</v>
      </c>
      <c r="AW184">
        <v>5</v>
      </c>
      <c r="BF184">
        <v>1</v>
      </c>
      <c r="BG184">
        <v>100</v>
      </c>
      <c r="BH184">
        <v>1</v>
      </c>
      <c r="BI184">
        <v>1</v>
      </c>
      <c r="BJ184">
        <v>2</v>
      </c>
      <c r="BK184">
        <v>2</v>
      </c>
      <c r="BL184">
        <v>1</v>
      </c>
      <c r="BM184">
        <v>1</v>
      </c>
      <c r="BN184">
        <v>1</v>
      </c>
      <c r="BO184">
        <v>0</v>
      </c>
      <c r="BP184">
        <v>0</v>
      </c>
      <c r="BQ184">
        <v>0</v>
      </c>
      <c r="BR184">
        <v>0</v>
      </c>
      <c r="BS184">
        <v>0</v>
      </c>
      <c r="BT184">
        <v>0</v>
      </c>
      <c r="BU184">
        <v>0</v>
      </c>
      <c r="BV184">
        <v>9</v>
      </c>
      <c r="BW184">
        <v>1</v>
      </c>
      <c r="BX184">
        <v>1</v>
      </c>
      <c r="BY184">
        <v>0</v>
      </c>
    </row>
    <row r="185" spans="1:77" ht="45" x14ac:dyDescent="0.25">
      <c r="A185" t="s">
        <v>637</v>
      </c>
      <c r="B185" t="s">
        <v>278</v>
      </c>
      <c r="C185" t="s">
        <v>1047</v>
      </c>
      <c r="D185">
        <v>1</v>
      </c>
      <c r="E185">
        <v>36.410600000000002</v>
      </c>
      <c r="F185" s="3">
        <v>230008777</v>
      </c>
      <c r="G185">
        <v>71</v>
      </c>
      <c r="H185">
        <v>2</v>
      </c>
      <c r="I185" s="1">
        <v>45253</v>
      </c>
      <c r="J185" s="2">
        <v>0.95833333333333337</v>
      </c>
      <c r="K185" s="1">
        <v>45254</v>
      </c>
      <c r="L185" s="1">
        <v>45275</v>
      </c>
      <c r="M185">
        <v>8087680269</v>
      </c>
      <c r="N185">
        <v>9850997793</v>
      </c>
      <c r="O185">
        <v>10</v>
      </c>
      <c r="P185">
        <v>2</v>
      </c>
      <c r="Q185">
        <v>2</v>
      </c>
      <c r="R185">
        <v>2</v>
      </c>
      <c r="S185">
        <v>2</v>
      </c>
      <c r="T185">
        <v>2</v>
      </c>
      <c r="U185">
        <v>2</v>
      </c>
      <c r="V185">
        <v>1</v>
      </c>
      <c r="W185">
        <v>2</v>
      </c>
      <c r="X185">
        <v>2</v>
      </c>
      <c r="Y185">
        <v>2</v>
      </c>
      <c r="Z185" t="s">
        <v>279</v>
      </c>
      <c r="AA185">
        <v>11.4</v>
      </c>
      <c r="AB185">
        <v>35</v>
      </c>
      <c r="AD185">
        <v>25.59</v>
      </c>
      <c r="AE185">
        <v>5.5</v>
      </c>
      <c r="AF185">
        <v>160</v>
      </c>
      <c r="AG185">
        <v>83.2</v>
      </c>
      <c r="AH185">
        <v>37</v>
      </c>
      <c r="AI185">
        <v>199</v>
      </c>
      <c r="AJ185">
        <v>39.799999999999997</v>
      </c>
      <c r="AO185" s="4" t="s">
        <v>115</v>
      </c>
      <c r="AQ185" s="4" t="s">
        <v>280</v>
      </c>
      <c r="AT185">
        <v>2</v>
      </c>
      <c r="AU185">
        <v>2</v>
      </c>
      <c r="AV185">
        <v>1</v>
      </c>
      <c r="AW185">
        <v>4</v>
      </c>
      <c r="AY185">
        <v>1</v>
      </c>
      <c r="AZ185">
        <v>1</v>
      </c>
      <c r="BA185">
        <v>2</v>
      </c>
      <c r="BC185">
        <v>4</v>
      </c>
      <c r="BD185">
        <v>1</v>
      </c>
      <c r="BE185">
        <v>2</v>
      </c>
      <c r="BF185">
        <v>6</v>
      </c>
      <c r="BG185">
        <v>0</v>
      </c>
      <c r="BH185">
        <v>1</v>
      </c>
      <c r="BI185">
        <v>2</v>
      </c>
      <c r="BJ185">
        <v>1</v>
      </c>
      <c r="BK185">
        <v>2</v>
      </c>
      <c r="BL185">
        <v>1</v>
      </c>
      <c r="BM185">
        <v>1</v>
      </c>
      <c r="BN185">
        <v>1</v>
      </c>
      <c r="BO185">
        <v>0</v>
      </c>
      <c r="BP185">
        <v>0</v>
      </c>
      <c r="BQ185">
        <v>0</v>
      </c>
      <c r="BR185">
        <v>0</v>
      </c>
      <c r="BS185">
        <v>0</v>
      </c>
      <c r="BT185">
        <v>0</v>
      </c>
      <c r="BU185">
        <v>0</v>
      </c>
      <c r="BV185">
        <v>9</v>
      </c>
      <c r="BW185">
        <v>1</v>
      </c>
      <c r="BX185">
        <v>0</v>
      </c>
      <c r="BY185">
        <v>0</v>
      </c>
    </row>
    <row r="186" spans="1:77" ht="150" x14ac:dyDescent="0.25">
      <c r="A186" t="s">
        <v>638</v>
      </c>
      <c r="B186" t="s">
        <v>161</v>
      </c>
      <c r="C186" t="s">
        <v>161</v>
      </c>
      <c r="D186">
        <v>1</v>
      </c>
      <c r="E186">
        <v>39.500599999999999</v>
      </c>
      <c r="F186" s="3">
        <v>230804009</v>
      </c>
      <c r="G186">
        <v>45</v>
      </c>
      <c r="H186">
        <v>2</v>
      </c>
      <c r="I186" s="1">
        <v>45163</v>
      </c>
      <c r="J186" s="2">
        <v>0.41666666666666669</v>
      </c>
      <c r="K186" s="1">
        <v>45163</v>
      </c>
      <c r="L186" s="1">
        <v>45166</v>
      </c>
      <c r="M186">
        <v>9850715050</v>
      </c>
      <c r="O186">
        <v>11</v>
      </c>
      <c r="P186">
        <v>1</v>
      </c>
      <c r="Q186">
        <v>2</v>
      </c>
      <c r="R186">
        <v>2</v>
      </c>
      <c r="S186">
        <v>2</v>
      </c>
      <c r="T186">
        <v>2</v>
      </c>
      <c r="U186">
        <v>2</v>
      </c>
      <c r="V186">
        <v>2</v>
      </c>
      <c r="W186">
        <v>2</v>
      </c>
      <c r="X186">
        <v>2</v>
      </c>
      <c r="Y186">
        <v>2</v>
      </c>
      <c r="Z186" t="s">
        <v>162</v>
      </c>
      <c r="AA186">
        <v>13.1</v>
      </c>
      <c r="AB186">
        <v>43.3</v>
      </c>
      <c r="AC186">
        <v>70.3</v>
      </c>
      <c r="AD186">
        <v>22.79</v>
      </c>
      <c r="AF186">
        <v>186</v>
      </c>
      <c r="AG186">
        <v>129.19999999999999</v>
      </c>
      <c r="AH186">
        <v>40</v>
      </c>
      <c r="AI186">
        <v>84</v>
      </c>
      <c r="AJ186">
        <v>16.8</v>
      </c>
      <c r="AK186">
        <v>174</v>
      </c>
      <c r="AM186" t="s">
        <v>163</v>
      </c>
      <c r="AO186" s="4" t="s">
        <v>164</v>
      </c>
      <c r="AQ186" s="4" t="s">
        <v>165</v>
      </c>
      <c r="AT186">
        <v>1</v>
      </c>
      <c r="AU186">
        <v>3</v>
      </c>
      <c r="AV186">
        <v>3</v>
      </c>
      <c r="AW186">
        <v>5</v>
      </c>
      <c r="AY186">
        <v>1</v>
      </c>
      <c r="AZ186">
        <v>1</v>
      </c>
      <c r="BA186">
        <v>2</v>
      </c>
      <c r="BF186">
        <v>4</v>
      </c>
      <c r="BG186">
        <v>40</v>
      </c>
      <c r="BH186">
        <v>1</v>
      </c>
      <c r="BI186">
        <v>2</v>
      </c>
      <c r="BJ186">
        <v>2</v>
      </c>
      <c r="BK186">
        <v>2</v>
      </c>
      <c r="BL186">
        <v>1</v>
      </c>
      <c r="BM186">
        <v>1</v>
      </c>
      <c r="BN186">
        <v>0</v>
      </c>
      <c r="BO186">
        <v>0</v>
      </c>
      <c r="BP186">
        <v>0</v>
      </c>
      <c r="BQ186">
        <v>0</v>
      </c>
      <c r="BR186">
        <v>0</v>
      </c>
      <c r="BS186">
        <v>0</v>
      </c>
      <c r="BT186">
        <v>0</v>
      </c>
      <c r="BU186">
        <v>0</v>
      </c>
      <c r="BV186">
        <v>9</v>
      </c>
      <c r="BW186">
        <v>1</v>
      </c>
      <c r="BX186">
        <v>1</v>
      </c>
      <c r="BY186">
        <v>0</v>
      </c>
    </row>
    <row r="187" spans="1:77" x14ac:dyDescent="0.25">
      <c r="A187" t="s">
        <v>931</v>
      </c>
      <c r="B187" t="s">
        <v>917</v>
      </c>
      <c r="C187" t="s">
        <v>1144</v>
      </c>
      <c r="D187">
        <v>0</v>
      </c>
      <c r="E187">
        <v>42.998199999999997</v>
      </c>
      <c r="F187" s="3">
        <v>240000087739</v>
      </c>
      <c r="G187">
        <v>91</v>
      </c>
      <c r="H187">
        <v>1</v>
      </c>
      <c r="I187" s="1">
        <v>45576</v>
      </c>
      <c r="J187" s="2">
        <v>0.72916666666666663</v>
      </c>
      <c r="K187" s="1">
        <v>45577</v>
      </c>
      <c r="M187">
        <v>9765539777</v>
      </c>
      <c r="O187">
        <v>15</v>
      </c>
      <c r="P187">
        <v>1</v>
      </c>
      <c r="Q187">
        <v>2</v>
      </c>
      <c r="R187">
        <v>2</v>
      </c>
      <c r="S187">
        <v>2</v>
      </c>
      <c r="T187">
        <v>2</v>
      </c>
      <c r="U187">
        <v>2</v>
      </c>
      <c r="V187">
        <v>1</v>
      </c>
      <c r="W187">
        <v>1</v>
      </c>
      <c r="X187">
        <v>2</v>
      </c>
      <c r="Y187">
        <v>2</v>
      </c>
      <c r="AA187">
        <v>13.5</v>
      </c>
      <c r="AB187">
        <v>38.799999999999997</v>
      </c>
      <c r="AC187">
        <v>83</v>
      </c>
      <c r="AO187" t="s">
        <v>918</v>
      </c>
      <c r="AQ187" t="s">
        <v>919</v>
      </c>
      <c r="AT187">
        <v>1</v>
      </c>
      <c r="AU187">
        <v>2</v>
      </c>
      <c r="AV187">
        <v>2</v>
      </c>
      <c r="AW187">
        <v>4</v>
      </c>
      <c r="AY187">
        <v>1</v>
      </c>
      <c r="AZ187">
        <v>2</v>
      </c>
      <c r="BA187">
        <v>1</v>
      </c>
      <c r="BC187">
        <v>4</v>
      </c>
      <c r="BD187">
        <v>2</v>
      </c>
      <c r="BE187">
        <v>2</v>
      </c>
      <c r="BF187">
        <v>6</v>
      </c>
      <c r="BG187">
        <v>0</v>
      </c>
      <c r="BO187">
        <v>0</v>
      </c>
      <c r="BP187">
        <v>2</v>
      </c>
      <c r="BQ187">
        <v>2</v>
      </c>
      <c r="BR187">
        <v>2</v>
      </c>
      <c r="BS187">
        <v>1</v>
      </c>
      <c r="BT187">
        <v>1</v>
      </c>
      <c r="BU187">
        <v>1</v>
      </c>
      <c r="BV187">
        <v>9</v>
      </c>
      <c r="BW187">
        <v>1</v>
      </c>
      <c r="BX187">
        <v>1</v>
      </c>
      <c r="BY187">
        <v>1</v>
      </c>
    </row>
    <row r="188" spans="1:77" ht="180" x14ac:dyDescent="0.25">
      <c r="A188" t="s">
        <v>640</v>
      </c>
      <c r="B188" t="s">
        <v>179</v>
      </c>
      <c r="C188" t="s">
        <v>1010</v>
      </c>
      <c r="D188">
        <v>1</v>
      </c>
      <c r="E188">
        <v>43.568899999999999</v>
      </c>
      <c r="F188" s="3">
        <v>230802551</v>
      </c>
      <c r="G188">
        <v>75</v>
      </c>
      <c r="H188">
        <v>2</v>
      </c>
      <c r="I188" s="1">
        <v>45153</v>
      </c>
      <c r="J188" s="2">
        <v>0.375</v>
      </c>
      <c r="K188" s="1">
        <v>45155</v>
      </c>
      <c r="L188" s="1">
        <v>45163</v>
      </c>
      <c r="M188">
        <v>9604718659</v>
      </c>
      <c r="O188">
        <v>9</v>
      </c>
      <c r="P188">
        <v>1</v>
      </c>
      <c r="Q188">
        <v>1</v>
      </c>
      <c r="R188">
        <v>2</v>
      </c>
      <c r="S188">
        <v>1</v>
      </c>
      <c r="T188">
        <v>2</v>
      </c>
      <c r="U188">
        <v>2</v>
      </c>
      <c r="V188">
        <v>2</v>
      </c>
      <c r="W188">
        <v>2</v>
      </c>
      <c r="X188">
        <v>2</v>
      </c>
      <c r="Y188">
        <v>1</v>
      </c>
      <c r="AA188">
        <v>9</v>
      </c>
      <c r="AD188">
        <v>9.5299999999999994</v>
      </c>
      <c r="AE188">
        <v>10.1</v>
      </c>
      <c r="AF188">
        <v>171</v>
      </c>
      <c r="AG188">
        <v>102</v>
      </c>
      <c r="AH188">
        <v>39</v>
      </c>
      <c r="AI188">
        <v>113</v>
      </c>
      <c r="AJ188">
        <v>22.6</v>
      </c>
      <c r="AK188">
        <v>2000</v>
      </c>
      <c r="AM188" t="s">
        <v>180</v>
      </c>
      <c r="AO188" s="4" t="s">
        <v>181</v>
      </c>
      <c r="AQ188" s="4"/>
      <c r="AT188">
        <v>1</v>
      </c>
      <c r="AU188">
        <v>2</v>
      </c>
      <c r="AV188">
        <v>2</v>
      </c>
      <c r="AW188">
        <v>4</v>
      </c>
      <c r="AY188">
        <v>1</v>
      </c>
      <c r="AZ188">
        <v>2</v>
      </c>
      <c r="BB188">
        <v>1</v>
      </c>
      <c r="BC188">
        <v>4</v>
      </c>
      <c r="BD188">
        <v>2</v>
      </c>
      <c r="BE188">
        <v>2</v>
      </c>
      <c r="BF188">
        <v>6</v>
      </c>
      <c r="BG188">
        <v>0</v>
      </c>
      <c r="BH188">
        <v>1</v>
      </c>
      <c r="BI188">
        <v>2</v>
      </c>
      <c r="BJ188">
        <v>2</v>
      </c>
      <c r="BK188">
        <v>1</v>
      </c>
      <c r="BL188">
        <v>1</v>
      </c>
      <c r="BM188">
        <v>1</v>
      </c>
      <c r="BN188">
        <v>1</v>
      </c>
      <c r="BO188">
        <v>0</v>
      </c>
      <c r="BP188">
        <v>0</v>
      </c>
      <c r="BQ188">
        <v>0</v>
      </c>
      <c r="BR188">
        <v>0</v>
      </c>
      <c r="BS188">
        <v>0</v>
      </c>
      <c r="BT188">
        <v>0</v>
      </c>
      <c r="BU188">
        <v>0</v>
      </c>
      <c r="BV188">
        <v>9</v>
      </c>
      <c r="BW188">
        <v>1</v>
      </c>
      <c r="BX188">
        <v>1</v>
      </c>
      <c r="BY188" t="s">
        <v>1011</v>
      </c>
    </row>
    <row r="189" spans="1:77" ht="405" x14ac:dyDescent="0.25">
      <c r="A189" t="s">
        <v>620</v>
      </c>
      <c r="B189" t="s">
        <v>83</v>
      </c>
      <c r="C189" t="s">
        <v>991</v>
      </c>
      <c r="D189">
        <v>1</v>
      </c>
      <c r="E189">
        <v>46.1357</v>
      </c>
      <c r="F189" s="3">
        <v>200400466</v>
      </c>
      <c r="G189">
        <v>64</v>
      </c>
      <c r="H189">
        <v>1</v>
      </c>
      <c r="K189" s="1">
        <v>45008</v>
      </c>
      <c r="L189" s="1">
        <v>45033</v>
      </c>
      <c r="M189">
        <v>8087047741</v>
      </c>
      <c r="P189">
        <v>1</v>
      </c>
      <c r="Q189">
        <v>2</v>
      </c>
      <c r="R189">
        <v>2</v>
      </c>
      <c r="S189">
        <v>2</v>
      </c>
      <c r="T189">
        <v>2</v>
      </c>
      <c r="U189">
        <v>2</v>
      </c>
      <c r="V189">
        <v>2</v>
      </c>
      <c r="W189">
        <v>1</v>
      </c>
      <c r="X189">
        <v>2</v>
      </c>
      <c r="Y189">
        <v>1</v>
      </c>
      <c r="AA189">
        <v>13.9</v>
      </c>
      <c r="AB189">
        <v>43.1</v>
      </c>
      <c r="AC189">
        <v>95.4</v>
      </c>
      <c r="AD189">
        <v>26</v>
      </c>
      <c r="AE189">
        <v>6.3</v>
      </c>
      <c r="AK189">
        <v>236</v>
      </c>
      <c r="AO189" s="4" t="s">
        <v>84</v>
      </c>
      <c r="AQ189" s="4" t="s">
        <v>85</v>
      </c>
      <c r="AT189">
        <v>1</v>
      </c>
      <c r="AU189">
        <v>3</v>
      </c>
      <c r="AV189">
        <v>3</v>
      </c>
      <c r="AW189">
        <v>5</v>
      </c>
      <c r="AY189">
        <v>1</v>
      </c>
      <c r="AZ189">
        <v>1</v>
      </c>
      <c r="BA189">
        <v>2</v>
      </c>
      <c r="BC189">
        <v>4</v>
      </c>
      <c r="BF189">
        <v>3</v>
      </c>
      <c r="BG189">
        <v>60</v>
      </c>
      <c r="BH189">
        <v>0</v>
      </c>
      <c r="BI189">
        <v>0</v>
      </c>
      <c r="BJ189">
        <v>0</v>
      </c>
      <c r="BK189">
        <v>0</v>
      </c>
      <c r="BL189">
        <v>0</v>
      </c>
      <c r="BM189">
        <v>0</v>
      </c>
      <c r="BN189">
        <v>0</v>
      </c>
      <c r="BO189">
        <v>0</v>
      </c>
      <c r="BP189">
        <v>2</v>
      </c>
      <c r="BQ189">
        <v>2</v>
      </c>
      <c r="BR189">
        <v>2</v>
      </c>
      <c r="BS189">
        <v>1</v>
      </c>
      <c r="BT189">
        <v>1</v>
      </c>
      <c r="BU189">
        <v>1</v>
      </c>
      <c r="BV189">
        <v>9</v>
      </c>
      <c r="BW189">
        <v>0</v>
      </c>
      <c r="BX189">
        <v>1</v>
      </c>
      <c r="BY189">
        <v>0</v>
      </c>
    </row>
    <row r="190" spans="1:77" ht="240" x14ac:dyDescent="0.25">
      <c r="A190" t="s">
        <v>641</v>
      </c>
      <c r="B190" t="s">
        <v>322</v>
      </c>
      <c r="C190" t="s">
        <v>322</v>
      </c>
      <c r="D190">
        <v>1</v>
      </c>
      <c r="E190">
        <v>60.287399999999998</v>
      </c>
      <c r="F190" s="3">
        <v>230200233</v>
      </c>
      <c r="G190">
        <v>57</v>
      </c>
      <c r="H190">
        <v>2</v>
      </c>
      <c r="I190" s="1">
        <v>44958</v>
      </c>
      <c r="J190" s="2">
        <v>0.67708333333333337</v>
      </c>
      <c r="K190" s="1">
        <v>44958</v>
      </c>
      <c r="L190" s="1">
        <v>44966</v>
      </c>
      <c r="M190">
        <v>8698424544</v>
      </c>
      <c r="O190">
        <v>14</v>
      </c>
      <c r="P190">
        <v>2</v>
      </c>
      <c r="Q190">
        <v>2</v>
      </c>
      <c r="R190">
        <v>2</v>
      </c>
      <c r="S190">
        <v>2</v>
      </c>
      <c r="T190">
        <v>2</v>
      </c>
      <c r="U190">
        <v>2</v>
      </c>
      <c r="V190">
        <v>2</v>
      </c>
      <c r="W190">
        <v>2</v>
      </c>
      <c r="X190">
        <v>2</v>
      </c>
      <c r="Y190">
        <v>2</v>
      </c>
      <c r="Z190" t="s">
        <v>323</v>
      </c>
      <c r="AA190">
        <v>11.7</v>
      </c>
      <c r="AB190">
        <v>33.6</v>
      </c>
      <c r="AC190">
        <v>10.56</v>
      </c>
      <c r="AD190">
        <v>81.62</v>
      </c>
      <c r="AK190">
        <v>219</v>
      </c>
      <c r="AO190" s="4" t="s">
        <v>324</v>
      </c>
      <c r="AQ190" s="4" t="s">
        <v>325</v>
      </c>
      <c r="AT190">
        <v>2</v>
      </c>
      <c r="AU190">
        <v>2</v>
      </c>
      <c r="AV190">
        <v>2</v>
      </c>
      <c r="AW190">
        <v>3</v>
      </c>
      <c r="AY190">
        <v>1</v>
      </c>
      <c r="AZ190">
        <v>2</v>
      </c>
      <c r="BA190">
        <v>1</v>
      </c>
      <c r="BB190">
        <v>1</v>
      </c>
      <c r="BD190">
        <v>2</v>
      </c>
      <c r="BE190">
        <v>2</v>
      </c>
      <c r="BF190">
        <v>2</v>
      </c>
      <c r="BG190">
        <v>95</v>
      </c>
      <c r="BH190">
        <v>1</v>
      </c>
      <c r="BI190">
        <v>2</v>
      </c>
      <c r="BJ190">
        <v>2</v>
      </c>
      <c r="BK190">
        <v>1</v>
      </c>
      <c r="BL190">
        <v>1</v>
      </c>
      <c r="BM190">
        <v>1</v>
      </c>
      <c r="BN190">
        <v>1</v>
      </c>
      <c r="BO190">
        <v>0</v>
      </c>
      <c r="BP190">
        <v>0</v>
      </c>
      <c r="BQ190">
        <v>0</v>
      </c>
      <c r="BR190">
        <v>0</v>
      </c>
      <c r="BS190">
        <v>0</v>
      </c>
      <c r="BT190">
        <v>0</v>
      </c>
      <c r="BU190">
        <v>0</v>
      </c>
      <c r="BV190">
        <v>9</v>
      </c>
      <c r="BW190">
        <v>1</v>
      </c>
      <c r="BX190">
        <v>0</v>
      </c>
      <c r="BY190">
        <v>0</v>
      </c>
    </row>
    <row r="191" spans="1:77" ht="409.5" x14ac:dyDescent="0.25">
      <c r="A191" t="s">
        <v>610</v>
      </c>
      <c r="B191" t="s">
        <v>134</v>
      </c>
      <c r="C191" t="s">
        <v>1000</v>
      </c>
      <c r="D191">
        <v>0</v>
      </c>
      <c r="E191">
        <v>71.232900000000001</v>
      </c>
      <c r="F191" s="3">
        <v>160904101</v>
      </c>
      <c r="G191">
        <v>55</v>
      </c>
      <c r="H191">
        <v>2</v>
      </c>
      <c r="K191" s="1">
        <v>45111</v>
      </c>
      <c r="L191" s="1">
        <v>45115</v>
      </c>
      <c r="M191">
        <v>9595660842</v>
      </c>
      <c r="P191">
        <v>2</v>
      </c>
      <c r="Q191">
        <v>2</v>
      </c>
      <c r="R191">
        <v>2</v>
      </c>
      <c r="S191">
        <v>2</v>
      </c>
      <c r="T191">
        <v>2</v>
      </c>
      <c r="U191">
        <v>2</v>
      </c>
      <c r="V191">
        <v>2</v>
      </c>
      <c r="W191">
        <v>1</v>
      </c>
      <c r="X191">
        <v>2</v>
      </c>
      <c r="Y191">
        <v>2</v>
      </c>
      <c r="Z191" t="s">
        <v>135</v>
      </c>
      <c r="AA191">
        <v>12.9</v>
      </c>
      <c r="AB191">
        <v>39.1</v>
      </c>
      <c r="AC191">
        <v>88.4</v>
      </c>
      <c r="AD191">
        <v>11.33</v>
      </c>
      <c r="AF191">
        <v>201</v>
      </c>
      <c r="AG191">
        <v>116</v>
      </c>
      <c r="AH191">
        <v>61</v>
      </c>
      <c r="AI191">
        <v>120</v>
      </c>
      <c r="AJ191">
        <v>24</v>
      </c>
      <c r="AK191">
        <v>1392</v>
      </c>
      <c r="AO191" s="4" t="s">
        <v>136</v>
      </c>
      <c r="AQ191" s="4"/>
      <c r="AT191">
        <v>1</v>
      </c>
      <c r="AU191">
        <v>3</v>
      </c>
      <c r="AV191">
        <v>3</v>
      </c>
      <c r="AW191">
        <v>4</v>
      </c>
      <c r="AY191">
        <v>1</v>
      </c>
      <c r="AZ191">
        <v>1</v>
      </c>
      <c r="BA191">
        <v>2</v>
      </c>
      <c r="BF191">
        <v>6</v>
      </c>
      <c r="BG191">
        <v>0</v>
      </c>
      <c r="BH191">
        <v>0</v>
      </c>
      <c r="BI191">
        <v>2</v>
      </c>
      <c r="BJ191">
        <v>2</v>
      </c>
      <c r="BK191">
        <v>2</v>
      </c>
      <c r="BL191">
        <v>1</v>
      </c>
      <c r="BM191">
        <v>1</v>
      </c>
      <c r="BN191">
        <v>1</v>
      </c>
      <c r="BO191">
        <v>0</v>
      </c>
      <c r="BP191">
        <v>0</v>
      </c>
      <c r="BQ191">
        <v>0</v>
      </c>
      <c r="BR191">
        <v>0</v>
      </c>
      <c r="BS191">
        <v>0</v>
      </c>
      <c r="BT191">
        <v>0</v>
      </c>
      <c r="BU191">
        <v>0</v>
      </c>
      <c r="BV191">
        <v>9</v>
      </c>
      <c r="BW191">
        <v>1</v>
      </c>
      <c r="BX191">
        <v>1</v>
      </c>
      <c r="BY191">
        <v>0</v>
      </c>
    </row>
    <row r="192" spans="1:77" ht="120" x14ac:dyDescent="0.25">
      <c r="A192" t="s">
        <v>933</v>
      </c>
      <c r="B192" t="s">
        <v>130</v>
      </c>
      <c r="C192" t="s">
        <v>998</v>
      </c>
      <c r="D192">
        <v>0</v>
      </c>
      <c r="E192">
        <v>4.8026400000000002</v>
      </c>
      <c r="F192" s="3">
        <v>230704454</v>
      </c>
      <c r="G192">
        <v>45</v>
      </c>
      <c r="H192">
        <v>1</v>
      </c>
      <c r="I192" s="1">
        <v>45135</v>
      </c>
      <c r="J192" s="2">
        <v>0.47916666666666669</v>
      </c>
      <c r="K192" s="1">
        <v>45135</v>
      </c>
      <c r="L192" s="1">
        <v>45136</v>
      </c>
      <c r="M192">
        <v>7888249757</v>
      </c>
      <c r="O192">
        <v>4</v>
      </c>
      <c r="P192">
        <v>2</v>
      </c>
      <c r="Q192">
        <v>2</v>
      </c>
      <c r="R192">
        <v>2</v>
      </c>
      <c r="S192">
        <v>2</v>
      </c>
      <c r="T192">
        <v>2</v>
      </c>
      <c r="U192">
        <v>2</v>
      </c>
      <c r="V192">
        <v>2</v>
      </c>
      <c r="W192">
        <v>2</v>
      </c>
      <c r="X192">
        <v>2</v>
      </c>
      <c r="Y192">
        <v>2</v>
      </c>
      <c r="AA192">
        <v>14.2</v>
      </c>
      <c r="AB192">
        <v>42.6</v>
      </c>
      <c r="AC192">
        <v>88.2</v>
      </c>
      <c r="AD192">
        <v>14.52</v>
      </c>
      <c r="AE192">
        <v>6.5</v>
      </c>
      <c r="AF192">
        <v>216</v>
      </c>
      <c r="AG192">
        <v>123.2</v>
      </c>
      <c r="AH192">
        <v>40</v>
      </c>
      <c r="AI192">
        <v>264</v>
      </c>
      <c r="AJ192">
        <v>52.8</v>
      </c>
      <c r="AO192" s="4" t="s">
        <v>131</v>
      </c>
      <c r="AQ192" s="4"/>
      <c r="AT192">
        <v>1</v>
      </c>
      <c r="AU192">
        <v>3</v>
      </c>
      <c r="AV192">
        <v>3</v>
      </c>
      <c r="AW192">
        <v>5</v>
      </c>
      <c r="AY192">
        <v>1</v>
      </c>
      <c r="AZ192">
        <v>1</v>
      </c>
      <c r="BA192">
        <v>2</v>
      </c>
      <c r="BF192">
        <v>1</v>
      </c>
      <c r="BG192">
        <v>100</v>
      </c>
      <c r="BO192">
        <v>1</v>
      </c>
      <c r="BP192">
        <v>1</v>
      </c>
      <c r="BQ192">
        <v>2</v>
      </c>
      <c r="BR192">
        <v>2</v>
      </c>
      <c r="BS192">
        <v>1</v>
      </c>
      <c r="BT192">
        <v>1</v>
      </c>
      <c r="BU192">
        <v>1</v>
      </c>
      <c r="BV192">
        <v>9</v>
      </c>
      <c r="BW192">
        <v>1</v>
      </c>
      <c r="BX192">
        <v>1</v>
      </c>
      <c r="BY192">
        <v>1</v>
      </c>
    </row>
    <row r="193" spans="1:77" ht="105" x14ac:dyDescent="0.25">
      <c r="A193" t="s">
        <v>656</v>
      </c>
      <c r="B193" t="s">
        <v>563</v>
      </c>
      <c r="C193" t="s">
        <v>1128</v>
      </c>
      <c r="D193">
        <v>0</v>
      </c>
      <c r="E193">
        <v>0.84427799999999997</v>
      </c>
      <c r="F193" s="3">
        <v>240000062726</v>
      </c>
      <c r="G193">
        <v>59</v>
      </c>
      <c r="H193">
        <v>1</v>
      </c>
      <c r="I193" s="1">
        <v>45491</v>
      </c>
      <c r="J193" s="2">
        <v>0.125</v>
      </c>
      <c r="K193" s="1">
        <v>45492</v>
      </c>
      <c r="L193" s="1">
        <v>45494</v>
      </c>
      <c r="M193">
        <v>7776878768</v>
      </c>
      <c r="O193">
        <v>3</v>
      </c>
      <c r="P193">
        <v>1</v>
      </c>
      <c r="Q193">
        <v>1</v>
      </c>
      <c r="R193">
        <v>2</v>
      </c>
      <c r="S193">
        <v>2</v>
      </c>
      <c r="T193">
        <v>2</v>
      </c>
      <c r="U193">
        <v>2</v>
      </c>
      <c r="V193">
        <v>2</v>
      </c>
      <c r="W193">
        <v>2</v>
      </c>
      <c r="X193">
        <v>2</v>
      </c>
      <c r="Y193">
        <v>2</v>
      </c>
      <c r="AA193">
        <v>15.2</v>
      </c>
      <c r="AB193">
        <v>46.4</v>
      </c>
      <c r="AC193">
        <v>76.8</v>
      </c>
      <c r="AD193">
        <v>13.91</v>
      </c>
      <c r="AF193">
        <v>162</v>
      </c>
      <c r="AG193">
        <v>87.6</v>
      </c>
      <c r="AH193">
        <v>51</v>
      </c>
      <c r="AI193">
        <v>117</v>
      </c>
      <c r="AJ193">
        <v>23.4</v>
      </c>
      <c r="AK193">
        <v>2000</v>
      </c>
      <c r="AO193" s="4" t="s">
        <v>564</v>
      </c>
      <c r="AQ193" s="4"/>
      <c r="AT193">
        <v>1</v>
      </c>
      <c r="AU193">
        <v>3</v>
      </c>
      <c r="AV193">
        <v>3</v>
      </c>
      <c r="AW193">
        <v>5</v>
      </c>
      <c r="AY193">
        <v>1</v>
      </c>
      <c r="AZ193">
        <v>1</v>
      </c>
      <c r="BA193">
        <v>2</v>
      </c>
      <c r="BD193">
        <v>2</v>
      </c>
      <c r="BE193">
        <v>2</v>
      </c>
      <c r="BF193">
        <v>0</v>
      </c>
      <c r="BG193">
        <v>100</v>
      </c>
      <c r="BH193">
        <v>0</v>
      </c>
      <c r="BI193">
        <v>0</v>
      </c>
      <c r="BJ193">
        <v>0</v>
      </c>
      <c r="BK193">
        <v>0</v>
      </c>
      <c r="BL193">
        <v>0</v>
      </c>
      <c r="BM193">
        <v>0</v>
      </c>
      <c r="BN193">
        <v>0</v>
      </c>
      <c r="BO193">
        <v>1</v>
      </c>
      <c r="BP193">
        <v>2</v>
      </c>
      <c r="BQ193">
        <v>2</v>
      </c>
      <c r="BR193">
        <v>2</v>
      </c>
      <c r="BS193">
        <v>1</v>
      </c>
      <c r="BT193">
        <v>1</v>
      </c>
      <c r="BU193">
        <v>1</v>
      </c>
      <c r="BV193">
        <v>10</v>
      </c>
      <c r="BW193">
        <v>1</v>
      </c>
      <c r="BX193">
        <v>1</v>
      </c>
      <c r="BY193">
        <v>1</v>
      </c>
    </row>
    <row r="194" spans="1:77" s="8" customFormat="1" ht="405" x14ac:dyDescent="0.25">
      <c r="A194" t="s">
        <v>665</v>
      </c>
      <c r="B194" t="s">
        <v>143</v>
      </c>
      <c r="C194" t="s">
        <v>1003</v>
      </c>
      <c r="D194">
        <v>1</v>
      </c>
      <c r="E194">
        <v>0.95894199999999996</v>
      </c>
      <c r="F194" s="3">
        <v>130403752</v>
      </c>
      <c r="G194">
        <v>75</v>
      </c>
      <c r="H194">
        <v>1</v>
      </c>
      <c r="I194" s="1">
        <v>45125</v>
      </c>
      <c r="J194" s="2">
        <v>0.66666666666666663</v>
      </c>
      <c r="K194" s="1">
        <v>45125</v>
      </c>
      <c r="L194" s="1">
        <v>45132</v>
      </c>
      <c r="M194">
        <v>8421492004</v>
      </c>
      <c r="N194"/>
      <c r="O194"/>
      <c r="P194">
        <v>2</v>
      </c>
      <c r="Q194">
        <v>2</v>
      </c>
      <c r="R194">
        <v>2</v>
      </c>
      <c r="S194">
        <v>2</v>
      </c>
      <c r="T194">
        <v>2</v>
      </c>
      <c r="U194">
        <v>2</v>
      </c>
      <c r="V194">
        <v>2</v>
      </c>
      <c r="W194">
        <v>2</v>
      </c>
      <c r="X194">
        <v>2</v>
      </c>
      <c r="Y194">
        <v>2</v>
      </c>
      <c r="Z194"/>
      <c r="AA194">
        <v>13</v>
      </c>
      <c r="AB194">
        <v>39.6</v>
      </c>
      <c r="AC194">
        <v>89.2</v>
      </c>
      <c r="AD194">
        <v>16</v>
      </c>
      <c r="AE194">
        <v>5.7</v>
      </c>
      <c r="AF194"/>
      <c r="AG194"/>
      <c r="AH194"/>
      <c r="AI194"/>
      <c r="AJ194"/>
      <c r="AK194">
        <v>401</v>
      </c>
      <c r="AL194"/>
      <c r="AM194"/>
      <c r="AN194"/>
      <c r="AO194" s="4" t="s">
        <v>144</v>
      </c>
      <c r="AP194"/>
      <c r="AQ194" s="4" t="s">
        <v>145</v>
      </c>
      <c r="AR194"/>
      <c r="AS194"/>
      <c r="AT194">
        <v>1</v>
      </c>
      <c r="AU194">
        <v>3</v>
      </c>
      <c r="AV194">
        <v>3</v>
      </c>
      <c r="AW194">
        <v>5</v>
      </c>
      <c r="AX194"/>
      <c r="AY194">
        <v>1</v>
      </c>
      <c r="AZ194">
        <v>2</v>
      </c>
      <c r="BA194">
        <v>2</v>
      </c>
      <c r="BB194"/>
      <c r="BC194"/>
      <c r="BD194"/>
      <c r="BE194"/>
      <c r="BF194">
        <v>1</v>
      </c>
      <c r="BG194">
        <v>100</v>
      </c>
      <c r="BH194">
        <v>1</v>
      </c>
      <c r="BI194">
        <v>2</v>
      </c>
      <c r="BJ194">
        <v>2</v>
      </c>
      <c r="BK194">
        <v>2</v>
      </c>
      <c r="BL194">
        <v>1</v>
      </c>
      <c r="BM194">
        <v>1</v>
      </c>
      <c r="BN194">
        <v>1</v>
      </c>
      <c r="BO194">
        <v>0</v>
      </c>
      <c r="BP194">
        <v>0</v>
      </c>
      <c r="BQ194">
        <v>0</v>
      </c>
      <c r="BR194">
        <v>0</v>
      </c>
      <c r="BS194">
        <v>0</v>
      </c>
      <c r="BT194">
        <v>0</v>
      </c>
      <c r="BU194">
        <v>0</v>
      </c>
      <c r="BV194">
        <v>10</v>
      </c>
      <c r="BW194">
        <v>1</v>
      </c>
      <c r="BX194">
        <v>1</v>
      </c>
      <c r="BY194" t="s">
        <v>1004</v>
      </c>
    </row>
    <row r="195" spans="1:77" s="8" customFormat="1" ht="409.5" x14ac:dyDescent="0.25">
      <c r="A195" t="s">
        <v>652</v>
      </c>
      <c r="B195" t="s">
        <v>76</v>
      </c>
      <c r="C195" t="s">
        <v>76</v>
      </c>
      <c r="D195">
        <v>0</v>
      </c>
      <c r="E195">
        <v>1.7725900000000001</v>
      </c>
      <c r="F195" s="3">
        <v>171000107</v>
      </c>
      <c r="G195">
        <v>56</v>
      </c>
      <c r="H195">
        <v>1</v>
      </c>
      <c r="I195" s="1">
        <v>44989</v>
      </c>
      <c r="J195"/>
      <c r="K195" s="1">
        <v>44989</v>
      </c>
      <c r="L195" s="1">
        <v>44993</v>
      </c>
      <c r="M195">
        <v>9011496111</v>
      </c>
      <c r="N195"/>
      <c r="O195">
        <v>13</v>
      </c>
      <c r="P195">
        <v>1</v>
      </c>
      <c r="Q195">
        <v>1</v>
      </c>
      <c r="R195">
        <v>1</v>
      </c>
      <c r="S195">
        <v>1</v>
      </c>
      <c r="T195">
        <v>2</v>
      </c>
      <c r="U195">
        <v>2</v>
      </c>
      <c r="V195">
        <v>2</v>
      </c>
      <c r="W195">
        <v>2</v>
      </c>
      <c r="X195">
        <v>2</v>
      </c>
      <c r="Y195">
        <v>2</v>
      </c>
      <c r="Z195"/>
      <c r="AA195">
        <v>16.399999999999999</v>
      </c>
      <c r="AB195">
        <v>48.7</v>
      </c>
      <c r="AC195">
        <v>10.19</v>
      </c>
      <c r="AD195">
        <v>23.15</v>
      </c>
      <c r="AE195">
        <v>7.9</v>
      </c>
      <c r="AF195"/>
      <c r="AG195"/>
      <c r="AH195"/>
      <c r="AI195"/>
      <c r="AJ195"/>
      <c r="AK195">
        <v>182</v>
      </c>
      <c r="AL195"/>
      <c r="AM195"/>
      <c r="AN195"/>
      <c r="AO195" s="4" t="s">
        <v>77</v>
      </c>
      <c r="AP195"/>
      <c r="AQ195" s="4" t="s">
        <v>78</v>
      </c>
      <c r="AR195"/>
      <c r="AS195"/>
      <c r="AT195">
        <v>1</v>
      </c>
      <c r="AU195">
        <v>3</v>
      </c>
      <c r="AV195">
        <v>3</v>
      </c>
      <c r="AW195">
        <v>5</v>
      </c>
      <c r="AX195"/>
      <c r="AY195">
        <v>1</v>
      </c>
      <c r="AZ195">
        <v>1</v>
      </c>
      <c r="BA195">
        <v>1</v>
      </c>
      <c r="BB195">
        <v>1</v>
      </c>
      <c r="BC195"/>
      <c r="BD195"/>
      <c r="BE195"/>
      <c r="BF195">
        <v>2</v>
      </c>
      <c r="BG195">
        <v>85</v>
      </c>
      <c r="BH195">
        <v>1</v>
      </c>
      <c r="BI195">
        <v>2</v>
      </c>
      <c r="BJ195">
        <v>2</v>
      </c>
      <c r="BK195">
        <v>2</v>
      </c>
      <c r="BL195">
        <v>1</v>
      </c>
      <c r="BM195">
        <v>1</v>
      </c>
      <c r="BN195">
        <v>1</v>
      </c>
      <c r="BO195">
        <v>0</v>
      </c>
      <c r="BP195">
        <v>0</v>
      </c>
      <c r="BQ195">
        <v>0</v>
      </c>
      <c r="BR195">
        <v>0</v>
      </c>
      <c r="BS195">
        <v>0</v>
      </c>
      <c r="BT195">
        <v>0</v>
      </c>
      <c r="BU195">
        <v>0</v>
      </c>
      <c r="BV195">
        <v>10</v>
      </c>
      <c r="BW195">
        <v>1</v>
      </c>
      <c r="BX195">
        <v>1</v>
      </c>
      <c r="BY195">
        <v>1</v>
      </c>
    </row>
    <row r="196" spans="1:77" ht="120" x14ac:dyDescent="0.25">
      <c r="A196" t="s">
        <v>670</v>
      </c>
      <c r="B196" t="s">
        <v>289</v>
      </c>
      <c r="C196" t="s">
        <v>289</v>
      </c>
      <c r="D196">
        <v>1</v>
      </c>
      <c r="E196">
        <v>2.0050300000000001</v>
      </c>
      <c r="F196" s="3">
        <v>230502703</v>
      </c>
      <c r="G196">
        <v>47</v>
      </c>
      <c r="H196">
        <v>1</v>
      </c>
      <c r="I196" s="1">
        <v>45063</v>
      </c>
      <c r="J196" s="2">
        <v>0.25</v>
      </c>
      <c r="K196" s="1">
        <v>45065</v>
      </c>
      <c r="L196" s="1">
        <v>45067</v>
      </c>
      <c r="M196">
        <v>9637820789</v>
      </c>
      <c r="P196">
        <v>2</v>
      </c>
      <c r="Q196">
        <v>2</v>
      </c>
      <c r="R196">
        <v>1</v>
      </c>
      <c r="S196">
        <v>2</v>
      </c>
      <c r="T196">
        <v>1</v>
      </c>
      <c r="U196">
        <v>2</v>
      </c>
      <c r="V196">
        <v>2</v>
      </c>
      <c r="W196">
        <v>2</v>
      </c>
      <c r="X196">
        <v>2</v>
      </c>
      <c r="Y196">
        <v>2</v>
      </c>
      <c r="AA196">
        <v>13.7</v>
      </c>
      <c r="AB196">
        <v>42.3</v>
      </c>
      <c r="AC196">
        <v>99.7</v>
      </c>
      <c r="AD196">
        <v>38.15</v>
      </c>
      <c r="AE196">
        <v>5</v>
      </c>
      <c r="AF196">
        <v>235</v>
      </c>
      <c r="AG196">
        <v>156.6</v>
      </c>
      <c r="AH196">
        <v>61</v>
      </c>
      <c r="AI196">
        <v>87</v>
      </c>
      <c r="AJ196">
        <v>17.399999999999999</v>
      </c>
      <c r="AK196">
        <v>153</v>
      </c>
      <c r="AO196" s="4" t="s">
        <v>290</v>
      </c>
      <c r="AQ196" s="4"/>
      <c r="AT196">
        <v>1</v>
      </c>
      <c r="AU196">
        <v>3</v>
      </c>
      <c r="AV196">
        <v>3</v>
      </c>
      <c r="AW196">
        <v>5</v>
      </c>
      <c r="AY196">
        <v>1</v>
      </c>
      <c r="AZ196">
        <v>1</v>
      </c>
      <c r="BA196">
        <v>2</v>
      </c>
      <c r="BC196">
        <v>4</v>
      </c>
      <c r="BD196">
        <v>2</v>
      </c>
      <c r="BE196">
        <v>2</v>
      </c>
      <c r="BF196">
        <v>2</v>
      </c>
      <c r="BG196">
        <v>95</v>
      </c>
      <c r="BH196">
        <v>0</v>
      </c>
      <c r="BI196">
        <v>0</v>
      </c>
      <c r="BJ196">
        <v>0</v>
      </c>
      <c r="BK196">
        <v>0</v>
      </c>
      <c r="BL196">
        <v>0</v>
      </c>
      <c r="BM196">
        <v>0</v>
      </c>
      <c r="BN196">
        <v>0</v>
      </c>
      <c r="BO196">
        <v>1</v>
      </c>
      <c r="BP196">
        <v>2</v>
      </c>
      <c r="BQ196">
        <v>2</v>
      </c>
      <c r="BR196">
        <v>2</v>
      </c>
      <c r="BS196">
        <v>1</v>
      </c>
      <c r="BT196">
        <v>1</v>
      </c>
      <c r="BU196">
        <v>1</v>
      </c>
      <c r="BV196">
        <v>10</v>
      </c>
      <c r="BW196">
        <v>1</v>
      </c>
      <c r="BX196">
        <v>1</v>
      </c>
      <c r="BY196">
        <v>0</v>
      </c>
    </row>
    <row r="197" spans="1:77" x14ac:dyDescent="0.25">
      <c r="A197" t="s">
        <v>930</v>
      </c>
      <c r="B197" t="s">
        <v>915</v>
      </c>
      <c r="C197" t="s">
        <v>1143</v>
      </c>
      <c r="D197">
        <v>0</v>
      </c>
      <c r="E197">
        <v>2.0206599999999999</v>
      </c>
      <c r="F197" s="3">
        <v>24003948</v>
      </c>
      <c r="G197">
        <v>49</v>
      </c>
      <c r="H197">
        <v>1</v>
      </c>
      <c r="I197" s="1">
        <v>45577</v>
      </c>
      <c r="J197" s="2">
        <v>0.33333333333333331</v>
      </c>
      <c r="K197" s="1">
        <v>45577</v>
      </c>
      <c r="L197" s="1">
        <v>45579</v>
      </c>
      <c r="M197">
        <v>9322883521</v>
      </c>
      <c r="N197">
        <v>8766747970</v>
      </c>
      <c r="O197">
        <v>11</v>
      </c>
      <c r="P197">
        <v>1</v>
      </c>
      <c r="Q197">
        <v>2</v>
      </c>
      <c r="R197">
        <v>1</v>
      </c>
      <c r="S197">
        <v>1</v>
      </c>
      <c r="T197">
        <v>1</v>
      </c>
      <c r="U197">
        <v>2</v>
      </c>
      <c r="V197">
        <v>2</v>
      </c>
      <c r="W197">
        <v>1</v>
      </c>
      <c r="X197">
        <v>2</v>
      </c>
      <c r="Y197">
        <v>2</v>
      </c>
      <c r="AA197">
        <v>12.6</v>
      </c>
      <c r="AD197">
        <v>49.53</v>
      </c>
      <c r="AK197">
        <v>247</v>
      </c>
      <c r="AO197" t="s">
        <v>916</v>
      </c>
      <c r="AQ197" t="s">
        <v>48</v>
      </c>
      <c r="AT197">
        <v>1</v>
      </c>
      <c r="AU197">
        <v>3</v>
      </c>
      <c r="AV197">
        <v>3</v>
      </c>
      <c r="AW197">
        <v>5</v>
      </c>
      <c r="AY197">
        <v>1</v>
      </c>
      <c r="AZ197">
        <v>2</v>
      </c>
      <c r="BA197">
        <v>1</v>
      </c>
      <c r="BB197">
        <v>1</v>
      </c>
      <c r="BC197">
        <v>4</v>
      </c>
      <c r="BD197">
        <v>2</v>
      </c>
      <c r="BE197">
        <v>2</v>
      </c>
      <c r="BF197">
        <v>6</v>
      </c>
      <c r="BG197">
        <v>0</v>
      </c>
      <c r="BH197">
        <v>1</v>
      </c>
      <c r="BI197">
        <v>2</v>
      </c>
      <c r="BJ197">
        <v>2</v>
      </c>
      <c r="BK197">
        <v>2</v>
      </c>
      <c r="BL197">
        <v>1</v>
      </c>
      <c r="BM197">
        <v>1</v>
      </c>
      <c r="BN197">
        <v>1</v>
      </c>
      <c r="BO197">
        <v>0</v>
      </c>
      <c r="BP197">
        <v>0</v>
      </c>
      <c r="BQ197">
        <v>0</v>
      </c>
      <c r="BR197">
        <v>0</v>
      </c>
      <c r="BS197">
        <v>0</v>
      </c>
      <c r="BT197">
        <v>0</v>
      </c>
      <c r="BU197">
        <v>0</v>
      </c>
      <c r="BV197">
        <v>10</v>
      </c>
      <c r="BW197">
        <v>1</v>
      </c>
      <c r="BX197">
        <v>1</v>
      </c>
      <c r="BY197">
        <v>1</v>
      </c>
    </row>
    <row r="198" spans="1:77" ht="195" x14ac:dyDescent="0.25">
      <c r="A198" t="s">
        <v>671</v>
      </c>
      <c r="B198" t="s">
        <v>79</v>
      </c>
      <c r="C198" t="s">
        <v>990</v>
      </c>
      <c r="D198">
        <v>1</v>
      </c>
      <c r="E198">
        <v>2.3247100000000001</v>
      </c>
      <c r="F198" s="3">
        <v>141002331</v>
      </c>
      <c r="G198">
        <v>43</v>
      </c>
      <c r="H198">
        <v>2</v>
      </c>
      <c r="I198" s="1">
        <v>45003</v>
      </c>
      <c r="J198" s="2">
        <v>0.29166666666666669</v>
      </c>
      <c r="K198" s="1">
        <v>45003</v>
      </c>
      <c r="L198" s="1">
        <v>45006</v>
      </c>
      <c r="M198">
        <v>8999976013</v>
      </c>
      <c r="P198">
        <v>2</v>
      </c>
      <c r="Q198">
        <v>2</v>
      </c>
      <c r="R198">
        <v>2</v>
      </c>
      <c r="S198">
        <v>2</v>
      </c>
      <c r="T198">
        <v>2</v>
      </c>
      <c r="U198">
        <v>2</v>
      </c>
      <c r="V198">
        <v>2</v>
      </c>
      <c r="W198">
        <v>2</v>
      </c>
      <c r="X198">
        <v>2</v>
      </c>
      <c r="Y198">
        <v>1</v>
      </c>
      <c r="Z198" t="s">
        <v>80</v>
      </c>
      <c r="AA198">
        <v>7.7</v>
      </c>
      <c r="AB198">
        <v>26.2</v>
      </c>
      <c r="AC198">
        <v>62.7</v>
      </c>
      <c r="AD198">
        <v>8.82</v>
      </c>
      <c r="AE198">
        <v>5.0999999999999996</v>
      </c>
      <c r="AK198">
        <v>183</v>
      </c>
      <c r="AM198" t="s">
        <v>81</v>
      </c>
      <c r="AO198" s="4" t="s">
        <v>82</v>
      </c>
      <c r="AQ198" s="4"/>
      <c r="AT198">
        <v>1</v>
      </c>
      <c r="AU198">
        <v>3</v>
      </c>
      <c r="AV198">
        <v>3</v>
      </c>
      <c r="AW198">
        <v>5</v>
      </c>
      <c r="AY198">
        <v>1</v>
      </c>
      <c r="AZ198">
        <v>1</v>
      </c>
      <c r="BA198">
        <v>2</v>
      </c>
      <c r="BF198">
        <v>1</v>
      </c>
      <c r="BG198">
        <v>100</v>
      </c>
      <c r="BH198">
        <v>1</v>
      </c>
      <c r="BI198">
        <v>2</v>
      </c>
      <c r="BJ198">
        <v>2</v>
      </c>
      <c r="BK198">
        <v>2</v>
      </c>
      <c r="BL198">
        <v>1</v>
      </c>
      <c r="BM198">
        <v>1</v>
      </c>
      <c r="BN198">
        <v>1</v>
      </c>
      <c r="BO198">
        <v>0</v>
      </c>
      <c r="BP198">
        <v>0</v>
      </c>
      <c r="BQ198">
        <v>0</v>
      </c>
      <c r="BR198">
        <v>0</v>
      </c>
      <c r="BS198">
        <v>0</v>
      </c>
      <c r="BT198">
        <v>0</v>
      </c>
      <c r="BU198">
        <v>0</v>
      </c>
      <c r="BV198">
        <v>10</v>
      </c>
      <c r="BW198">
        <v>1</v>
      </c>
      <c r="BX198">
        <v>1</v>
      </c>
      <c r="BY198">
        <v>0</v>
      </c>
    </row>
    <row r="199" spans="1:77" ht="75" x14ac:dyDescent="0.25">
      <c r="A199" s="8" t="s">
        <v>707</v>
      </c>
      <c r="B199" s="8" t="s">
        <v>210</v>
      </c>
      <c r="C199" s="8" t="s">
        <v>210</v>
      </c>
      <c r="D199" s="8">
        <v>0</v>
      </c>
      <c r="E199" s="8">
        <v>3.0802399999999999</v>
      </c>
      <c r="F199" s="9">
        <v>230000076571</v>
      </c>
      <c r="G199" s="8">
        <v>76</v>
      </c>
      <c r="H199" s="8">
        <v>1</v>
      </c>
      <c r="I199" s="10">
        <v>45288</v>
      </c>
      <c r="J199" s="11">
        <v>0.125</v>
      </c>
      <c r="K199" s="10">
        <v>45288</v>
      </c>
      <c r="L199" s="8"/>
      <c r="M199" s="8">
        <v>9552288085</v>
      </c>
      <c r="N199" s="8"/>
      <c r="O199" s="8">
        <v>9</v>
      </c>
      <c r="P199" s="8">
        <v>2</v>
      </c>
      <c r="Q199" s="8">
        <v>2</v>
      </c>
      <c r="R199" s="8">
        <v>2</v>
      </c>
      <c r="S199" s="8">
        <v>1</v>
      </c>
      <c r="T199" s="8">
        <v>2</v>
      </c>
      <c r="U199" s="8">
        <v>2</v>
      </c>
      <c r="V199" s="8">
        <v>2</v>
      </c>
      <c r="W199" s="8">
        <v>2</v>
      </c>
      <c r="X199" s="8">
        <v>2</v>
      </c>
      <c r="Y199" s="8">
        <v>2</v>
      </c>
      <c r="Z199" s="8"/>
      <c r="AA199" s="8">
        <v>13.3</v>
      </c>
      <c r="AB199" s="8">
        <v>38.200000000000003</v>
      </c>
      <c r="AC199" s="8">
        <v>10.050000000000001</v>
      </c>
      <c r="AD199" s="8">
        <v>10</v>
      </c>
      <c r="AE199" s="8">
        <v>5.3</v>
      </c>
      <c r="AF199" s="8">
        <v>127</v>
      </c>
      <c r="AG199" s="8">
        <v>72.400000000000006</v>
      </c>
      <c r="AH199" s="8">
        <v>38</v>
      </c>
      <c r="AI199" s="8">
        <v>83</v>
      </c>
      <c r="AJ199" s="8">
        <v>16.600000000000001</v>
      </c>
      <c r="AK199" s="8">
        <v>2000</v>
      </c>
      <c r="AL199" s="8"/>
      <c r="AM199" s="8"/>
      <c r="AN199" s="8"/>
      <c r="AO199" s="12" t="s">
        <v>211</v>
      </c>
      <c r="AP199" s="8"/>
      <c r="AQ199" s="12" t="s">
        <v>49</v>
      </c>
      <c r="AR199" s="8"/>
      <c r="AS199" s="8"/>
      <c r="AT199" s="8">
        <v>1</v>
      </c>
      <c r="AU199" s="8">
        <v>3</v>
      </c>
      <c r="AV199" s="8">
        <v>3</v>
      </c>
      <c r="AW199" s="8">
        <v>5</v>
      </c>
      <c r="AX199" s="8"/>
      <c r="AY199" s="8">
        <v>1</v>
      </c>
      <c r="AZ199" s="8">
        <v>1</v>
      </c>
      <c r="BA199" s="8">
        <v>2</v>
      </c>
      <c r="BB199" s="8"/>
      <c r="BC199" s="8"/>
      <c r="BD199" s="8">
        <v>2</v>
      </c>
      <c r="BE199" s="8">
        <v>2</v>
      </c>
      <c r="BF199" s="8">
        <v>4</v>
      </c>
      <c r="BG199" s="8">
        <v>40</v>
      </c>
      <c r="BH199" s="8"/>
      <c r="BI199" s="8"/>
      <c r="BJ199" s="8"/>
      <c r="BK199" s="8"/>
      <c r="BL199" s="8"/>
      <c r="BM199" s="8"/>
      <c r="BN199" s="8"/>
      <c r="BO199" s="8">
        <v>1</v>
      </c>
      <c r="BP199" s="8">
        <v>2</v>
      </c>
      <c r="BQ199" s="8">
        <v>2</v>
      </c>
      <c r="BR199" s="8">
        <v>2</v>
      </c>
      <c r="BS199" s="8">
        <v>1</v>
      </c>
      <c r="BT199" s="8">
        <v>1</v>
      </c>
      <c r="BU199" s="8">
        <v>1</v>
      </c>
      <c r="BV199" s="8">
        <v>10</v>
      </c>
      <c r="BW199" s="8">
        <v>1</v>
      </c>
      <c r="BX199" s="8">
        <v>1</v>
      </c>
      <c r="BY199" s="8">
        <v>1</v>
      </c>
    </row>
    <row r="200" spans="1:77" ht="105" x14ac:dyDescent="0.25">
      <c r="A200" t="s">
        <v>688</v>
      </c>
      <c r="B200" t="s">
        <v>191</v>
      </c>
      <c r="C200" t="s">
        <v>1016</v>
      </c>
      <c r="D200">
        <v>1</v>
      </c>
      <c r="E200">
        <v>3.48706</v>
      </c>
      <c r="F200" s="3">
        <v>22403046</v>
      </c>
      <c r="G200">
        <v>75</v>
      </c>
      <c r="H200">
        <v>2</v>
      </c>
      <c r="I200" s="1">
        <v>45158</v>
      </c>
      <c r="J200" s="2">
        <v>0.40277777777777773</v>
      </c>
      <c r="K200" s="1">
        <v>45158</v>
      </c>
      <c r="L200" s="1">
        <v>45161</v>
      </c>
      <c r="M200">
        <v>8850292400</v>
      </c>
      <c r="O200">
        <v>10</v>
      </c>
      <c r="P200">
        <v>1</v>
      </c>
      <c r="Q200">
        <v>2</v>
      </c>
      <c r="R200">
        <v>2</v>
      </c>
      <c r="S200">
        <v>1</v>
      </c>
      <c r="T200">
        <v>2</v>
      </c>
      <c r="U200">
        <v>2</v>
      </c>
      <c r="V200">
        <v>2</v>
      </c>
      <c r="W200">
        <v>2</v>
      </c>
      <c r="X200">
        <v>2</v>
      </c>
      <c r="Y200">
        <v>1</v>
      </c>
      <c r="AA200">
        <v>10.6</v>
      </c>
      <c r="AB200">
        <v>6.22</v>
      </c>
      <c r="AD200">
        <v>6.22</v>
      </c>
      <c r="AE200">
        <v>6</v>
      </c>
      <c r="AF200">
        <v>184</v>
      </c>
      <c r="AG200">
        <v>107.8</v>
      </c>
      <c r="AH200">
        <v>39</v>
      </c>
      <c r="AI200">
        <v>186</v>
      </c>
      <c r="AJ200">
        <v>37.799999999999997</v>
      </c>
      <c r="AK200">
        <v>690</v>
      </c>
      <c r="AO200" s="4" t="s">
        <v>192</v>
      </c>
      <c r="AQ200" s="4" t="s">
        <v>49</v>
      </c>
      <c r="AT200">
        <v>1</v>
      </c>
      <c r="AU200">
        <v>3</v>
      </c>
      <c r="AV200">
        <v>3</v>
      </c>
      <c r="AW200">
        <v>5</v>
      </c>
      <c r="AY200">
        <v>1</v>
      </c>
      <c r="AZ200">
        <v>1</v>
      </c>
      <c r="BA200">
        <v>1</v>
      </c>
      <c r="BB200">
        <v>2</v>
      </c>
      <c r="BF200">
        <v>4</v>
      </c>
      <c r="BG200">
        <v>40</v>
      </c>
      <c r="BH200">
        <v>0</v>
      </c>
      <c r="BI200">
        <v>0</v>
      </c>
      <c r="BJ200">
        <v>0</v>
      </c>
      <c r="BK200">
        <v>0</v>
      </c>
      <c r="BL200">
        <v>0</v>
      </c>
      <c r="BM200">
        <v>0</v>
      </c>
      <c r="BN200">
        <v>0</v>
      </c>
      <c r="BO200">
        <v>1</v>
      </c>
      <c r="BP200">
        <v>2</v>
      </c>
      <c r="BQ200">
        <v>2</v>
      </c>
      <c r="BR200">
        <v>2</v>
      </c>
      <c r="BS200">
        <v>1</v>
      </c>
      <c r="BT200">
        <v>1</v>
      </c>
      <c r="BU200">
        <v>1</v>
      </c>
      <c r="BV200">
        <v>10</v>
      </c>
      <c r="BW200">
        <v>1</v>
      </c>
      <c r="BX200">
        <v>1</v>
      </c>
      <c r="BY200">
        <v>0</v>
      </c>
    </row>
    <row r="201" spans="1:77" ht="390" x14ac:dyDescent="0.25">
      <c r="A201" s="8" t="s">
        <v>710</v>
      </c>
      <c r="B201" s="8" t="s">
        <v>137</v>
      </c>
      <c r="C201" s="8" t="s">
        <v>1001</v>
      </c>
      <c r="D201" s="8">
        <v>0</v>
      </c>
      <c r="E201" s="8">
        <v>4.9787499999999998</v>
      </c>
      <c r="F201" s="9">
        <v>151007079</v>
      </c>
      <c r="G201" s="8">
        <v>77</v>
      </c>
      <c r="H201" s="8">
        <v>2</v>
      </c>
      <c r="I201" s="10">
        <v>45119</v>
      </c>
      <c r="J201" s="11">
        <v>0.375</v>
      </c>
      <c r="K201" s="10">
        <v>45124</v>
      </c>
      <c r="L201" s="10">
        <v>45125</v>
      </c>
      <c r="M201" s="8"/>
      <c r="N201" s="8"/>
      <c r="O201" s="8">
        <v>2</v>
      </c>
      <c r="P201" s="8">
        <v>1</v>
      </c>
      <c r="Q201" s="8">
        <v>1</v>
      </c>
      <c r="R201" s="8">
        <v>2</v>
      </c>
      <c r="S201" s="8">
        <v>2</v>
      </c>
      <c r="T201" s="8">
        <v>2</v>
      </c>
      <c r="U201" s="8">
        <v>2</v>
      </c>
      <c r="V201" s="8">
        <v>2</v>
      </c>
      <c r="W201" s="8">
        <v>2</v>
      </c>
      <c r="X201" s="8">
        <v>2</v>
      </c>
      <c r="Y201" s="8">
        <v>1</v>
      </c>
      <c r="Z201" s="8"/>
      <c r="AA201" s="8">
        <v>12.7</v>
      </c>
      <c r="AB201" s="8">
        <v>39.5</v>
      </c>
      <c r="AC201" s="8">
        <v>81.900000000000006</v>
      </c>
      <c r="AD201" s="8">
        <v>5.82</v>
      </c>
      <c r="AE201" s="8"/>
      <c r="AF201" s="8">
        <v>9.6999999999999993</v>
      </c>
      <c r="AG201" s="8">
        <v>76</v>
      </c>
      <c r="AH201" s="8">
        <v>27</v>
      </c>
      <c r="AI201" s="8">
        <v>165</v>
      </c>
      <c r="AJ201" s="8">
        <v>33</v>
      </c>
      <c r="AK201" s="8">
        <v>2000</v>
      </c>
      <c r="AL201" s="8"/>
      <c r="AM201" s="8"/>
      <c r="AN201" s="8"/>
      <c r="AO201" s="12" t="s">
        <v>138</v>
      </c>
      <c r="AP201" s="8"/>
      <c r="AQ201" s="12" t="s">
        <v>139</v>
      </c>
      <c r="AR201" s="8"/>
      <c r="AS201" s="8"/>
      <c r="AT201" s="8">
        <v>1</v>
      </c>
      <c r="AU201" s="8">
        <v>3</v>
      </c>
      <c r="AV201" s="8">
        <v>3</v>
      </c>
      <c r="AW201" s="8">
        <v>5</v>
      </c>
      <c r="AX201" s="8"/>
      <c r="AY201" s="8">
        <v>1</v>
      </c>
      <c r="AZ201" s="8">
        <v>2</v>
      </c>
      <c r="BA201" s="8">
        <v>2</v>
      </c>
      <c r="BB201" s="8"/>
      <c r="BC201" s="8"/>
      <c r="BD201" s="8"/>
      <c r="BE201" s="8"/>
      <c r="BF201" s="8">
        <v>0</v>
      </c>
      <c r="BG201" s="8">
        <v>100</v>
      </c>
      <c r="BH201" s="8">
        <v>1</v>
      </c>
      <c r="BI201" s="8">
        <v>2</v>
      </c>
      <c r="BJ201" s="8">
        <v>2</v>
      </c>
      <c r="BK201" s="8">
        <v>2</v>
      </c>
      <c r="BL201" s="8">
        <v>1</v>
      </c>
      <c r="BM201" s="8">
        <v>1</v>
      </c>
      <c r="BN201" s="8">
        <v>1</v>
      </c>
      <c r="BO201" s="8"/>
      <c r="BP201" s="8"/>
      <c r="BQ201" s="8"/>
      <c r="BR201" s="8"/>
      <c r="BS201" s="8"/>
      <c r="BT201" s="8"/>
      <c r="BU201" s="8"/>
      <c r="BV201" s="8">
        <v>10</v>
      </c>
      <c r="BW201" s="8">
        <v>1</v>
      </c>
      <c r="BX201" s="8">
        <v>1</v>
      </c>
      <c r="BY201" s="8">
        <v>1</v>
      </c>
    </row>
    <row r="202" spans="1:77" ht="90" x14ac:dyDescent="0.25">
      <c r="A202" t="s">
        <v>676</v>
      </c>
      <c r="B202" t="s">
        <v>166</v>
      </c>
      <c r="C202" t="s">
        <v>166</v>
      </c>
      <c r="D202">
        <v>1</v>
      </c>
      <c r="E202">
        <v>6.4316899999999997</v>
      </c>
      <c r="F202" s="3">
        <v>230804300</v>
      </c>
      <c r="G202">
        <v>27</v>
      </c>
      <c r="H202">
        <v>2</v>
      </c>
      <c r="I202" s="1">
        <v>45165</v>
      </c>
      <c r="J202" s="2">
        <v>0.9375</v>
      </c>
      <c r="K202" s="1">
        <v>45165</v>
      </c>
      <c r="L202" s="1">
        <v>45168</v>
      </c>
      <c r="M202">
        <v>9371381501</v>
      </c>
      <c r="O202">
        <v>6</v>
      </c>
      <c r="P202">
        <v>2</v>
      </c>
      <c r="Q202">
        <v>2</v>
      </c>
      <c r="R202">
        <v>2</v>
      </c>
      <c r="S202">
        <v>2</v>
      </c>
      <c r="T202">
        <v>2</v>
      </c>
      <c r="U202">
        <v>2</v>
      </c>
      <c r="V202">
        <v>2</v>
      </c>
      <c r="W202">
        <v>2</v>
      </c>
      <c r="X202">
        <v>2</v>
      </c>
      <c r="Y202">
        <v>2</v>
      </c>
      <c r="Z202" t="s">
        <v>167</v>
      </c>
      <c r="AA202">
        <v>9.6</v>
      </c>
      <c r="AB202">
        <v>31.4</v>
      </c>
      <c r="AD202">
        <v>11.35</v>
      </c>
      <c r="AE202">
        <v>5.3</v>
      </c>
      <c r="AF202">
        <v>125</v>
      </c>
      <c r="AG202">
        <v>66</v>
      </c>
      <c r="AH202">
        <v>34</v>
      </c>
      <c r="AI202">
        <v>121</v>
      </c>
      <c r="AJ202">
        <v>24.2</v>
      </c>
      <c r="AK202">
        <v>201</v>
      </c>
      <c r="AM202" t="s">
        <v>168</v>
      </c>
      <c r="AO202" s="4" t="s">
        <v>169</v>
      </c>
      <c r="AQ202" s="4"/>
      <c r="AY202">
        <v>1</v>
      </c>
      <c r="AZ202">
        <v>2</v>
      </c>
      <c r="BA202">
        <v>1</v>
      </c>
      <c r="BB202">
        <v>1</v>
      </c>
      <c r="BF202">
        <v>0</v>
      </c>
      <c r="BG202">
        <v>100</v>
      </c>
      <c r="BH202">
        <v>1</v>
      </c>
      <c r="BI202">
        <v>2</v>
      </c>
      <c r="BJ202">
        <v>2</v>
      </c>
      <c r="BK202">
        <v>2</v>
      </c>
      <c r="BL202">
        <v>1</v>
      </c>
      <c r="BM202">
        <v>1</v>
      </c>
      <c r="BN202">
        <v>1</v>
      </c>
      <c r="BO202">
        <v>0</v>
      </c>
      <c r="BP202">
        <v>0</v>
      </c>
      <c r="BQ202">
        <v>0</v>
      </c>
      <c r="BR202">
        <v>0</v>
      </c>
      <c r="BS202">
        <v>0</v>
      </c>
      <c r="BT202">
        <v>0</v>
      </c>
      <c r="BU202">
        <v>0</v>
      </c>
      <c r="BV202">
        <v>10</v>
      </c>
      <c r="BW202">
        <v>1</v>
      </c>
      <c r="BX202">
        <v>1</v>
      </c>
      <c r="BY202">
        <v>0</v>
      </c>
    </row>
    <row r="203" spans="1:77" ht="120" x14ac:dyDescent="0.25">
      <c r="A203" t="s">
        <v>677</v>
      </c>
      <c r="B203" t="s">
        <v>170</v>
      </c>
      <c r="C203" t="s">
        <v>1008</v>
      </c>
      <c r="D203">
        <v>1</v>
      </c>
      <c r="E203">
        <v>6.5866699999999998</v>
      </c>
      <c r="F203" s="3">
        <v>210404526</v>
      </c>
      <c r="G203">
        <v>66</v>
      </c>
      <c r="H203">
        <v>1</v>
      </c>
      <c r="I203" s="1">
        <v>45148</v>
      </c>
      <c r="J203" s="2">
        <v>0.95833333333333337</v>
      </c>
      <c r="K203" s="1">
        <v>45150</v>
      </c>
      <c r="L203" s="1">
        <v>45152</v>
      </c>
      <c r="M203">
        <v>7350328794</v>
      </c>
      <c r="O203">
        <v>1</v>
      </c>
      <c r="P203">
        <v>1</v>
      </c>
      <c r="Q203">
        <v>1</v>
      </c>
      <c r="R203">
        <v>2</v>
      </c>
      <c r="S203">
        <v>2</v>
      </c>
      <c r="T203">
        <v>2</v>
      </c>
      <c r="U203">
        <v>2</v>
      </c>
      <c r="V203">
        <v>2</v>
      </c>
      <c r="W203">
        <v>2</v>
      </c>
      <c r="X203">
        <v>2</v>
      </c>
      <c r="Y203">
        <v>2</v>
      </c>
      <c r="AA203">
        <v>11</v>
      </c>
      <c r="AC203">
        <v>33.799999999999997</v>
      </c>
      <c r="AD203">
        <v>82</v>
      </c>
      <c r="AE203">
        <v>9.8000000000000007</v>
      </c>
      <c r="AF203">
        <v>169</v>
      </c>
      <c r="AG203">
        <v>124.4</v>
      </c>
      <c r="AH203">
        <v>21</v>
      </c>
      <c r="AI203">
        <v>118</v>
      </c>
      <c r="AJ203">
        <v>23.6</v>
      </c>
      <c r="AK203">
        <v>148</v>
      </c>
      <c r="AO203" s="4" t="s">
        <v>171</v>
      </c>
      <c r="AQ203" s="4" t="s">
        <v>172</v>
      </c>
      <c r="AT203" s="8">
        <v>1</v>
      </c>
      <c r="AU203" s="8">
        <v>3</v>
      </c>
      <c r="AV203" s="8">
        <v>3</v>
      </c>
      <c r="AW203" s="8">
        <v>5</v>
      </c>
      <c r="AY203">
        <v>1</v>
      </c>
      <c r="AZ203">
        <v>1</v>
      </c>
      <c r="BA203">
        <v>2</v>
      </c>
      <c r="BF203">
        <v>0</v>
      </c>
      <c r="BG203">
        <v>100</v>
      </c>
      <c r="BH203">
        <v>0</v>
      </c>
      <c r="BI203">
        <v>0</v>
      </c>
      <c r="BJ203">
        <v>0</v>
      </c>
      <c r="BK203">
        <v>0</v>
      </c>
      <c r="BL203">
        <v>0</v>
      </c>
      <c r="BM203">
        <v>0</v>
      </c>
      <c r="BN203">
        <v>0</v>
      </c>
      <c r="BO203">
        <v>1</v>
      </c>
      <c r="BP203">
        <v>2</v>
      </c>
      <c r="BQ203">
        <v>2</v>
      </c>
      <c r="BR203">
        <v>2</v>
      </c>
      <c r="BS203">
        <v>1</v>
      </c>
      <c r="BT203">
        <v>1</v>
      </c>
      <c r="BU203">
        <v>1</v>
      </c>
      <c r="BV203">
        <v>10</v>
      </c>
      <c r="BW203">
        <v>1</v>
      </c>
      <c r="BX203">
        <v>1</v>
      </c>
      <c r="BY203">
        <v>0</v>
      </c>
    </row>
    <row r="204" spans="1:77" ht="180" x14ac:dyDescent="0.25">
      <c r="A204" t="s">
        <v>700</v>
      </c>
      <c r="B204" t="s">
        <v>132</v>
      </c>
      <c r="C204" t="s">
        <v>999</v>
      </c>
      <c r="D204">
        <v>1</v>
      </c>
      <c r="E204">
        <v>7.0903499999999999</v>
      </c>
      <c r="F204" s="3">
        <v>230700099</v>
      </c>
      <c r="G204">
        <v>63</v>
      </c>
      <c r="H204">
        <v>1</v>
      </c>
      <c r="K204" s="1">
        <v>45108</v>
      </c>
      <c r="L204" s="1">
        <v>45117</v>
      </c>
      <c r="M204">
        <v>8208668443</v>
      </c>
      <c r="P204">
        <v>2</v>
      </c>
      <c r="Q204">
        <v>2</v>
      </c>
      <c r="R204">
        <v>2</v>
      </c>
      <c r="S204">
        <v>2</v>
      </c>
      <c r="T204">
        <v>2</v>
      </c>
      <c r="U204">
        <v>2</v>
      </c>
      <c r="V204">
        <v>2</v>
      </c>
      <c r="W204">
        <v>2</v>
      </c>
      <c r="X204">
        <v>2</v>
      </c>
      <c r="Y204">
        <v>2</v>
      </c>
      <c r="AA204">
        <v>9.8000000000000007</v>
      </c>
      <c r="AB204">
        <v>47</v>
      </c>
      <c r="AC204">
        <v>85.9</v>
      </c>
      <c r="AD204">
        <v>7.63</v>
      </c>
      <c r="AE204">
        <v>7</v>
      </c>
      <c r="AK204">
        <v>1777</v>
      </c>
      <c r="AO204" s="4" t="s">
        <v>133</v>
      </c>
      <c r="AQ204" s="4"/>
      <c r="AT204">
        <v>1</v>
      </c>
      <c r="AU204">
        <v>3</v>
      </c>
      <c r="AV204">
        <v>3</v>
      </c>
      <c r="AW204">
        <v>5</v>
      </c>
      <c r="AY204">
        <v>1</v>
      </c>
      <c r="AZ204">
        <v>1</v>
      </c>
      <c r="BA204">
        <v>2</v>
      </c>
      <c r="BF204">
        <v>6</v>
      </c>
      <c r="BG204">
        <v>0</v>
      </c>
      <c r="BH204">
        <v>1</v>
      </c>
      <c r="BI204">
        <v>2</v>
      </c>
      <c r="BJ204">
        <v>2</v>
      </c>
      <c r="BK204">
        <v>2</v>
      </c>
      <c r="BL204">
        <v>1</v>
      </c>
      <c r="BM204">
        <v>1</v>
      </c>
      <c r="BN204">
        <v>1</v>
      </c>
      <c r="BO204">
        <v>0</v>
      </c>
      <c r="BP204">
        <v>0</v>
      </c>
      <c r="BQ204">
        <v>0</v>
      </c>
      <c r="BR204">
        <v>0</v>
      </c>
      <c r="BS204">
        <v>0</v>
      </c>
      <c r="BT204">
        <v>0</v>
      </c>
      <c r="BU204">
        <v>0</v>
      </c>
      <c r="BV204">
        <v>10</v>
      </c>
      <c r="BW204">
        <v>1</v>
      </c>
      <c r="BX204">
        <v>1</v>
      </c>
      <c r="BY204">
        <v>0</v>
      </c>
    </row>
    <row r="205" spans="1:77" ht="270" x14ac:dyDescent="0.25">
      <c r="A205" t="s">
        <v>679</v>
      </c>
      <c r="B205" t="s">
        <v>71</v>
      </c>
      <c r="C205" t="s">
        <v>71</v>
      </c>
      <c r="D205">
        <v>1</v>
      </c>
      <c r="E205">
        <v>12.001300000000001</v>
      </c>
      <c r="F205" s="3">
        <v>73</v>
      </c>
      <c r="G205">
        <v>73</v>
      </c>
      <c r="H205">
        <v>1</v>
      </c>
      <c r="I205" s="1">
        <v>45085</v>
      </c>
      <c r="J205" s="2">
        <v>0.83333333333333337</v>
      </c>
      <c r="K205" s="1">
        <v>45085</v>
      </c>
      <c r="L205" t="s">
        <v>72</v>
      </c>
      <c r="M205">
        <v>7506377648</v>
      </c>
      <c r="O205">
        <v>0</v>
      </c>
      <c r="P205">
        <v>1</v>
      </c>
      <c r="Q205">
        <v>2</v>
      </c>
      <c r="R205">
        <v>2</v>
      </c>
      <c r="S205">
        <v>2</v>
      </c>
      <c r="T205">
        <v>2</v>
      </c>
      <c r="U205">
        <v>2</v>
      </c>
      <c r="V205">
        <v>2</v>
      </c>
      <c r="W205">
        <v>2</v>
      </c>
      <c r="X205">
        <v>2</v>
      </c>
      <c r="Y205">
        <v>2</v>
      </c>
      <c r="Z205" t="s">
        <v>73</v>
      </c>
      <c r="AA205">
        <v>14.3</v>
      </c>
      <c r="AD205">
        <v>10.85</v>
      </c>
      <c r="AE205">
        <v>5.4</v>
      </c>
      <c r="AF205">
        <v>139</v>
      </c>
      <c r="AG205">
        <v>88</v>
      </c>
      <c r="AH205">
        <v>41</v>
      </c>
      <c r="AI205">
        <v>50</v>
      </c>
      <c r="AK205">
        <v>601</v>
      </c>
      <c r="AO205" s="4" t="s">
        <v>74</v>
      </c>
      <c r="AQ205" s="4" t="s">
        <v>75</v>
      </c>
      <c r="AT205" s="8">
        <v>1</v>
      </c>
      <c r="AU205" s="8">
        <v>3</v>
      </c>
      <c r="AV205" s="8">
        <v>3</v>
      </c>
      <c r="AW205" s="8">
        <v>5</v>
      </c>
      <c r="AY205">
        <v>1</v>
      </c>
      <c r="AZ205">
        <v>1</v>
      </c>
      <c r="BA205">
        <v>2</v>
      </c>
      <c r="BC205">
        <v>4</v>
      </c>
      <c r="BF205">
        <v>0</v>
      </c>
      <c r="BG205">
        <v>100</v>
      </c>
      <c r="BH205">
        <v>1</v>
      </c>
      <c r="BI205">
        <v>2</v>
      </c>
      <c r="BJ205">
        <v>2</v>
      </c>
      <c r="BK205">
        <v>2</v>
      </c>
      <c r="BL205">
        <v>1</v>
      </c>
      <c r="BM205">
        <v>1</v>
      </c>
      <c r="BN205">
        <v>1</v>
      </c>
      <c r="BO205">
        <v>0</v>
      </c>
      <c r="BP205">
        <v>0</v>
      </c>
      <c r="BQ205">
        <v>0</v>
      </c>
      <c r="BR205">
        <v>0</v>
      </c>
      <c r="BS205">
        <v>0</v>
      </c>
      <c r="BT205">
        <v>0</v>
      </c>
      <c r="BU205">
        <v>0</v>
      </c>
      <c r="BV205">
        <v>10</v>
      </c>
      <c r="BW205">
        <v>1</v>
      </c>
      <c r="BX205">
        <v>1</v>
      </c>
      <c r="BY205">
        <v>0</v>
      </c>
    </row>
    <row r="206" spans="1:77" ht="300" x14ac:dyDescent="0.25">
      <c r="A206" t="s">
        <v>680</v>
      </c>
      <c r="B206" t="s">
        <v>100</v>
      </c>
      <c r="C206" t="s">
        <v>995</v>
      </c>
      <c r="D206">
        <v>1</v>
      </c>
      <c r="E206">
        <v>13.2799</v>
      </c>
      <c r="F206" s="3">
        <v>230102526</v>
      </c>
      <c r="G206">
        <v>65</v>
      </c>
      <c r="H206">
        <v>1</v>
      </c>
      <c r="I206" s="1">
        <v>44937</v>
      </c>
      <c r="K206" s="1">
        <v>44939</v>
      </c>
      <c r="L206" s="1">
        <v>44942</v>
      </c>
      <c r="M206">
        <v>8888887372</v>
      </c>
      <c r="P206">
        <v>1</v>
      </c>
      <c r="Y206">
        <v>1</v>
      </c>
      <c r="AA206">
        <v>13.3</v>
      </c>
      <c r="AB206">
        <v>42</v>
      </c>
      <c r="AC206">
        <v>91.2</v>
      </c>
      <c r="AD206">
        <v>7.35</v>
      </c>
      <c r="AF206">
        <v>167</v>
      </c>
      <c r="AG206">
        <v>114</v>
      </c>
      <c r="AH206">
        <v>33</v>
      </c>
      <c r="AI206">
        <v>98</v>
      </c>
      <c r="AK206">
        <v>2000</v>
      </c>
      <c r="AO206" s="4" t="s">
        <v>101</v>
      </c>
      <c r="AQ206" s="4" t="s">
        <v>102</v>
      </c>
      <c r="AT206">
        <v>1</v>
      </c>
      <c r="AU206">
        <v>3</v>
      </c>
      <c r="AV206">
        <v>3</v>
      </c>
      <c r="AW206">
        <v>5</v>
      </c>
      <c r="AY206">
        <v>1</v>
      </c>
      <c r="AZ206">
        <v>2</v>
      </c>
      <c r="BA206">
        <v>2</v>
      </c>
      <c r="BC206">
        <v>2</v>
      </c>
      <c r="BF206">
        <v>1</v>
      </c>
      <c r="BG206">
        <v>100</v>
      </c>
      <c r="BH206">
        <v>1</v>
      </c>
      <c r="BI206">
        <v>2</v>
      </c>
      <c r="BJ206">
        <v>2</v>
      </c>
      <c r="BK206">
        <v>2</v>
      </c>
      <c r="BL206">
        <v>1</v>
      </c>
      <c r="BM206">
        <v>1</v>
      </c>
      <c r="BN206">
        <v>1</v>
      </c>
      <c r="BO206">
        <v>0</v>
      </c>
      <c r="BP206">
        <v>0</v>
      </c>
      <c r="BQ206">
        <v>0</v>
      </c>
      <c r="BR206">
        <v>0</v>
      </c>
      <c r="BS206">
        <v>0</v>
      </c>
      <c r="BT206">
        <v>0</v>
      </c>
      <c r="BU206">
        <v>0</v>
      </c>
      <c r="BV206">
        <v>10</v>
      </c>
      <c r="BW206">
        <v>1</v>
      </c>
      <c r="BX206">
        <v>0</v>
      </c>
      <c r="BY206">
        <v>0</v>
      </c>
    </row>
    <row r="207" spans="1:77" ht="225" x14ac:dyDescent="0.25">
      <c r="A207" t="s">
        <v>687</v>
      </c>
      <c r="B207" t="s">
        <v>150</v>
      </c>
      <c r="C207" t="s">
        <v>1006</v>
      </c>
      <c r="D207">
        <v>1</v>
      </c>
      <c r="E207">
        <v>14.3163</v>
      </c>
      <c r="F207" s="3">
        <v>230704763</v>
      </c>
      <c r="G207">
        <v>50</v>
      </c>
      <c r="H207">
        <v>1</v>
      </c>
      <c r="I207" s="1">
        <v>45135</v>
      </c>
      <c r="J207" s="2">
        <v>0.33333333333333331</v>
      </c>
      <c r="K207" s="1">
        <v>45136</v>
      </c>
      <c r="L207" s="1">
        <v>45141</v>
      </c>
      <c r="M207">
        <v>9665061962</v>
      </c>
      <c r="O207">
        <v>6</v>
      </c>
      <c r="P207">
        <v>1</v>
      </c>
      <c r="Q207">
        <v>2</v>
      </c>
      <c r="R207">
        <v>2</v>
      </c>
      <c r="S207">
        <v>2</v>
      </c>
      <c r="T207">
        <v>2</v>
      </c>
      <c r="U207">
        <v>2</v>
      </c>
      <c r="V207">
        <v>2</v>
      </c>
      <c r="W207">
        <v>2</v>
      </c>
      <c r="X207">
        <v>2</v>
      </c>
      <c r="Y207">
        <v>2</v>
      </c>
      <c r="Z207" t="s">
        <v>151</v>
      </c>
      <c r="AA207">
        <v>14.5</v>
      </c>
      <c r="AB207">
        <v>43.3</v>
      </c>
      <c r="AC207">
        <v>97.9</v>
      </c>
      <c r="AD207">
        <v>10.9</v>
      </c>
      <c r="AE207">
        <v>5.6</v>
      </c>
      <c r="AF207">
        <v>183</v>
      </c>
      <c r="AG207">
        <v>93</v>
      </c>
      <c r="AH207">
        <v>35</v>
      </c>
      <c r="AI207">
        <v>274</v>
      </c>
      <c r="AJ207">
        <v>54</v>
      </c>
      <c r="AK207">
        <v>148</v>
      </c>
      <c r="AO207" s="4" t="s">
        <v>152</v>
      </c>
      <c r="AQ207" s="4" t="s">
        <v>153</v>
      </c>
      <c r="AT207" s="8">
        <v>1</v>
      </c>
      <c r="AU207" s="8">
        <v>3</v>
      </c>
      <c r="AV207" s="8">
        <v>3</v>
      </c>
      <c r="AW207" s="8">
        <v>5</v>
      </c>
      <c r="AY207">
        <v>1</v>
      </c>
      <c r="AZ207">
        <v>2</v>
      </c>
      <c r="BA207">
        <v>1</v>
      </c>
      <c r="BB207">
        <v>1</v>
      </c>
      <c r="BF207">
        <v>0</v>
      </c>
      <c r="BG207">
        <v>100</v>
      </c>
      <c r="BH207">
        <v>0</v>
      </c>
      <c r="BI207">
        <v>0</v>
      </c>
      <c r="BJ207">
        <v>0</v>
      </c>
      <c r="BK207">
        <v>0</v>
      </c>
      <c r="BL207">
        <v>0</v>
      </c>
      <c r="BM207">
        <v>0</v>
      </c>
      <c r="BN207">
        <v>0</v>
      </c>
      <c r="BO207">
        <v>1</v>
      </c>
      <c r="BP207">
        <v>2</v>
      </c>
      <c r="BQ207">
        <v>2</v>
      </c>
      <c r="BR207">
        <v>2</v>
      </c>
      <c r="BS207">
        <v>1</v>
      </c>
      <c r="BT207">
        <v>1</v>
      </c>
      <c r="BU207">
        <v>1</v>
      </c>
      <c r="BV207">
        <v>10</v>
      </c>
      <c r="BW207">
        <v>1</v>
      </c>
      <c r="BX207">
        <v>1</v>
      </c>
      <c r="BY207">
        <v>0</v>
      </c>
    </row>
    <row r="208" spans="1:77" ht="135" x14ac:dyDescent="0.25">
      <c r="A208" t="s">
        <v>681</v>
      </c>
      <c r="B208" t="s">
        <v>281</v>
      </c>
      <c r="C208" t="s">
        <v>281</v>
      </c>
      <c r="D208">
        <v>1</v>
      </c>
      <c r="E208">
        <v>20.573699999999999</v>
      </c>
      <c r="F208" s="3">
        <v>230000063435</v>
      </c>
      <c r="G208">
        <v>81</v>
      </c>
      <c r="H208">
        <v>1</v>
      </c>
      <c r="I208" s="1">
        <v>45253</v>
      </c>
      <c r="K208" s="1">
        <v>45253</v>
      </c>
      <c r="L208" s="1">
        <v>45255</v>
      </c>
      <c r="O208">
        <v>2</v>
      </c>
      <c r="P208">
        <v>2</v>
      </c>
      <c r="Q208">
        <v>2</v>
      </c>
      <c r="R208">
        <v>2</v>
      </c>
      <c r="S208">
        <v>2</v>
      </c>
      <c r="T208">
        <v>2</v>
      </c>
      <c r="U208">
        <v>2</v>
      </c>
      <c r="V208">
        <v>2</v>
      </c>
      <c r="W208">
        <v>2</v>
      </c>
      <c r="X208">
        <v>2</v>
      </c>
      <c r="Y208">
        <v>2</v>
      </c>
      <c r="AA208">
        <v>11.6</v>
      </c>
      <c r="AB208">
        <v>35.1</v>
      </c>
      <c r="AC208">
        <v>87.6</v>
      </c>
      <c r="AD208">
        <v>42.7</v>
      </c>
      <c r="AF208">
        <v>173</v>
      </c>
      <c r="AG208">
        <v>112</v>
      </c>
      <c r="AH208">
        <v>49</v>
      </c>
      <c r="AI208">
        <v>60</v>
      </c>
      <c r="AJ208">
        <v>12</v>
      </c>
      <c r="AK208">
        <v>148</v>
      </c>
      <c r="AO208" s="4" t="s">
        <v>282</v>
      </c>
      <c r="AQ208" s="4" t="s">
        <v>283</v>
      </c>
      <c r="AT208">
        <v>1</v>
      </c>
      <c r="AU208">
        <v>3</v>
      </c>
      <c r="AV208">
        <v>2</v>
      </c>
      <c r="AW208">
        <v>4</v>
      </c>
      <c r="AY208">
        <v>1</v>
      </c>
      <c r="AZ208">
        <v>1</v>
      </c>
      <c r="BA208">
        <v>2</v>
      </c>
      <c r="BC208">
        <v>4</v>
      </c>
      <c r="BD208">
        <v>2</v>
      </c>
      <c r="BE208">
        <v>2</v>
      </c>
      <c r="BF208">
        <v>1</v>
      </c>
      <c r="BG208">
        <v>65</v>
      </c>
      <c r="BH208">
        <v>0</v>
      </c>
      <c r="BI208">
        <v>0</v>
      </c>
      <c r="BJ208">
        <v>0</v>
      </c>
      <c r="BK208">
        <v>0</v>
      </c>
      <c r="BL208">
        <v>0</v>
      </c>
      <c r="BM208">
        <v>0</v>
      </c>
      <c r="BN208">
        <v>0</v>
      </c>
      <c r="BO208">
        <v>1</v>
      </c>
      <c r="BP208">
        <v>2</v>
      </c>
      <c r="BQ208">
        <v>2</v>
      </c>
      <c r="BR208">
        <v>2</v>
      </c>
      <c r="BS208">
        <v>1</v>
      </c>
      <c r="BT208">
        <v>1</v>
      </c>
      <c r="BU208">
        <v>1</v>
      </c>
      <c r="BV208">
        <v>10</v>
      </c>
      <c r="BW208">
        <v>0</v>
      </c>
      <c r="BX208">
        <v>0</v>
      </c>
      <c r="BY208">
        <v>0</v>
      </c>
    </row>
    <row r="209" spans="1:77" ht="75" x14ac:dyDescent="0.25">
      <c r="A209" t="s">
        <v>707</v>
      </c>
      <c r="B209" t="s">
        <v>210</v>
      </c>
      <c r="C209" t="s">
        <v>210</v>
      </c>
      <c r="D209">
        <v>0</v>
      </c>
      <c r="E209">
        <v>3.0802399999999999</v>
      </c>
      <c r="F209" s="3">
        <v>230000076571</v>
      </c>
      <c r="G209">
        <v>76</v>
      </c>
      <c r="H209">
        <v>1</v>
      </c>
      <c r="I209" s="1">
        <v>45288</v>
      </c>
      <c r="J209" s="2">
        <v>0.125</v>
      </c>
      <c r="K209" s="1">
        <v>45288</v>
      </c>
      <c r="M209">
        <v>9552288085</v>
      </c>
      <c r="O209">
        <v>9</v>
      </c>
      <c r="P209">
        <v>2</v>
      </c>
      <c r="Q209">
        <v>2</v>
      </c>
      <c r="R209">
        <v>2</v>
      </c>
      <c r="S209">
        <v>1</v>
      </c>
      <c r="T209">
        <v>2</v>
      </c>
      <c r="U209">
        <v>2</v>
      </c>
      <c r="V209">
        <v>2</v>
      </c>
      <c r="W209">
        <v>2</v>
      </c>
      <c r="X209">
        <v>2</v>
      </c>
      <c r="Y209">
        <v>2</v>
      </c>
      <c r="AA209">
        <v>13.3</v>
      </c>
      <c r="AB209">
        <v>38.200000000000003</v>
      </c>
      <c r="AC209">
        <v>10.050000000000001</v>
      </c>
      <c r="AD209">
        <v>10</v>
      </c>
      <c r="AE209">
        <v>5.3</v>
      </c>
      <c r="AF209">
        <v>127</v>
      </c>
      <c r="AG209">
        <v>72.400000000000006</v>
      </c>
      <c r="AH209">
        <v>38</v>
      </c>
      <c r="AI209">
        <v>83</v>
      </c>
      <c r="AJ209">
        <v>16.600000000000001</v>
      </c>
      <c r="AK209">
        <v>2000</v>
      </c>
      <c r="AO209" s="4" t="s">
        <v>211</v>
      </c>
      <c r="AQ209" s="4" t="s">
        <v>49</v>
      </c>
      <c r="AT209" s="8">
        <v>1</v>
      </c>
      <c r="AU209" s="8">
        <v>3</v>
      </c>
      <c r="AV209" s="8">
        <v>3</v>
      </c>
      <c r="AW209" s="8">
        <v>5</v>
      </c>
      <c r="AY209">
        <v>1</v>
      </c>
      <c r="AZ209">
        <v>1</v>
      </c>
      <c r="BA209">
        <v>2</v>
      </c>
      <c r="BD209">
        <v>2</v>
      </c>
      <c r="BE209">
        <v>2</v>
      </c>
      <c r="BF209">
        <v>4</v>
      </c>
      <c r="BG209">
        <v>40</v>
      </c>
      <c r="BO209">
        <v>1</v>
      </c>
      <c r="BP209">
        <v>2</v>
      </c>
      <c r="BQ209">
        <v>2</v>
      </c>
      <c r="BR209">
        <v>2</v>
      </c>
      <c r="BS209">
        <v>1</v>
      </c>
      <c r="BT209">
        <v>1</v>
      </c>
      <c r="BU209">
        <v>1</v>
      </c>
      <c r="BV209">
        <v>10</v>
      </c>
      <c r="BW209">
        <v>1</v>
      </c>
      <c r="BX209">
        <v>1</v>
      </c>
      <c r="BY209">
        <v>1</v>
      </c>
    </row>
    <row r="210" spans="1:77" x14ac:dyDescent="0.25">
      <c r="F210" s="3"/>
      <c r="I210" s="1"/>
      <c r="J210" s="2"/>
      <c r="K210" s="1"/>
      <c r="L210" s="1"/>
    </row>
    <row r="211" spans="1:77" x14ac:dyDescent="0.25">
      <c r="F211" s="3"/>
      <c r="I211" s="1"/>
      <c r="J211" s="2"/>
      <c r="K211" s="1"/>
      <c r="L211" s="1"/>
    </row>
    <row r="212" spans="1:77" x14ac:dyDescent="0.25">
      <c r="F212" s="3"/>
      <c r="J212" s="2"/>
      <c r="L212" s="1"/>
    </row>
    <row r="213" spans="1:77" x14ac:dyDescent="0.25">
      <c r="F213" s="3"/>
      <c r="I213" s="1"/>
      <c r="J213" s="2"/>
      <c r="K213" s="1"/>
      <c r="L213" s="1"/>
    </row>
    <row r="214" spans="1:77" x14ac:dyDescent="0.25">
      <c r="F214" s="3"/>
      <c r="K214" s="1"/>
      <c r="L214" s="1"/>
    </row>
    <row r="215" spans="1:77" x14ac:dyDescent="0.25">
      <c r="F215" s="3"/>
      <c r="I215" s="1"/>
      <c r="J215" s="2"/>
      <c r="K215" s="1"/>
      <c r="L215" s="1"/>
    </row>
    <row r="216" spans="1:77" x14ac:dyDescent="0.25">
      <c r="F216" s="3"/>
      <c r="I216" s="1"/>
      <c r="J216" s="2"/>
      <c r="K216" s="1"/>
      <c r="L216" s="1"/>
    </row>
    <row r="217" spans="1:77" x14ac:dyDescent="0.25">
      <c r="F217" s="3"/>
      <c r="I217" s="1"/>
      <c r="J217" s="2"/>
      <c r="K217" s="1"/>
      <c r="L217" s="1"/>
    </row>
    <row r="218" spans="1:77" x14ac:dyDescent="0.25">
      <c r="F218" s="3"/>
      <c r="I218" s="1"/>
      <c r="J218" s="2"/>
      <c r="K218" s="1"/>
      <c r="L218" s="1"/>
    </row>
    <row r="219" spans="1:77" x14ac:dyDescent="0.25">
      <c r="F219" s="3"/>
      <c r="I219" s="1"/>
      <c r="J219" s="2"/>
      <c r="K219" s="1"/>
      <c r="L219" s="1"/>
    </row>
    <row r="220" spans="1:77" x14ac:dyDescent="0.25">
      <c r="F220" s="3"/>
      <c r="I220" s="1"/>
      <c r="J220" s="2"/>
      <c r="K220" s="1"/>
    </row>
    <row r="221" spans="1:77" x14ac:dyDescent="0.25">
      <c r="F221" s="3"/>
      <c r="I221" s="1"/>
      <c r="J221" s="2"/>
      <c r="K221" s="1"/>
      <c r="L221" s="1"/>
    </row>
    <row r="222" spans="1:77" s="8" customFormat="1" x14ac:dyDescent="0.25">
      <c r="A222"/>
      <c r="B222"/>
      <c r="C222"/>
      <c r="D222"/>
      <c r="E222"/>
      <c r="F222" s="3"/>
      <c r="G222"/>
      <c r="H222"/>
      <c r="I222" s="1"/>
      <c r="J222" s="2"/>
      <c r="K222" s="1"/>
      <c r="L222" s="1"/>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row>
    <row r="223" spans="1:77" s="8" customFormat="1" x14ac:dyDescent="0.25">
      <c r="A223"/>
      <c r="B223"/>
      <c r="C223"/>
      <c r="D223"/>
      <c r="E223"/>
      <c r="F223" s="3"/>
      <c r="G223"/>
      <c r="H223"/>
      <c r="I223" s="1"/>
      <c r="J223" s="2"/>
      <c r="K223" s="1"/>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row>
    <row r="224" spans="1:77" s="8" customFormat="1" x14ac:dyDescent="0.25">
      <c r="A224"/>
      <c r="B224"/>
      <c r="C224"/>
      <c r="D224"/>
      <c r="E224"/>
      <c r="F224" s="3"/>
      <c r="G224"/>
      <c r="H224"/>
      <c r="I224" s="1"/>
      <c r="J224" s="2"/>
      <c r="K224" s="1"/>
      <c r="L224" s="1"/>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row>
    <row r="225" spans="1:77" s="8" customFormat="1" x14ac:dyDescent="0.25">
      <c r="A225"/>
      <c r="B225"/>
      <c r="C225"/>
      <c r="D225"/>
      <c r="E225"/>
      <c r="F225" s="3"/>
      <c r="G225"/>
      <c r="H225"/>
      <c r="I225" s="1"/>
      <c r="J225" s="2"/>
      <c r="K225" s="1"/>
      <c r="L225" s="1"/>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row>
    <row r="226" spans="1:77" s="8" customFormat="1" x14ac:dyDescent="0.25">
      <c r="A226"/>
      <c r="B226"/>
      <c r="C226"/>
      <c r="D226"/>
      <c r="E226"/>
      <c r="F226" s="3"/>
      <c r="G226"/>
      <c r="H226"/>
      <c r="I226" s="1"/>
      <c r="J226" s="2"/>
      <c r="K226" s="1"/>
      <c r="L226" s="1"/>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row>
    <row r="227" spans="1:77" s="8" customFormat="1" x14ac:dyDescent="0.25">
      <c r="A227"/>
      <c r="B227"/>
      <c r="C227"/>
      <c r="D227"/>
      <c r="E227"/>
      <c r="F227" s="3"/>
      <c r="G227"/>
      <c r="H227"/>
      <c r="I227" s="1"/>
      <c r="J227" s="2"/>
      <c r="K227" s="1"/>
      <c r="L227" s="1"/>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row>
    <row r="228" spans="1:77" s="8" customFormat="1" x14ac:dyDescent="0.25">
      <c r="A228"/>
      <c r="B228"/>
      <c r="C228"/>
      <c r="D228"/>
      <c r="E228"/>
      <c r="F228" s="3"/>
      <c r="G228"/>
      <c r="H228"/>
      <c r="I228"/>
      <c r="J228" s="2"/>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row>
    <row r="229" spans="1:77" s="8" customFormat="1" x14ac:dyDescent="0.25">
      <c r="A229"/>
      <c r="B229"/>
      <c r="C229"/>
      <c r="D229"/>
      <c r="E229"/>
      <c r="F229" s="3"/>
      <c r="G229"/>
      <c r="H229"/>
      <c r="I229" s="1"/>
      <c r="J229" s="2"/>
      <c r="K229" s="1"/>
      <c r="L229" s="1"/>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row>
    <row r="230" spans="1:77" s="8" customFormat="1" x14ac:dyDescent="0.25">
      <c r="A230"/>
      <c r="B230"/>
      <c r="C230"/>
      <c r="D230"/>
      <c r="E230"/>
      <c r="F230" s="3"/>
      <c r="G230"/>
      <c r="H230"/>
      <c r="I230" s="1"/>
      <c r="J230" s="2"/>
      <c r="K230" s="1"/>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row>
    <row r="231" spans="1:77" s="8" customFormat="1" x14ac:dyDescent="0.25">
      <c r="A231"/>
      <c r="B231"/>
      <c r="C231"/>
      <c r="D231"/>
      <c r="E231"/>
      <c r="F231" s="3"/>
      <c r="G231"/>
      <c r="H231"/>
      <c r="I231" s="1"/>
      <c r="J231" s="2"/>
      <c r="K231" s="1"/>
      <c r="L231" s="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row>
    <row r="232" spans="1:77" s="8" customFormat="1" x14ac:dyDescent="0.25">
      <c r="A232"/>
      <c r="B232"/>
      <c r="C232"/>
      <c r="D232"/>
      <c r="E232"/>
      <c r="F232" s="3"/>
      <c r="G232"/>
      <c r="H232"/>
      <c r="I232" s="1"/>
      <c r="J232" s="2"/>
      <c r="K232" s="1"/>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row>
    <row r="233" spans="1:77" s="8" customFormat="1" x14ac:dyDescent="0.25">
      <c r="A233"/>
      <c r="B233"/>
      <c r="C233"/>
      <c r="D233"/>
      <c r="E233"/>
      <c r="F233" s="3"/>
      <c r="G233"/>
      <c r="H233"/>
      <c r="I233" s="1"/>
      <c r="J233" s="2"/>
      <c r="K233" s="1"/>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row>
  </sheetData>
  <autoFilter ref="A2:BY209" xr:uid="{92CC0FF5-1DF1-4671-A86D-A21855EFC8F6}"/>
  <sortState xmlns:xlrd2="http://schemas.microsoft.com/office/spreadsheetml/2017/richdata2" ref="A3:BY233">
    <sortCondition ref="AT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CT unable to download</vt:lpstr>
      <vt:lpstr>MRI unable to download</vt:lpstr>
      <vt:lpstr>Dr Dulari Data Entry_21_feb_202</vt:lpstr>
      <vt:lpstr>Collateral Calc</vt:lpstr>
      <vt:lpstr>CORREL-MRS-CBS-NIHSS</vt:lpstr>
      <vt:lpstr>Sheet9</vt:lpstr>
      <vt:lpstr>CHI SQ CALC</vt:lpstr>
      <vt:lpstr>Chi Sq raw</vt:lpstr>
      <vt:lpstr>Correl - raw data</vt:lpstr>
      <vt:lpstr>MRI MRS CTA completed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Aditya Ghadge</cp:lastModifiedBy>
  <dcterms:created xsi:type="dcterms:W3CDTF">2025-02-21T16:32:39Z</dcterms:created>
  <dcterms:modified xsi:type="dcterms:W3CDTF">2025-04-22T18:46:19Z</dcterms:modified>
</cp:coreProperties>
</file>
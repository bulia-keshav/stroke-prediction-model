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Programs\Bharti Internship\Scripts\MRS Classification\Classification 208 + 166\"/>
    </mc:Choice>
  </mc:AlternateContent>
  <xr:revisionPtr revIDLastSave="0" documentId="13_ncr:1_{71E45E84-7B43-4571-916D-0D4B1BC34C1A}" xr6:coauthVersionLast="47" xr6:coauthVersionMax="47" xr10:uidLastSave="{00000000-0000-0000-0000-000000000000}"/>
  <bookViews>
    <workbookView xWindow="-120" yWindow="-120" windowWidth="29040" windowHeight="16440" xr2:uid="{DEA3DBE5-85AA-4E25-AC6B-6BCEBF6A1516}"/>
  </bookViews>
  <sheets>
    <sheet name="MRI+MRS 203" sheetId="1" r:id="rId1"/>
    <sheet name="MRI+CTA+MRS 161" sheetId="2" r:id="rId2"/>
    <sheet name="Sheet1" sheetId="3" r:id="rId3"/>
  </sheets>
  <externalReferences>
    <externalReference r:id="rId4"/>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61" i="2" l="1"/>
  <c r="BA161" i="2"/>
  <c r="AZ161"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W20" i="1" l="1"/>
  <c r="BC163" i="2" l="1"/>
  <c r="BA163" i="2"/>
  <c r="AZ163"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BC157" i="2"/>
  <c r="BA157" i="2"/>
  <c r="AZ157"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BC116" i="2"/>
  <c r="BA116" i="2"/>
  <c r="AZ116" i="2"/>
  <c r="AY116" i="2"/>
  <c r="AX116" i="2"/>
  <c r="AW116" i="2"/>
  <c r="AV116" i="2"/>
  <c r="AU116" i="2"/>
  <c r="AT116" i="2"/>
  <c r="AS116" i="2"/>
  <c r="AR116" i="2"/>
  <c r="AQ116" i="2"/>
  <c r="AP116" i="2"/>
  <c r="AO116" i="2"/>
  <c r="AN116" i="2"/>
  <c r="AM116" i="2"/>
  <c r="AL116" i="2"/>
  <c r="AK116" i="2"/>
  <c r="AJ116"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BC154" i="2"/>
  <c r="BA154" i="2"/>
  <c r="AZ154"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BC153" i="2"/>
  <c r="BA153" i="2"/>
  <c r="AZ153"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BC127" i="2"/>
  <c r="BA127" i="2"/>
  <c r="AZ127"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BC126" i="2"/>
  <c r="BA126" i="2"/>
  <c r="AZ126"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BC115" i="2"/>
  <c r="BA115" i="2"/>
  <c r="AZ115" i="2"/>
  <c r="AY115" i="2"/>
  <c r="AX115" i="2"/>
  <c r="AW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BC111" i="2"/>
  <c r="BA111" i="2"/>
  <c r="AZ111"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BC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BC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BC97" i="2"/>
  <c r="BA97" i="2"/>
  <c r="AZ97"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BC75" i="2"/>
  <c r="BA75" i="2"/>
  <c r="AZ75"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BC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BC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BC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BC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BC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BC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BC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BC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BC65" i="2"/>
  <c r="BA65" i="2"/>
  <c r="AZ65"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BC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BC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BC162" i="2"/>
  <c r="BA162" i="2"/>
  <c r="AZ162"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BC121" i="2"/>
  <c r="BA121" i="2"/>
  <c r="AZ121"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BC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BC139" i="2"/>
  <c r="BA139" i="2"/>
  <c r="AZ139"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BC5" i="2"/>
  <c r="BA5" i="2"/>
  <c r="AZ5" i="2"/>
  <c r="AY5" i="2"/>
  <c r="AX5" i="2"/>
  <c r="AW5" i="2"/>
  <c r="AV5" i="2"/>
  <c r="AU5" i="2"/>
  <c r="AT5" i="2"/>
  <c r="AS5" i="2"/>
  <c r="AR5" i="2"/>
  <c r="AQ5" i="2"/>
  <c r="AP5" i="2"/>
  <c r="AO5" i="2"/>
  <c r="AN5" i="2"/>
  <c r="AM5" i="2"/>
  <c r="AL5" i="2"/>
  <c r="AK5" i="2"/>
  <c r="AJ5" i="2"/>
  <c r="AI5"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BC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BC59" i="2"/>
  <c r="BA59" i="2"/>
  <c r="AZ59"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BC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BC129" i="2"/>
  <c r="BA129" i="2"/>
  <c r="AZ129"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BC159" i="2"/>
  <c r="BA159" i="2"/>
  <c r="AZ159"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BC113" i="2"/>
  <c r="BA113" i="2"/>
  <c r="AZ113"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BA51" i="1"/>
  <c r="BC14" i="1"/>
  <c r="BA14" i="1"/>
  <c r="AZ14" i="1"/>
  <c r="AY14" i="1"/>
  <c r="AX14" i="1"/>
  <c r="AW14" i="1"/>
  <c r="AV14" i="1"/>
  <c r="AU14" i="1"/>
  <c r="AT14" i="1"/>
  <c r="AS14" i="1"/>
  <c r="AR14" i="1"/>
  <c r="AQ14" i="1"/>
  <c r="AP14" i="1"/>
  <c r="AO14" i="1"/>
  <c r="AN14" i="1"/>
  <c r="AM14" i="1"/>
  <c r="AL14" i="1"/>
  <c r="AK14" i="1"/>
  <c r="AJ14" i="1"/>
  <c r="AI14" i="1"/>
  <c r="AH14" i="1"/>
  <c r="AG14" i="1"/>
  <c r="AF14" i="1"/>
  <c r="AE14" i="1"/>
  <c r="AD14" i="1"/>
  <c r="AC14" i="1"/>
  <c r="AB14" i="1"/>
  <c r="AA14" i="1"/>
  <c r="Z14" i="1"/>
  <c r="Y14" i="1"/>
  <c r="X14" i="1"/>
  <c r="W14" i="1"/>
  <c r="V14" i="1"/>
  <c r="T14" i="1"/>
  <c r="S14" i="1"/>
  <c r="R14" i="1"/>
  <c r="Q14" i="1"/>
  <c r="P14" i="1"/>
  <c r="O14" i="1"/>
  <c r="N14" i="1"/>
  <c r="M14" i="1"/>
  <c r="L14" i="1"/>
  <c r="K14" i="1"/>
  <c r="J14" i="1"/>
  <c r="I14" i="1"/>
  <c r="H14" i="1"/>
  <c r="G14" i="1"/>
  <c r="F14" i="1"/>
  <c r="E14" i="1"/>
  <c r="D14" i="1"/>
  <c r="BC11" i="1"/>
  <c r="BA11" i="1"/>
  <c r="AZ11" i="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BC51" i="1"/>
  <c r="AZ51" i="1"/>
  <c r="AY51" i="1"/>
  <c r="AX51" i="1"/>
  <c r="AW51" i="1"/>
  <c r="AV51" i="1"/>
  <c r="AU51" i="1"/>
  <c r="AT51" i="1"/>
  <c r="AS51"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F51" i="1"/>
  <c r="E51" i="1"/>
  <c r="D51" i="1"/>
  <c r="BC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T8" i="1"/>
  <c r="S8" i="1"/>
  <c r="R8" i="1"/>
  <c r="Q8" i="1"/>
  <c r="P8" i="1"/>
  <c r="O8" i="1"/>
  <c r="N8" i="1"/>
  <c r="M8" i="1"/>
  <c r="L8" i="1"/>
  <c r="K8" i="1"/>
  <c r="J8" i="1"/>
  <c r="I8" i="1"/>
  <c r="H8" i="1"/>
  <c r="G8" i="1"/>
  <c r="F8" i="1"/>
  <c r="E8" i="1"/>
  <c r="D8" i="1"/>
  <c r="BC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BC124" i="1"/>
  <c r="BA124"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Y124" i="1"/>
  <c r="X124" i="1"/>
  <c r="W124" i="1"/>
  <c r="V124" i="1"/>
  <c r="U124" i="1"/>
  <c r="T124" i="1"/>
  <c r="S124" i="1"/>
  <c r="R124" i="1"/>
  <c r="Q124" i="1"/>
  <c r="P124" i="1"/>
  <c r="O124" i="1"/>
  <c r="N124" i="1"/>
  <c r="M124" i="1"/>
  <c r="L124" i="1"/>
  <c r="K124" i="1"/>
  <c r="J124" i="1"/>
  <c r="I124" i="1"/>
  <c r="H124" i="1"/>
  <c r="G124" i="1"/>
  <c r="F124" i="1"/>
  <c r="E124" i="1"/>
  <c r="D124" i="1"/>
  <c r="BC7" i="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BC76" i="1"/>
  <c r="BA76"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BC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BC75" i="1"/>
  <c r="BA75" i="1"/>
  <c r="AZ75" i="1"/>
  <c r="AY75" i="1"/>
  <c r="AX75" i="1"/>
  <c r="AW75" i="1"/>
  <c r="AV75" i="1"/>
  <c r="AU75" i="1"/>
  <c r="AT75"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I75" i="1"/>
  <c r="H75" i="1"/>
  <c r="G75" i="1"/>
  <c r="F75" i="1"/>
  <c r="E75" i="1"/>
  <c r="D75" i="1"/>
  <c r="BC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V20" i="1"/>
  <c r="U20" i="1"/>
  <c r="T20" i="1"/>
  <c r="S20" i="1"/>
  <c r="R20" i="1"/>
  <c r="Q20" i="1"/>
  <c r="P20" i="1"/>
  <c r="O20" i="1"/>
  <c r="N20" i="1"/>
  <c r="M20" i="1"/>
  <c r="L20" i="1"/>
  <c r="K20" i="1"/>
  <c r="J20" i="1"/>
  <c r="I20" i="1"/>
  <c r="H20" i="1"/>
  <c r="G20" i="1"/>
  <c r="F20" i="1"/>
  <c r="E20" i="1"/>
  <c r="D20" i="1"/>
  <c r="BC50" i="1"/>
  <c r="BA50" i="1"/>
  <c r="AZ50" i="1"/>
  <c r="AY50" i="1"/>
  <c r="AX50" i="1"/>
  <c r="AW50" i="1"/>
  <c r="AV50" i="1"/>
  <c r="AU50" i="1"/>
  <c r="AT50" i="1"/>
  <c r="AS50" i="1"/>
  <c r="AR50" i="1"/>
  <c r="AQ50" i="1"/>
  <c r="AP50" i="1"/>
  <c r="AO50" i="1"/>
  <c r="AN50" i="1"/>
  <c r="AM50" i="1"/>
  <c r="AL50" i="1"/>
  <c r="AK50" i="1"/>
  <c r="AJ50" i="1"/>
  <c r="AI50" i="1"/>
  <c r="AH50" i="1"/>
  <c r="AG50" i="1"/>
  <c r="AF50" i="1"/>
  <c r="AE50" i="1"/>
  <c r="AD50" i="1"/>
  <c r="AC50" i="1"/>
  <c r="AB50" i="1"/>
  <c r="AA50" i="1"/>
  <c r="Z50" i="1"/>
  <c r="Y50" i="1"/>
  <c r="X50" i="1"/>
  <c r="W50" i="1"/>
  <c r="V50" i="1"/>
  <c r="T50" i="1"/>
  <c r="S50" i="1"/>
  <c r="R50" i="1"/>
  <c r="Q50" i="1"/>
  <c r="P50" i="1"/>
  <c r="O50" i="1"/>
  <c r="N50" i="1"/>
  <c r="M50" i="1"/>
  <c r="L50" i="1"/>
  <c r="K50" i="1"/>
  <c r="J50" i="1"/>
  <c r="I50" i="1"/>
  <c r="H50" i="1"/>
  <c r="G50" i="1"/>
  <c r="F50" i="1"/>
  <c r="E50" i="1"/>
  <c r="D50" i="1"/>
  <c r="BC87" i="1"/>
  <c r="BA87" i="1"/>
  <c r="AZ87" i="1"/>
  <c r="AY87" i="1"/>
  <c r="AX87" i="1"/>
  <c r="AW87" i="1"/>
  <c r="AV87"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T87" i="1"/>
  <c r="S87" i="1"/>
  <c r="R87" i="1"/>
  <c r="Q87" i="1"/>
  <c r="P87" i="1"/>
  <c r="O87" i="1"/>
  <c r="N87" i="1"/>
  <c r="M87" i="1"/>
  <c r="L87" i="1"/>
  <c r="K87" i="1"/>
  <c r="J87" i="1"/>
  <c r="I87" i="1"/>
  <c r="H87" i="1"/>
  <c r="G87" i="1"/>
  <c r="F87" i="1"/>
  <c r="E87" i="1"/>
  <c r="D87" i="1"/>
  <c r="BC74" i="1"/>
  <c r="BA74" i="1"/>
  <c r="AZ74" i="1"/>
  <c r="AY74" i="1"/>
  <c r="AX74" i="1"/>
  <c r="AW74" i="1"/>
  <c r="AV74" i="1"/>
  <c r="AU74" i="1"/>
  <c r="AT74" i="1"/>
  <c r="AS74" i="1"/>
  <c r="AR74" i="1"/>
  <c r="AQ74" i="1"/>
  <c r="AP74" i="1"/>
  <c r="AO74" i="1"/>
  <c r="AN74" i="1"/>
  <c r="AM74" i="1"/>
  <c r="AL74" i="1"/>
  <c r="AK74" i="1"/>
  <c r="AJ74" i="1"/>
  <c r="AI74" i="1"/>
  <c r="AH74" i="1"/>
  <c r="AG74" i="1"/>
  <c r="AF74" i="1"/>
  <c r="AE74" i="1"/>
  <c r="AD74" i="1"/>
  <c r="AC74" i="1"/>
  <c r="AB74" i="1"/>
  <c r="AA74" i="1"/>
  <c r="Z74" i="1"/>
  <c r="Y74" i="1"/>
  <c r="X74" i="1"/>
  <c r="W74" i="1"/>
  <c r="V74" i="1"/>
  <c r="T74" i="1"/>
  <c r="S74" i="1"/>
  <c r="R74" i="1"/>
  <c r="Q74" i="1"/>
  <c r="P74" i="1"/>
  <c r="O74" i="1"/>
  <c r="N74" i="1"/>
  <c r="M74" i="1"/>
  <c r="L74" i="1"/>
  <c r="K74" i="1"/>
  <c r="J74" i="1"/>
  <c r="I74" i="1"/>
  <c r="H74" i="1"/>
  <c r="G74" i="1"/>
  <c r="F74" i="1"/>
  <c r="E74" i="1"/>
  <c r="D74" i="1"/>
  <c r="BC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T18" i="1"/>
  <c r="S18" i="1"/>
  <c r="R18" i="1"/>
  <c r="Q18" i="1"/>
  <c r="P18" i="1"/>
  <c r="O18" i="1"/>
  <c r="N18" i="1"/>
  <c r="M18" i="1"/>
  <c r="L18" i="1"/>
  <c r="K18" i="1"/>
  <c r="J18" i="1"/>
  <c r="I18" i="1"/>
  <c r="H18" i="1"/>
  <c r="G18" i="1"/>
  <c r="F18" i="1"/>
  <c r="E18" i="1"/>
  <c r="D18" i="1"/>
  <c r="BC73" i="1"/>
  <c r="BA73" i="1"/>
  <c r="AZ73" i="1"/>
  <c r="AY73" i="1"/>
  <c r="AX73" i="1"/>
  <c r="AW73" i="1"/>
  <c r="AV73" i="1"/>
  <c r="AU73" i="1"/>
  <c r="AT73" i="1"/>
  <c r="AS73" i="1"/>
  <c r="AR73" i="1"/>
  <c r="AQ73" i="1"/>
  <c r="AP73" i="1"/>
  <c r="AO73" i="1"/>
  <c r="AN73" i="1"/>
  <c r="AM73" i="1"/>
  <c r="AL73" i="1"/>
  <c r="AK73" i="1"/>
  <c r="AJ73" i="1"/>
  <c r="AI73" i="1"/>
  <c r="AH73" i="1"/>
  <c r="AG73" i="1"/>
  <c r="AF73" i="1"/>
  <c r="AE73" i="1"/>
  <c r="AD73" i="1"/>
  <c r="AC73" i="1"/>
  <c r="AB73" i="1"/>
  <c r="AA73" i="1"/>
  <c r="Z73" i="1"/>
  <c r="Y73" i="1"/>
  <c r="X73" i="1"/>
  <c r="W73" i="1"/>
  <c r="V73" i="1"/>
  <c r="T73" i="1"/>
  <c r="S73" i="1"/>
  <c r="R73" i="1"/>
  <c r="Q73" i="1"/>
  <c r="P73" i="1"/>
  <c r="O73" i="1"/>
  <c r="N73" i="1"/>
  <c r="M73" i="1"/>
  <c r="L73" i="1"/>
  <c r="K73" i="1"/>
  <c r="J73" i="1"/>
  <c r="I73" i="1"/>
  <c r="H73" i="1"/>
  <c r="G73" i="1"/>
  <c r="F73" i="1"/>
  <c r="E73" i="1"/>
  <c r="D73" i="1"/>
  <c r="BC45" i="1"/>
  <c r="BA45" i="1"/>
  <c r="AZ45" i="1"/>
  <c r="AY45" i="1"/>
  <c r="AX45" i="1"/>
  <c r="AW45" i="1"/>
  <c r="AV45" i="1"/>
  <c r="AU45" i="1"/>
  <c r="AT45" i="1"/>
  <c r="AS45" i="1"/>
  <c r="AR45" i="1"/>
  <c r="AQ45" i="1"/>
  <c r="AP45" i="1"/>
  <c r="AO45" i="1"/>
  <c r="AN45" i="1"/>
  <c r="AM45" i="1"/>
  <c r="AL45" i="1"/>
  <c r="AK45" i="1"/>
  <c r="AJ45" i="1"/>
  <c r="AI45" i="1"/>
  <c r="AH45" i="1"/>
  <c r="AG45" i="1"/>
  <c r="AF45" i="1"/>
  <c r="AE45" i="1"/>
  <c r="AD45" i="1"/>
  <c r="AC45" i="1"/>
  <c r="AB45" i="1"/>
  <c r="AA45" i="1"/>
  <c r="Z45" i="1"/>
  <c r="Y45" i="1"/>
  <c r="X45" i="1"/>
  <c r="W45" i="1"/>
  <c r="V45" i="1"/>
  <c r="T45" i="1"/>
  <c r="S45" i="1"/>
  <c r="R45" i="1"/>
  <c r="Q45" i="1"/>
  <c r="P45" i="1"/>
  <c r="O45" i="1"/>
  <c r="N45" i="1"/>
  <c r="M45" i="1"/>
  <c r="L45" i="1"/>
  <c r="K45" i="1"/>
  <c r="J45" i="1"/>
  <c r="I45" i="1"/>
  <c r="H45" i="1"/>
  <c r="G45" i="1"/>
  <c r="F45" i="1"/>
  <c r="E45" i="1"/>
  <c r="D45" i="1"/>
  <c r="BC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T5" i="1"/>
  <c r="S5" i="1"/>
  <c r="R5" i="1"/>
  <c r="Q5" i="1"/>
  <c r="P5" i="1"/>
  <c r="O5" i="1"/>
  <c r="N5" i="1"/>
  <c r="M5" i="1"/>
  <c r="L5" i="1"/>
  <c r="K5" i="1"/>
  <c r="J5" i="1"/>
  <c r="I5" i="1"/>
  <c r="H5" i="1"/>
  <c r="G5" i="1"/>
  <c r="F5" i="1"/>
  <c r="E5" i="1"/>
  <c r="D5" i="1"/>
  <c r="BC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T4" i="1"/>
  <c r="S4" i="1"/>
  <c r="R4" i="1"/>
  <c r="Q4" i="1"/>
  <c r="P4" i="1"/>
  <c r="O4" i="1"/>
  <c r="N4" i="1"/>
  <c r="M4" i="1"/>
  <c r="L4" i="1"/>
  <c r="K4" i="1"/>
  <c r="J4" i="1"/>
  <c r="I4" i="1"/>
  <c r="H4" i="1"/>
  <c r="G4" i="1"/>
  <c r="F4" i="1"/>
  <c r="E4" i="1"/>
  <c r="D4" i="1"/>
  <c r="BC25" i="1"/>
  <c r="BA25" i="1"/>
  <c r="AZ25" i="1"/>
  <c r="AY25" i="1"/>
  <c r="AX25" i="1"/>
  <c r="AW25" i="1"/>
  <c r="AV25" i="1"/>
  <c r="AU25" i="1"/>
  <c r="AT25" i="1"/>
  <c r="AS25" i="1"/>
  <c r="AR25" i="1"/>
  <c r="AQ25" i="1"/>
  <c r="AP25" i="1"/>
  <c r="AO25"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G25" i="1"/>
  <c r="F25" i="1"/>
  <c r="E25" i="1"/>
  <c r="D25" i="1"/>
  <c r="BC72" i="1"/>
  <c r="BA72" i="1"/>
  <c r="AZ72" i="1"/>
  <c r="AY72" i="1"/>
  <c r="AX72" i="1"/>
  <c r="AW72" i="1"/>
  <c r="AV72" i="1"/>
  <c r="AU72" i="1"/>
  <c r="AT72" i="1"/>
  <c r="AS72" i="1"/>
  <c r="AR72" i="1"/>
  <c r="AQ72" i="1"/>
  <c r="AP72" i="1"/>
  <c r="AO72" i="1"/>
  <c r="AN72" i="1"/>
  <c r="AM72" i="1"/>
  <c r="AL72" i="1"/>
  <c r="AK72" i="1"/>
  <c r="AJ72" i="1"/>
  <c r="AI72" i="1"/>
  <c r="AH72" i="1"/>
  <c r="AG72" i="1"/>
  <c r="AF72" i="1"/>
  <c r="AE72" i="1"/>
  <c r="AD72" i="1"/>
  <c r="AC72" i="1"/>
  <c r="AB72" i="1"/>
  <c r="AA72" i="1"/>
  <c r="Z72" i="1"/>
  <c r="Y72" i="1"/>
  <c r="X72" i="1"/>
  <c r="W72" i="1"/>
  <c r="V72" i="1"/>
  <c r="U72" i="1"/>
  <c r="T72" i="1"/>
  <c r="S72" i="1"/>
  <c r="R72" i="1"/>
  <c r="Q72" i="1"/>
  <c r="P72" i="1"/>
  <c r="O72" i="1"/>
  <c r="N72" i="1"/>
  <c r="M72" i="1"/>
  <c r="L72" i="1"/>
  <c r="K72" i="1"/>
  <c r="J72" i="1"/>
  <c r="I72" i="1"/>
  <c r="H72" i="1"/>
  <c r="G72" i="1"/>
  <c r="F72" i="1"/>
  <c r="E72" i="1"/>
  <c r="D72" i="1"/>
  <c r="BC71" i="1"/>
  <c r="BA71" i="1"/>
  <c r="AZ71" i="1"/>
  <c r="AY71" i="1"/>
  <c r="AX71" i="1"/>
  <c r="AW71" i="1"/>
  <c r="AV71" i="1"/>
  <c r="AU71" i="1"/>
  <c r="AT71" i="1"/>
  <c r="AS71" i="1"/>
  <c r="AR71" i="1"/>
  <c r="AQ71" i="1"/>
  <c r="AP71" i="1"/>
  <c r="AO71" i="1"/>
  <c r="AN71" i="1"/>
  <c r="AM71" i="1"/>
  <c r="AL71" i="1"/>
  <c r="AK71" i="1"/>
  <c r="AJ71" i="1"/>
  <c r="AI71" i="1"/>
  <c r="AH71" i="1"/>
  <c r="AG71" i="1"/>
  <c r="AF71" i="1"/>
  <c r="AE71" i="1"/>
  <c r="AD71" i="1"/>
  <c r="AC71" i="1"/>
  <c r="AB71" i="1"/>
  <c r="AA71" i="1"/>
  <c r="Z71" i="1"/>
  <c r="Y71" i="1"/>
  <c r="X71" i="1"/>
  <c r="W71" i="1"/>
  <c r="V71" i="1"/>
  <c r="T71" i="1"/>
  <c r="S71" i="1"/>
  <c r="R71" i="1"/>
  <c r="Q71" i="1"/>
  <c r="P71" i="1"/>
  <c r="O71" i="1"/>
  <c r="N71" i="1"/>
  <c r="M71" i="1"/>
  <c r="L71" i="1"/>
  <c r="K71" i="1"/>
  <c r="J71" i="1"/>
  <c r="I71" i="1"/>
  <c r="H71" i="1"/>
  <c r="G71" i="1"/>
  <c r="F71" i="1"/>
  <c r="E71" i="1"/>
  <c r="D71" i="1"/>
  <c r="BC70" i="1"/>
  <c r="BA70" i="1"/>
  <c r="AZ70" i="1"/>
  <c r="AY70" i="1"/>
  <c r="AX70" i="1"/>
  <c r="AW70" i="1"/>
  <c r="AV70" i="1"/>
  <c r="AU70" i="1"/>
  <c r="AT70" i="1"/>
  <c r="AS70"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J70" i="1"/>
  <c r="I70" i="1"/>
  <c r="H70" i="1"/>
  <c r="G70" i="1"/>
  <c r="F70" i="1"/>
  <c r="E70" i="1"/>
  <c r="D70" i="1"/>
  <c r="BC122" i="1"/>
  <c r="BA122" i="1"/>
  <c r="AZ122" i="1"/>
  <c r="AY122" i="1"/>
  <c r="AX122" i="1"/>
  <c r="AW122" i="1"/>
  <c r="AV122" i="1"/>
  <c r="AU122" i="1"/>
  <c r="AT122" i="1"/>
  <c r="AS122" i="1"/>
  <c r="AR122" i="1"/>
  <c r="AQ122" i="1"/>
  <c r="AP122" i="1"/>
  <c r="AO122" i="1"/>
  <c r="AN122" i="1"/>
  <c r="AM122" i="1"/>
  <c r="AL122" i="1"/>
  <c r="AK122" i="1"/>
  <c r="AJ122" i="1"/>
  <c r="AI122" i="1"/>
  <c r="AH122" i="1"/>
  <c r="AG122" i="1"/>
  <c r="AF122" i="1"/>
  <c r="AE122" i="1"/>
  <c r="AD122" i="1"/>
  <c r="AC122" i="1"/>
  <c r="AB122" i="1"/>
  <c r="AA122" i="1"/>
  <c r="Z122" i="1"/>
  <c r="Y122" i="1"/>
  <c r="X122" i="1"/>
  <c r="W122" i="1"/>
  <c r="V122" i="1"/>
  <c r="T122" i="1"/>
  <c r="S122" i="1"/>
  <c r="R122" i="1"/>
  <c r="Q122" i="1"/>
  <c r="P122" i="1"/>
  <c r="O122" i="1"/>
  <c r="N122" i="1"/>
  <c r="M122" i="1"/>
  <c r="L122" i="1"/>
  <c r="K122" i="1"/>
  <c r="J122" i="1"/>
  <c r="I122" i="1"/>
  <c r="H122" i="1"/>
  <c r="G122" i="1"/>
  <c r="F122" i="1"/>
  <c r="E122" i="1"/>
  <c r="D122" i="1"/>
  <c r="BC121" i="1"/>
  <c r="BA121" i="1"/>
  <c r="AZ121" i="1"/>
  <c r="AY121" i="1"/>
  <c r="AX121" i="1"/>
  <c r="AW121" i="1"/>
  <c r="AV121" i="1"/>
  <c r="AU121" i="1"/>
  <c r="AT121" i="1"/>
  <c r="AS121" i="1"/>
  <c r="AR121" i="1"/>
  <c r="AQ121" i="1"/>
  <c r="AP121" i="1"/>
  <c r="AO121" i="1"/>
  <c r="AN121" i="1"/>
  <c r="AM121" i="1"/>
  <c r="AL121" i="1"/>
  <c r="AK121" i="1"/>
  <c r="AJ121" i="1"/>
  <c r="AI121" i="1"/>
  <c r="AH121" i="1"/>
  <c r="AG121" i="1"/>
  <c r="AF121" i="1"/>
  <c r="AE121" i="1"/>
  <c r="AD121" i="1"/>
  <c r="AC121" i="1"/>
  <c r="AB121" i="1"/>
  <c r="AA121" i="1"/>
  <c r="Z121" i="1"/>
  <c r="Y121" i="1"/>
  <c r="X121" i="1"/>
  <c r="W121" i="1"/>
  <c r="V121" i="1"/>
  <c r="T121" i="1"/>
  <c r="S121" i="1"/>
  <c r="R121" i="1"/>
  <c r="Q121" i="1"/>
  <c r="P121" i="1"/>
  <c r="O121" i="1"/>
  <c r="N121" i="1"/>
  <c r="M121" i="1"/>
  <c r="L121" i="1"/>
  <c r="K121" i="1"/>
  <c r="J121" i="1"/>
  <c r="I121" i="1"/>
  <c r="H121" i="1"/>
  <c r="G121" i="1"/>
  <c r="F121" i="1"/>
  <c r="E121" i="1"/>
  <c r="D121" i="1"/>
  <c r="BC69" i="1"/>
  <c r="BA69" i="1"/>
  <c r="AZ69"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I69" i="1"/>
  <c r="H69" i="1"/>
  <c r="G69" i="1"/>
  <c r="F69" i="1"/>
  <c r="E69" i="1"/>
  <c r="D69" i="1"/>
  <c r="BC120" i="1"/>
  <c r="BA120" i="1"/>
  <c r="AZ120" i="1"/>
  <c r="AY120" i="1"/>
  <c r="AX120" i="1"/>
  <c r="AW120" i="1"/>
  <c r="AV120" i="1"/>
  <c r="AU120" i="1"/>
  <c r="AT120" i="1"/>
  <c r="AS120" i="1"/>
  <c r="AR120" i="1"/>
  <c r="AQ120" i="1"/>
  <c r="AP120" i="1"/>
  <c r="AO120" i="1"/>
  <c r="AN120" i="1"/>
  <c r="AM120" i="1"/>
  <c r="AL120" i="1"/>
  <c r="AK120" i="1"/>
  <c r="AJ120" i="1"/>
  <c r="AI120" i="1"/>
  <c r="AH120" i="1"/>
  <c r="AG120" i="1"/>
  <c r="AF120" i="1"/>
  <c r="AE120" i="1"/>
  <c r="AD120" i="1"/>
  <c r="AC120" i="1"/>
  <c r="AB120" i="1"/>
  <c r="AA120" i="1"/>
  <c r="Z120" i="1"/>
  <c r="Y120" i="1"/>
  <c r="X120" i="1"/>
  <c r="W120" i="1"/>
  <c r="V120" i="1"/>
  <c r="T120" i="1"/>
  <c r="S120" i="1"/>
  <c r="R120" i="1"/>
  <c r="Q120" i="1"/>
  <c r="P120" i="1"/>
  <c r="O120" i="1"/>
  <c r="N120" i="1"/>
  <c r="M120" i="1"/>
  <c r="L120" i="1"/>
  <c r="K120" i="1"/>
  <c r="J120" i="1"/>
  <c r="I120" i="1"/>
  <c r="H120" i="1"/>
  <c r="G120" i="1"/>
  <c r="F120" i="1"/>
  <c r="E120" i="1"/>
  <c r="D120" i="1"/>
  <c r="BC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T3" i="1"/>
  <c r="S3" i="1"/>
  <c r="R3" i="1"/>
  <c r="Q3" i="1"/>
  <c r="P3" i="1"/>
  <c r="O3" i="1"/>
  <c r="N3" i="1"/>
  <c r="M3" i="1"/>
  <c r="L3" i="1"/>
  <c r="K3" i="1"/>
  <c r="J3" i="1"/>
  <c r="I3" i="1"/>
  <c r="H3" i="1"/>
  <c r="G3" i="1"/>
  <c r="F3" i="1"/>
  <c r="E3" i="1"/>
  <c r="D3" i="1"/>
  <c r="BC68" i="1"/>
  <c r="BA68"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O68" i="1"/>
  <c r="N68" i="1"/>
  <c r="M68" i="1"/>
  <c r="L68" i="1"/>
  <c r="K68" i="1"/>
  <c r="J68" i="1"/>
  <c r="I68" i="1"/>
  <c r="H68" i="1"/>
  <c r="G68" i="1"/>
  <c r="F68" i="1"/>
  <c r="E68" i="1"/>
  <c r="D68" i="1"/>
  <c r="BC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S2" i="1"/>
  <c r="R2" i="1"/>
  <c r="Q2" i="1"/>
  <c r="P2" i="1"/>
  <c r="O2" i="1"/>
  <c r="N2" i="1"/>
  <c r="M2" i="1"/>
  <c r="L2" i="1"/>
  <c r="K2" i="1"/>
  <c r="J2" i="1"/>
  <c r="I2" i="1"/>
  <c r="H2" i="1"/>
  <c r="G2" i="1"/>
  <c r="F2" i="1"/>
  <c r="E2" i="1"/>
  <c r="D2" i="1"/>
  <c r="BC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BC26" i="1"/>
  <c r="BA26" i="1"/>
  <c r="AZ26" i="1"/>
  <c r="AY26" i="1"/>
  <c r="AX26" i="1"/>
  <c r="AW26" i="1"/>
  <c r="AV26" i="1"/>
  <c r="AU26" i="1"/>
  <c r="AT26" i="1"/>
  <c r="AS26"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J26" i="1"/>
  <c r="I26" i="1"/>
  <c r="H26" i="1"/>
  <c r="G26" i="1"/>
  <c r="F26" i="1"/>
  <c r="E26" i="1"/>
  <c r="D26" i="1"/>
  <c r="BC119" i="1"/>
  <c r="BA119" i="1"/>
  <c r="AZ119" i="1"/>
  <c r="AY119" i="1"/>
  <c r="AX119" i="1"/>
  <c r="AW119" i="1"/>
  <c r="AV119" i="1"/>
  <c r="AU119" i="1"/>
  <c r="AT119" i="1"/>
  <c r="AS119"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N119" i="1"/>
  <c r="M119" i="1"/>
  <c r="L119" i="1"/>
  <c r="K119" i="1"/>
  <c r="J119" i="1"/>
  <c r="I119" i="1"/>
  <c r="H119" i="1"/>
  <c r="G119" i="1"/>
  <c r="F119" i="1"/>
  <c r="E119" i="1"/>
  <c r="D119" i="1"/>
  <c r="BC118" i="1"/>
  <c r="BA118" i="1"/>
  <c r="AZ118" i="1"/>
  <c r="AY118" i="1"/>
  <c r="AX118" i="1"/>
  <c r="AW118" i="1"/>
  <c r="AV118" i="1"/>
  <c r="AU118" i="1"/>
  <c r="AT118" i="1"/>
  <c r="AS118" i="1"/>
  <c r="AR118" i="1"/>
  <c r="AQ118" i="1"/>
  <c r="AP118" i="1"/>
  <c r="AO118" i="1"/>
  <c r="AN118" i="1"/>
  <c r="AM118" i="1"/>
  <c r="AL118" i="1"/>
  <c r="AK118" i="1"/>
  <c r="AJ118" i="1"/>
  <c r="AI118" i="1"/>
  <c r="AH118" i="1"/>
  <c r="AG118" i="1"/>
  <c r="AF118" i="1"/>
  <c r="AE118" i="1"/>
  <c r="AD118" i="1"/>
  <c r="AC118" i="1"/>
  <c r="AB118" i="1"/>
  <c r="AA118" i="1"/>
  <c r="Z118" i="1"/>
  <c r="Y118" i="1"/>
  <c r="X118" i="1"/>
  <c r="W118" i="1"/>
  <c r="V118" i="1"/>
  <c r="T118" i="1"/>
  <c r="S118" i="1"/>
  <c r="R118" i="1"/>
  <c r="Q118" i="1"/>
  <c r="P118" i="1"/>
  <c r="O118" i="1"/>
  <c r="N118" i="1"/>
  <c r="M118" i="1"/>
  <c r="L118" i="1"/>
  <c r="K118" i="1"/>
  <c r="J118" i="1"/>
  <c r="I118" i="1"/>
  <c r="H118" i="1"/>
  <c r="G118" i="1"/>
  <c r="F118" i="1"/>
  <c r="E118" i="1"/>
  <c r="D118" i="1"/>
  <c r="BC17" i="1"/>
  <c r="BA17" i="1"/>
  <c r="AZ17" i="1"/>
  <c r="AY17" i="1"/>
  <c r="AX17" i="1"/>
  <c r="AW17" i="1"/>
  <c r="AV17" i="1"/>
  <c r="AU17" i="1"/>
  <c r="AT17" i="1"/>
  <c r="AS17"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D17" i="1"/>
  <c r="BC49" i="1"/>
  <c r="BA49" i="1"/>
  <c r="AZ49" i="1"/>
  <c r="AY49" i="1"/>
  <c r="AX49" i="1"/>
  <c r="AW49" i="1"/>
  <c r="AV49" i="1"/>
  <c r="AU49" i="1"/>
  <c r="AT49" i="1"/>
  <c r="AS49" i="1"/>
  <c r="AR49" i="1"/>
  <c r="AQ49" i="1"/>
  <c r="AP49" i="1"/>
  <c r="AO49" i="1"/>
  <c r="AN49" i="1"/>
  <c r="AM49" i="1"/>
  <c r="AL49" i="1"/>
  <c r="AK49" i="1"/>
  <c r="AJ49" i="1"/>
  <c r="AI49" i="1"/>
  <c r="AH49" i="1"/>
  <c r="AG49" i="1"/>
  <c r="AF49" i="1"/>
  <c r="AE49" i="1"/>
  <c r="AD49" i="1"/>
  <c r="AC49" i="1"/>
  <c r="AB49" i="1"/>
  <c r="AA49" i="1"/>
  <c r="Z49" i="1"/>
  <c r="Y49" i="1"/>
  <c r="X49" i="1"/>
  <c r="W49" i="1"/>
  <c r="V49" i="1"/>
  <c r="U49" i="1"/>
  <c r="T49" i="1"/>
  <c r="S49" i="1"/>
  <c r="R49" i="1"/>
  <c r="Q49" i="1"/>
  <c r="P49" i="1"/>
  <c r="O49" i="1"/>
  <c r="N49" i="1"/>
  <c r="M49" i="1"/>
  <c r="L49" i="1"/>
  <c r="K49" i="1"/>
  <c r="J49" i="1"/>
  <c r="I49" i="1"/>
  <c r="H49" i="1"/>
  <c r="G49" i="1"/>
  <c r="F49" i="1"/>
  <c r="E49" i="1"/>
  <c r="D49" i="1"/>
  <c r="BC48" i="1"/>
  <c r="BA48" i="1"/>
  <c r="AZ48"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J48" i="1"/>
  <c r="I48" i="1"/>
  <c r="H48" i="1"/>
  <c r="G48" i="1"/>
  <c r="F48" i="1"/>
  <c r="E48" i="1"/>
  <c r="D48" i="1"/>
  <c r="BC65" i="1"/>
  <c r="BA65" i="1"/>
  <c r="AZ65" i="1"/>
  <c r="AY65" i="1"/>
  <c r="AX65" i="1"/>
  <c r="AW65" i="1"/>
  <c r="AV65" i="1"/>
  <c r="AU65" i="1"/>
  <c r="AT65" i="1"/>
  <c r="AS65"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E65" i="1"/>
  <c r="D65" i="1"/>
  <c r="BC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D63" i="1"/>
  <c r="BC9" i="1"/>
  <c r="BA9" i="1"/>
  <c r="AZ9" i="1"/>
  <c r="AY9" i="1"/>
  <c r="AX9" i="1"/>
  <c r="AW9" i="1"/>
  <c r="AV9" i="1"/>
  <c r="AU9" i="1"/>
  <c r="AT9" i="1"/>
  <c r="AS9"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BC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BC82" i="1"/>
  <c r="BA82" i="1"/>
  <c r="AZ82" i="1"/>
  <c r="AY82" i="1"/>
  <c r="AX82" i="1"/>
  <c r="AW82" i="1"/>
  <c r="AV82" i="1"/>
  <c r="AU82" i="1"/>
  <c r="AT82" i="1"/>
  <c r="AS82" i="1"/>
  <c r="AR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I82" i="1"/>
  <c r="H82" i="1"/>
  <c r="G82" i="1"/>
  <c r="F82" i="1"/>
  <c r="E82" i="1"/>
  <c r="D82" i="1"/>
  <c r="BC47" i="1"/>
  <c r="BA47" i="1"/>
  <c r="AZ47" i="1"/>
  <c r="AY47" i="1"/>
  <c r="AX47" i="1"/>
  <c r="AW47" i="1"/>
  <c r="AV47" i="1"/>
  <c r="AU47" i="1"/>
  <c r="AT47" i="1"/>
  <c r="AS47" i="1"/>
  <c r="AR47" i="1"/>
  <c r="AQ47" i="1"/>
  <c r="AP47" i="1"/>
  <c r="AO47" i="1"/>
  <c r="AN47" i="1"/>
  <c r="AM47" i="1"/>
  <c r="AL47" i="1"/>
  <c r="AK47" i="1"/>
  <c r="AJ47" i="1"/>
  <c r="AI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G47" i="1"/>
  <c r="F47" i="1"/>
  <c r="E47" i="1"/>
  <c r="D47" i="1"/>
  <c r="BC37" i="1"/>
  <c r="BA37" i="1"/>
  <c r="AZ37" i="1"/>
  <c r="AY37" i="1"/>
  <c r="AX37" i="1"/>
  <c r="AW37" i="1"/>
  <c r="AV37" i="1"/>
  <c r="AU37" i="1"/>
  <c r="AT37" i="1"/>
  <c r="AS37" i="1"/>
  <c r="AR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F37" i="1"/>
  <c r="E37" i="1"/>
  <c r="D37" i="1"/>
  <c r="BC21" i="1"/>
  <c r="BA21" i="1"/>
  <c r="AZ21" i="1"/>
  <c r="AY21" i="1"/>
  <c r="AX21"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F21" i="1"/>
  <c r="E21" i="1"/>
  <c r="D21" i="1"/>
</calcChain>
</file>

<file path=xl/sharedStrings.xml><?xml version="1.0" encoding="utf-8"?>
<sst xmlns="http://schemas.openxmlformats.org/spreadsheetml/2006/main" count="1758" uniqueCount="723">
  <si>
    <t>Name</t>
  </si>
  <si>
    <t>COMPLETE</t>
  </si>
  <si>
    <t>Stroke volume</t>
  </si>
  <si>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</si>
  <si>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</si>
  <si>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</si>
  <si>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</si>
  <si>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</si>
  <si>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</si>
  <si>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</si>
  <si>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</si>
  <si>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</si>
  <si>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</si>
  <si>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</si>
  <si>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</si>
  <si>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</si>
  <si>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</si>
  <si>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</si>
  <si>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</si>
  <si>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</si>
  <si>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</si>
  <si>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</si>
  <si>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</si>
  <si>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</si>
  <si>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</si>
  <si>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</si>
  <si>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</si>
  <si>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</si>
  <si>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</si>
  <si>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MRI</t>
  </si>
  <si>
    <t>HDL Cholesterol</t>
  </si>
  <si>
    <t>Triglycerides</t>
  </si>
  <si>
    <t>V LDL</t>
  </si>
  <si>
    <t>b 12</t>
  </si>
  <si>
    <t>other investigations</t>
  </si>
  <si>
    <t>strokevolume</t>
  </si>
  <si>
    <t>MRI Brain</t>
  </si>
  <si>
    <t>CT Angiography</t>
  </si>
  <si>
    <t>Rt</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</si>
  <si>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</si>
  <si>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</si>
  <si>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</si>
  <si>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</si>
  <si>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</si>
  <si>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</si>
  <si>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</si>
  <si>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</si>
  <si>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</si>
  <si>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</si>
  <si>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</si>
  <si>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</si>
  <si>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</si>
  <si>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</si>
  <si>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</si>
  <si>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Rt infraclinoid ICA</t>
  </si>
  <si>
    <t>Rt Supraclinoid ICA</t>
  </si>
  <si>
    <t>Rt Proximal M1 MCA</t>
  </si>
  <si>
    <t>Rt Distal M1 MCA</t>
  </si>
  <si>
    <t>Rt M2MCA rear</t>
  </si>
  <si>
    <t>Rt M2 MCA forward</t>
  </si>
  <si>
    <t>Rt A1 ACA</t>
  </si>
  <si>
    <t>Lt infraclinoid ICA</t>
  </si>
  <si>
    <t>Lt Supraclinoid ICA</t>
  </si>
  <si>
    <t>Lt Proximal M1 MCA</t>
  </si>
  <si>
    <t>Lt Distal M1 MCA</t>
  </si>
  <si>
    <t>Lt M2MCA rear</t>
  </si>
  <si>
    <t>Lt M2 MCA forward</t>
  </si>
  <si>
    <t>Lt A1 ACA</t>
  </si>
  <si>
    <t>clot burden score</t>
  </si>
  <si>
    <t>Lt ICA origin</t>
  </si>
  <si>
    <t>Rt ICA origin</t>
  </si>
  <si>
    <t>CCA</t>
  </si>
  <si>
    <t>Mohan kadam</t>
  </si>
  <si>
    <t>Acute rt fronto parietal infarct, Left CCA occlusion</t>
  </si>
  <si>
    <t>Left CCA occluded from origin</t>
  </si>
  <si>
    <t>Sumit Pawar</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</si>
  <si>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</si>
  <si>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</si>
  <si>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</si>
  <si>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</si>
  <si>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Hanumant Lohar</t>
  </si>
  <si>
    <t>Asthma</t>
  </si>
  <si>
    <t>lt MCA territory infarct</t>
  </si>
  <si>
    <t>complete occlusion thrombosis of entire lt ICA and M1 and M2 segments of lt MCA. calcified atherosclerotic plaques in lt carotid bulb causing approx 20-30% luminal narrowing</t>
  </si>
  <si>
    <t>Anjali S raje</t>
  </si>
  <si>
    <t>Vit D3-7.5,</t>
  </si>
  <si>
    <t>Acute non hemorrhagic infarcts in left occipital regions, left basal ganglia, left centrum semiovale and corona radiata.</t>
  </si>
  <si>
    <t>Bilateral CCA plaque</t>
  </si>
  <si>
    <t>Khan Tabssum</t>
  </si>
  <si>
    <t>14.3.24</t>
  </si>
  <si>
    <t>Takayasu's artiritis</t>
  </si>
  <si>
    <t>left corona radiata and left putamen acute infarct</t>
  </si>
  <si>
    <t>Left CCA occluded. Left ICA reformed by circle of Willis. Left M1 thrombus</t>
  </si>
  <si>
    <t>Lt CCA origin thrombus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</si>
  <si>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</si>
  <si>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</si>
  <si>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</si>
  <si>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</si>
  <si>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 xml:space="preserve">Balu Rathod </t>
  </si>
  <si>
    <t>HIV +Ve</t>
  </si>
  <si>
    <t xml:space="preserve">MCV-97.1, CD4-192 </t>
  </si>
  <si>
    <t>Left MCA infarct, M1 segment irregular and cut off, poor reformation of M2</t>
  </si>
  <si>
    <t>Vaishali Mahajan</t>
  </si>
  <si>
    <t>Old stroke Jan 2023, Hypothyroidism,</t>
  </si>
  <si>
    <t>MCV-82.0, T3-0.75, T4-7.82, TSH-0.07</t>
  </si>
  <si>
    <t>Rt MCA m1 occlusion</t>
  </si>
  <si>
    <t>Rt terminal ICA occlusion</t>
  </si>
  <si>
    <t>MCTA-4</t>
  </si>
  <si>
    <t>Ajit Deshpande</t>
  </si>
  <si>
    <t>old CVA</t>
  </si>
  <si>
    <t>acute NHI with patchy areas of bloomimg in left frontol lobe, left centrum semiovale, left insular and left tempero-parieto cortical region.</t>
  </si>
  <si>
    <t>acute NHi in rt pre and post cortical gyrus, rt FTO lobes and rt sentrum semiovale</t>
  </si>
  <si>
    <t>Rt CCA origin thrombus</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</si>
  <si>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</si>
  <si>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</si>
  <si>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</si>
  <si>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Fulabai Gaikwad</t>
  </si>
  <si>
    <t>Rt MCA hyperdense sign; No inafrct seen</t>
  </si>
  <si>
    <t>Rt ICA thrombosis and Rt M1 MCa occlusion</t>
  </si>
  <si>
    <t xml:space="preserve">Jaydeep Panchal </t>
  </si>
  <si>
    <t xml:space="preserve">Old stroke MCA infarct on imaging </t>
  </si>
  <si>
    <t>acute NHI in rt thalamus, globus pallidus caudate nucleus and anterior limb of internal capsule</t>
  </si>
  <si>
    <t>Rt M1 occlusion</t>
  </si>
  <si>
    <t>patient went DAMA same day</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</si>
  <si>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</si>
  <si>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</si>
  <si>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</si>
  <si>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</si>
  <si>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</si>
  <si>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</si>
  <si>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</si>
  <si>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</si>
  <si>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</si>
  <si>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</si>
  <si>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Jamadar Shantai</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</si>
  <si>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</si>
  <si>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</si>
  <si>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</si>
  <si>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</si>
  <si>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</si>
  <si>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Lalbahadur Singh</t>
  </si>
  <si>
    <t>Audumbar Jadhav</t>
  </si>
  <si>
    <t xml:space="preserve">Rt MCA superior division infarct </t>
  </si>
  <si>
    <t>Rt MCA superior devision thrombosis</t>
  </si>
  <si>
    <t>Maruti Bhise</t>
  </si>
  <si>
    <t>MCV-80.2</t>
  </si>
  <si>
    <t>a/c infarct in lt MCA territory M1 occlusion.</t>
  </si>
  <si>
    <t>abrupt cut off M1 segment lt MCA s/o thrombosis. reforation of distal M2 segment with faint opacification of superior division of lt mca</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</si>
  <si>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</si>
  <si>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</si>
  <si>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</si>
  <si>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</si>
  <si>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Salunkhe Uddhav</t>
  </si>
  <si>
    <t>past history of ICH nov 2023</t>
  </si>
  <si>
    <t>Left corona radiata infarct, right antrior temporal small infarct. Old left pontine hemorrhage</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</si>
  <si>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</si>
  <si>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</si>
  <si>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</si>
  <si>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</si>
  <si>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</si>
  <si>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</si>
  <si>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MCV-90.0</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</si>
  <si>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</si>
  <si>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</si>
  <si>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</si>
  <si>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Maral ravindra</t>
  </si>
  <si>
    <t>left PCA MCA watershed infarct</t>
  </si>
  <si>
    <t xml:space="preserve">left internal carotid artery cavernous PCA stenosis </t>
  </si>
  <si>
    <t>Prakash Sharma</t>
  </si>
  <si>
    <t>cataract surgeries, H/O MI in 2014</t>
  </si>
  <si>
    <t>lt MCA territory infarct ventriculomegaly</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</si>
  <si>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</si>
  <si>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</si>
  <si>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</si>
  <si>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</si>
  <si>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 xml:space="preserve">Bhivraj Lokhande </t>
  </si>
  <si>
    <t>DSA-normal Heparin and Warf both given to the patient</t>
  </si>
  <si>
    <t>Left MCA infarct, M3 cutoff</t>
  </si>
  <si>
    <t>Bhadale Abhishek Rajendra</t>
  </si>
  <si>
    <t>?CNS vasculitis, Old Rt MCA infarct</t>
  </si>
  <si>
    <t>Rt MCA infarct, M1 segment, Proximal A1,Rt ACA, Terminal Rt ICA thrombus</t>
  </si>
  <si>
    <t>Bhanage Keshav Pandurang</t>
  </si>
  <si>
    <t>Covid 19 +ve 05/07/2022</t>
  </si>
  <si>
    <t>Rt MCA infarct , Rt ICA Calcified atherosclerotic changes</t>
  </si>
  <si>
    <t>Bhikoba Khatape</t>
  </si>
  <si>
    <t>S/o multiple infarcts in lt fronto-parietal region likely embolic</t>
  </si>
  <si>
    <t>pandurang salunkhe</t>
  </si>
  <si>
    <t>Old ICH in 2014 and Lt MCA infarct in 2020, Scar epilepsy, ? vascular PD, patient presented with seizure and then sedated</t>
  </si>
  <si>
    <t xml:space="preserve">Tiny acte infarct in left centrum semiovale, Gliosis in rt basal ganglia and corona radiata </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</si>
  <si>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</si>
  <si>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</si>
  <si>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</si>
  <si>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Rt CCA thrombus</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</si>
  <si>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</si>
  <si>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</si>
  <si>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</si>
  <si>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</si>
  <si>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Lt CCA terminal plaque</t>
  </si>
  <si>
    <t>Ramesh Raut</t>
  </si>
  <si>
    <t>past h/o of stroke on image</t>
  </si>
  <si>
    <t>Acute infarct in left parietal and frontal region. areas of gliosis in left temporal lob</t>
  </si>
  <si>
    <t xml:space="preserve">Left &gt; Right M2 distal minor aneurysm. left transverse and sigmoid sinus thrombosis </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</si>
  <si>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</si>
  <si>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</si>
  <si>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</si>
  <si>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</si>
  <si>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Arvind Pawar</t>
  </si>
  <si>
    <t xml:space="preserve">a/c infarct b/l frontal lobes and anterior part of body of corpus callosum in right ACA territory </t>
  </si>
  <si>
    <t>non occluding non calcified atherosclerotic changes, B/L CCa and ICA, Left vertibral artery 40% narrowing</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</si>
  <si>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</si>
  <si>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</si>
  <si>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</si>
  <si>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</si>
  <si>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</si>
  <si>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Dnyanoba Dhindale</t>
  </si>
  <si>
    <t>TIA on 10/01/2024 and stroke on 11/01/2024</t>
  </si>
  <si>
    <t>Rt MCA PCA watershed infarct</t>
  </si>
  <si>
    <t xml:space="preserve">90% stenosis of rt vertebral artery and stenosis of inferior division of rt MCA </t>
  </si>
  <si>
    <t>Arun shinde</t>
  </si>
  <si>
    <t>Sepsis</t>
  </si>
  <si>
    <t>MCV-95.</t>
  </si>
  <si>
    <t>Lt frontal infarct</t>
  </si>
  <si>
    <t>mild narrowing with normal opacification of distal lt cca. just proximal to its bifurcation calcifies atherosclerotic plaque causing mild narowing lt iCA just distal to its bifurcation</t>
  </si>
  <si>
    <t>Kamal Bhosale Maruti</t>
  </si>
  <si>
    <t>pulmonary kochs+</t>
  </si>
  <si>
    <t>mcv-79.4</t>
  </si>
  <si>
    <t>Rt FTP, lentiform nucleus, Rt insular Infarct</t>
  </si>
  <si>
    <t>M1 Rt MCA eccentric fully defect distal M1, M2 narrow</t>
  </si>
  <si>
    <t>Prem singh janala</t>
  </si>
  <si>
    <t>Khandale Chandrakant</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</si>
  <si>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</si>
  <si>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</si>
  <si>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</si>
  <si>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</si>
  <si>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</si>
  <si>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Taru Sattyawan</t>
  </si>
  <si>
    <t xml:space="preserve">left centrum semiovale, left corona radiata,left lentiform nucleus, left parietal lobe infarct with tiny areas of hemorrhagic transformation </t>
  </si>
  <si>
    <t>balasaheb jadhav</t>
  </si>
  <si>
    <t>Left CCA plaque</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</si>
  <si>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</si>
  <si>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</si>
  <si>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</si>
  <si>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</si>
  <si>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</si>
  <si>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</si>
  <si>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</si>
  <si>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Gaikwad Hanumant</t>
  </si>
  <si>
    <t>8.3.24</t>
  </si>
  <si>
    <t>? Spinal cord disorder</t>
  </si>
  <si>
    <t>Rt internal watershed, ACA-MCA, MCA-PCA watershed infarcts</t>
  </si>
  <si>
    <t>Rt ICA stenosis 99% and Right M1 stenosis, tandom occlusion</t>
  </si>
  <si>
    <t>MCV-81.1</t>
  </si>
  <si>
    <t>A/c infarct b/l frontal lobes and anterior part of body of corpus callosum on rt ACA territory</t>
  </si>
  <si>
    <t>non occluding non calcified atherosclerotic changes B/L CCA, B/L carotid bulbs, cavernous segments of B/L ICA. lt vertebral artery 40% luminal narrowing</t>
  </si>
  <si>
    <t>Dhangekar Fenu</t>
  </si>
  <si>
    <t>Hypothyroidism</t>
  </si>
  <si>
    <t>Dengue +ve</t>
  </si>
  <si>
    <t xml:space="preserve">Acute infarct in CR and GC region </t>
  </si>
  <si>
    <t>Eknath Bhavekar</t>
  </si>
  <si>
    <t>Hyperhomocystenemia,vit D3 deficiency</t>
  </si>
  <si>
    <t xml:space="preserve">wide small saccular aneurysm in the cavernous segment of rt ICA. Hypoplastic rigjt vetebral artery continuing as the anterior inferior cerebellar artery </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</si>
  <si>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</si>
  <si>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</si>
  <si>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</si>
  <si>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</si>
  <si>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LATIF MUNIR</t>
  </si>
  <si>
    <t>Mrunal Sawant</t>
  </si>
  <si>
    <t>Metabolic syndrome, Hypothyroid</t>
  </si>
  <si>
    <t>MCV-82</t>
  </si>
  <si>
    <t>A/c infarct in left PCIC and Rt putamen and Rt periventricular region</t>
  </si>
  <si>
    <t>Mild paucity of cortical branches Rt MCA</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</si>
  <si>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</si>
  <si>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</si>
  <si>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</si>
  <si>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</si>
  <si>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Rt CCA distal palque</t>
  </si>
  <si>
    <t xml:space="preserve">sainath vakode </t>
  </si>
  <si>
    <t>thrombolysed with streptokinase 10 yrs ago</t>
  </si>
  <si>
    <t>Sawant Shobha</t>
  </si>
  <si>
    <t>mcv-75.5</t>
  </si>
  <si>
    <t>Acute Rt Parietal lobe infarct, Paucity of cortical branches Rt MCA poor collaterals</t>
  </si>
  <si>
    <t>Infarct in parietal lobe, paucity of cortical branches of Rt MCA with poor collateralization in the region of the infarct</t>
  </si>
  <si>
    <t>Utkarsh B Pawar</t>
  </si>
  <si>
    <t>H/O of ? CVA in 2016, H/O old CVA to father</t>
  </si>
  <si>
    <t>Lt FTPO region</t>
  </si>
  <si>
    <t>Centrum semiovale and corona radiata, Lt MCA m1 stenosis, mild paucity in lt MCA, Lt ICA plaque 20% carotid bulb compaonent</t>
  </si>
  <si>
    <t>utkarsh kshirsagar</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</si>
  <si>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</si>
  <si>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</si>
  <si>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</si>
  <si>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</si>
  <si>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left CCA bifurcation plaques</t>
  </si>
  <si>
    <t>Ramdas Darwatkar</t>
  </si>
  <si>
    <t>Lt PCA-MCA watershed infarct</t>
  </si>
  <si>
    <t>Lt CCA thrombus causing left MCA 60% stenosis. Lt MCA normal</t>
  </si>
  <si>
    <t>Left CCA thrombus</t>
  </si>
  <si>
    <t>Sunil Sawant</t>
  </si>
  <si>
    <t>thyroidectomy</t>
  </si>
  <si>
    <t>Left MCA-ACA MCA-PCA infarct, Left M1 stenosis</t>
  </si>
  <si>
    <t>left M1 stenosis</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</si>
  <si>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</si>
  <si>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</si>
  <si>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</si>
  <si>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</si>
  <si>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</si>
  <si>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</si>
  <si>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</si>
  <si>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</si>
  <si>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Archana Patil</t>
  </si>
  <si>
    <t xml:space="preserve">Rheumatoid Arthrities </t>
  </si>
  <si>
    <t>Rt ACA infarct</t>
  </si>
  <si>
    <t>Rt A3 cut off left ICA fatty plaque seen but approx 20% luminal compromise</t>
  </si>
  <si>
    <t>Kshirsagar utkarsh 2</t>
  </si>
  <si>
    <t>Kamal Satbhai</t>
  </si>
  <si>
    <t>2Decho- mild LVH</t>
  </si>
  <si>
    <t>Acute NHI in rt fronto-parietal lobe, rt occipital lobe, rt centrum semiovale and rt corona radiata</t>
  </si>
  <si>
    <t>Lt CCA thrombus</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</si>
  <si>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</si>
  <si>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</si>
  <si>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</si>
  <si>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</si>
  <si>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</si>
  <si>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</si>
  <si>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rangubai yele</t>
  </si>
  <si>
    <t>H/O old TIA 1 year back</t>
  </si>
  <si>
    <t xml:space="preserve">Lt periventricular and left corona radiata infarct </t>
  </si>
  <si>
    <t>normal</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</si>
  <si>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</si>
  <si>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</si>
  <si>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</si>
  <si>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</si>
  <si>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Surekha Kale</t>
  </si>
  <si>
    <t>left CCA plaque</t>
  </si>
  <si>
    <t>Gade manda Balu</t>
  </si>
  <si>
    <t>MCV-77.5</t>
  </si>
  <si>
    <t>Lt MCA-PCA watershed infarct</t>
  </si>
  <si>
    <t>Lt M2 occlusion</t>
  </si>
  <si>
    <t>Balasaheb Jadhav</t>
  </si>
  <si>
    <t>NHI in fronto-parietal region and lt centrum semiovale</t>
  </si>
  <si>
    <t>Biradar Vijaykumar</t>
  </si>
  <si>
    <t>CABG 30-1-24</t>
  </si>
  <si>
    <t>right MCA patchy infarcts, and right periventricular infarcts</t>
  </si>
  <si>
    <t>Right M2 block, right ICA origin plaque &lt; 50 percent occlusion, bilateral vertebral artery origin ostium stenosis</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</si>
  <si>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</si>
  <si>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</si>
  <si>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</si>
  <si>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</si>
  <si>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</si>
  <si>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Dattatray Kulkarni</t>
  </si>
  <si>
    <t>Vimal Thorve</t>
  </si>
  <si>
    <t>Old stroke 6 years  back LT PCA infarct</t>
  </si>
  <si>
    <t>Rt M1 infarct</t>
  </si>
  <si>
    <t>Shivkumar Belrole</t>
  </si>
  <si>
    <t xml:space="preserve">Subhadra Shilimkar </t>
  </si>
  <si>
    <t>old stroke in april 2023 lt frontal infarct, mrs 0</t>
  </si>
  <si>
    <t>a/c infarct lt MCA territory</t>
  </si>
  <si>
    <t xml:space="preserve">complete occlusion inferior devision M2 of Lt MCA </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</si>
  <si>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</si>
  <si>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</si>
  <si>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</si>
  <si>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bilateral CCA plaques</t>
  </si>
  <si>
    <t>Geeta Ajgaonkar</t>
  </si>
  <si>
    <t>T3-0.63, T4-8.67, TSH-2.74</t>
  </si>
  <si>
    <t>Left periventricular region infarct</t>
  </si>
  <si>
    <t>B12 carotid bulb atherosclerotic plaques</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</si>
  <si>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</si>
  <si>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</si>
  <si>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</si>
  <si>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</si>
  <si>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</si>
  <si>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Pawar Uttam</t>
  </si>
  <si>
    <t>Rt corona radiata infarct</t>
  </si>
  <si>
    <t>normal- plaques at B/L carotid bifurcation, origin of B/L ICAs, cavernous and supraclinoid segment of B/L ICA causing mild luminal compromise</t>
  </si>
  <si>
    <t>Bilateral CCA plaques</t>
  </si>
  <si>
    <t>Bhausaheb Gawali</t>
  </si>
  <si>
    <t>old post circulation stroke in 2016</t>
  </si>
  <si>
    <t>Left MCA Infarct, M2 Cutoff</t>
  </si>
  <si>
    <t>shinde genu bappu</t>
  </si>
  <si>
    <t>Jadhav Pandurang</t>
  </si>
  <si>
    <t xml:space="preserve">Ajit Shah </t>
  </si>
  <si>
    <t>Acute NHI in rt temporal lobe, head of rt caudate nucleus and rt middle frontal gyrus, superior temporal gyrus and inferior parietal lobe</t>
  </si>
  <si>
    <t>few calcified atherosclerotic plaques. Hypodense area in Rt temporal lobe</t>
  </si>
  <si>
    <t>Prakash Kamble</t>
  </si>
  <si>
    <t>old Cva-Lt sided hemiparesis</t>
  </si>
  <si>
    <t>MCV-911.2</t>
  </si>
  <si>
    <t>infarct in rt MCa and ICA watershed area</t>
  </si>
  <si>
    <t>eccentric hypodense hrombosis with calcified atherosclerotic plaque in rt carotid bulb and origin of rt ICA causing 90-95% stenosis.</t>
  </si>
  <si>
    <t>Raghunath Gaikwad</t>
  </si>
  <si>
    <t>MCV-87.8</t>
  </si>
  <si>
    <t>Rt large vessel occlusion, Rt ICA 90% stenosis, RT FTP occipital multiple infarcts rt periventricular and Rt GC</t>
  </si>
  <si>
    <t>Infarcts in rt MCA and PCA territories, stenosis seen in Rt ICA, Left ICA shows non stenotic plaques</t>
  </si>
  <si>
    <t>Radha Kisan Tolaji Bhojane</t>
  </si>
  <si>
    <t>Acute NHI in lt frontal parietal region, Lt centrum Semiovale and in Lt posterior temporal region, focal thrombosis in lt ECA</t>
  </si>
  <si>
    <t>Significant focal stenosis in the lt ICA just disctal to the bifurcation</t>
  </si>
  <si>
    <t>Rajani Dahrashivkar</t>
  </si>
  <si>
    <t>Pooja Patre</t>
  </si>
  <si>
    <t>Hypothyroid</t>
  </si>
  <si>
    <t>acute nhi in rt caudate nucleus and putamen</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</si>
  <si>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</si>
  <si>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</si>
  <si>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</si>
  <si>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</si>
  <si>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</si>
  <si>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</si>
  <si>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</si>
  <si>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</si>
  <si>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</si>
  <si>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</si>
  <si>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Moni Chakkrawarti</t>
  </si>
  <si>
    <t>B/L rt &gt;LT ganglio capsular infarct</t>
  </si>
  <si>
    <t>NHI involving B/L lentiform nuclei, centru semiovale, corona radiata, night posterior temporal lobe and left occipital lobe</t>
  </si>
  <si>
    <t>Madhukar Kumavat</t>
  </si>
  <si>
    <t>1.7.23</t>
  </si>
  <si>
    <t>Acute NHI in B/L fronto-parital-ventricular white matter, Old lacunar infarct in Bos, B/L thalamic, Lt frontal periventricular white matter and cingulate gyrus</t>
  </si>
  <si>
    <t>Sangita Narayankar</t>
  </si>
  <si>
    <t>Father had stroke</t>
  </si>
  <si>
    <t>VIT D  = 5,MCV=87.1</t>
  </si>
  <si>
    <t>LEFT MCA PCA WATERSHED INFARCT</t>
  </si>
  <si>
    <t>Bhagwat Ratan</t>
  </si>
  <si>
    <t>Vinayak Parge</t>
  </si>
  <si>
    <t>Lt MCA-PCA watershed infarct and lt internal watershed infarct</t>
  </si>
  <si>
    <t>Lt vertebral artery origin stenosis</t>
  </si>
  <si>
    <t>Devkar Yashoda</t>
  </si>
  <si>
    <t>MCv-85</t>
  </si>
  <si>
    <t>Acute infarct body of right caudate nucleus and right putament</t>
  </si>
  <si>
    <t>mild atherosclerotic changes in both common carotid arteries hypodense ecentric plague with surface irregularities at origin of Rt ICA</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</si>
  <si>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</si>
  <si>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</si>
  <si>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</si>
  <si>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</si>
  <si>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</si>
  <si>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Balu Chorghe, 230000052046</t>
  </si>
  <si>
    <t>left putamen and corona radiata</t>
  </si>
  <si>
    <t>Dombale bhivaji</t>
  </si>
  <si>
    <t>Left corona radiata and putamen stroke</t>
  </si>
  <si>
    <t>Normal</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</si>
  <si>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</si>
  <si>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</si>
  <si>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</si>
  <si>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</si>
  <si>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</si>
  <si>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</si>
  <si>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</si>
  <si>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</si>
  <si>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Lt CCA plaque</t>
  </si>
  <si>
    <t>Smita dhepe</t>
  </si>
  <si>
    <t xml:space="preserve">NHI in Lt periventricular region and posterior limb of LT internal capsule </t>
  </si>
  <si>
    <t>Nalkare Vikram</t>
  </si>
  <si>
    <t>Acute infarct posterior aspect of left lentiform nucleus, posterior limb of internal capsule, corona radiata.</t>
  </si>
  <si>
    <t>Left ICA origin plaque with 50% stenosis</t>
  </si>
  <si>
    <t xml:space="preserve">Usha dhende </t>
  </si>
  <si>
    <t xml:space="preserve">Rt corona radiata infarct </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</si>
  <si>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</si>
  <si>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</si>
  <si>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</si>
  <si>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</si>
  <si>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</si>
  <si>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</si>
  <si>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</si>
  <si>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Ghorpade Rakesh</t>
  </si>
  <si>
    <t>Hyperhomocystenemia</t>
  </si>
  <si>
    <t>MCV-96, DSA: Left CCA bifurcation 5-10% stenosis, moderate stenosis 40-50% Rt CCA bifurcation, Partia lumen occluding thrombus in M4 segment Rt MCA</t>
  </si>
  <si>
    <t>Acute infarct right centrum semiovale</t>
  </si>
  <si>
    <t>Mahadev Pandit</t>
  </si>
  <si>
    <t>H/o Stroke in 2023-left hemiparesis</t>
  </si>
  <si>
    <t>Acute NHI in posterior limb of lt hemorrhagic infarct in rt temporal lobe with rt vein of lobe thrombosis</t>
  </si>
  <si>
    <t>Dhage Yogesh Subhash</t>
  </si>
  <si>
    <t>Left corona radiata infarct, Chi. infarct B/L CN,LN,Rt CR and left Thalamus</t>
  </si>
  <si>
    <t>Nathu Shelar</t>
  </si>
  <si>
    <t>Chronic infarct in rt corona radiata, Rt periventricular region and rt lentiform nucleus</t>
  </si>
  <si>
    <t>Parshuram Shinde</t>
  </si>
  <si>
    <t>MCV-96.7</t>
  </si>
  <si>
    <t>a/c infarct in left frontal right centrum semiovale and left parietal lobe</t>
  </si>
  <si>
    <t>Shirgaonkar Prakash</t>
  </si>
  <si>
    <t>5.3.24</t>
  </si>
  <si>
    <t>7.3.24</t>
  </si>
  <si>
    <t>left corona radiata acute infarct. Multiple bilateral chronic infarcts</t>
  </si>
  <si>
    <t>Right vertebral V4 segment plaque. Rest normal</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</si>
  <si>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</si>
  <si>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</si>
  <si>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</si>
  <si>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</si>
  <si>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</si>
  <si>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</si>
  <si>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</si>
  <si>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Vikrant salunkhe</t>
  </si>
  <si>
    <t>rt pre central gyrus infarct</t>
  </si>
  <si>
    <t xml:space="preserve">Seema Dalvi </t>
  </si>
  <si>
    <t>past H/O gestational HT</t>
  </si>
  <si>
    <t>Lt MCA-PCA watershed inafrct</t>
  </si>
  <si>
    <t xml:space="preserve">Lt ICA plaque with thrombus&gt;90% occlusion </t>
  </si>
  <si>
    <t>Pawar Uttam April</t>
  </si>
  <si>
    <t>PARVATI SALUNKHE</t>
  </si>
  <si>
    <t>Chavan Shivaji</t>
  </si>
  <si>
    <t>Sambhaji Wavare</t>
  </si>
  <si>
    <t>Kumawat Rameshwar</t>
  </si>
  <si>
    <t>Shinde Suman</t>
  </si>
  <si>
    <t>Keshavbai Shinde</t>
  </si>
  <si>
    <t>Kudale Kantilal</t>
  </si>
  <si>
    <t xml:space="preserve">Mrunal sawant </t>
  </si>
  <si>
    <t>metabolic syndrome; hypothyroid</t>
  </si>
  <si>
    <t xml:space="preserve">A/c infarct LT PCIC and Rt putamen and Rt periventricular region. </t>
  </si>
  <si>
    <t>mild paucity of cortical branches in rt MCA</t>
  </si>
  <si>
    <t>Achitrao Gaikwad</t>
  </si>
  <si>
    <t>Dhumal Shakuntala</t>
  </si>
  <si>
    <t>ASHOK GITE</t>
  </si>
  <si>
    <t>Chandrabhagabai Gite</t>
  </si>
  <si>
    <t>Right CCA plaque</t>
  </si>
  <si>
    <t>Vijay Bhilane</t>
  </si>
  <si>
    <t>Dubey Anjali</t>
  </si>
  <si>
    <t>Suresh Acharekar</t>
  </si>
  <si>
    <t>Nilesh Dhande</t>
  </si>
  <si>
    <t>Shinde Mandakini</t>
  </si>
  <si>
    <t>Dnyanoba Pawale</t>
  </si>
  <si>
    <t>Acute nHI in left corona radiata</t>
  </si>
  <si>
    <t>Gadge Manda Balu</t>
  </si>
  <si>
    <t>Newly detected HTN</t>
  </si>
  <si>
    <t>Left MCA PCA watershed infarct</t>
  </si>
  <si>
    <t>Left M2 Occlusion</t>
  </si>
  <si>
    <t>Prakash Deshmukh</t>
  </si>
  <si>
    <t>Kadam Prakash</t>
  </si>
  <si>
    <t>CHAD VAS -4</t>
  </si>
  <si>
    <t>Lt vertebral artery hypoplastic. Left M1 stenosis</t>
  </si>
  <si>
    <t>Acute AIS in lt parieto occipital infarct with M1 segment narrowing of Lt MCA</t>
  </si>
  <si>
    <t>Sunil Dhane</t>
  </si>
  <si>
    <t>Awale Rajendra</t>
  </si>
  <si>
    <t xml:space="preserve">Lt periventricular and lft lentiform nucleus infarct </t>
  </si>
  <si>
    <t>mild irregularity in M1 segment of lt MCA short segment narrowing of superior devision of M2 segment of Lt MCA with distal reformation</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</si>
  <si>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</si>
  <si>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</si>
  <si>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</si>
  <si>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 xml:space="preserve">Smit sarode </t>
  </si>
  <si>
    <t>Acute kidney injury</t>
  </si>
  <si>
    <t>rt corona radiata acute infarct</t>
  </si>
  <si>
    <t>Mali Subhadra</t>
  </si>
  <si>
    <t xml:space="preserve">58.7182	</t>
  </si>
  <si>
    <t>Gund Pratibha</t>
  </si>
  <si>
    <t>Right Corona radiata infarct and in Rt thalamus</t>
  </si>
  <si>
    <t>Kharat Anusaya</t>
  </si>
  <si>
    <t>6.2.24</t>
  </si>
  <si>
    <t>15.2.24</t>
  </si>
  <si>
    <t>Left MCA territory infarct, midline shift 2.2 mm</t>
  </si>
  <si>
    <t>Shaikh Rajiya</t>
  </si>
  <si>
    <t>Rt centrum semiovale acute infarct</t>
  </si>
  <si>
    <t>H/O cva to brother, Recurrent stroke</t>
  </si>
  <si>
    <t>MCv- 79.4</t>
  </si>
  <si>
    <t>Acute non-hemorrhagic infarcts in the right parietal lobe and right centrum semi ovale.</t>
  </si>
  <si>
    <t xml:space="preserve">Stenosis in the supra-clinoid segment of right ICA. Diffuse narrowing of right M1 and M2 portions of right MCA. Good collaterals are noted. Right A1 is hypoplastic. </t>
  </si>
  <si>
    <t>Narrowing in supra-clinoid segment of right ICA. Narrowing of M1 and M2 segments of right MCA.A1 segment of right ACA not visualised ? hypoplastic.Focal narrowing of right intracranial vertebral artery.</t>
  </si>
  <si>
    <t>vitthal limkar</t>
  </si>
  <si>
    <t>Axute NHI in Rt centrum semiovale circular areas of heterogenous signal intensity in rt centrum semiovale, Lt corona radita and Lt occupital lobe. infarct in GC region and lt corona radiata</t>
  </si>
  <si>
    <t>atherosclerotic calcified arch of aorta and both cavernous ICA's. superior sagittal sinus shows patchy filling defects on sagittal axial images</t>
  </si>
  <si>
    <t>Bhandari Laxmibai</t>
  </si>
  <si>
    <t>Non hemorrhagic infarct right ganglio capsular region and bilateral thalami</t>
  </si>
  <si>
    <t>Sadashiv Sanas</t>
  </si>
  <si>
    <t>Old stroke</t>
  </si>
  <si>
    <t>MCV-85.2</t>
  </si>
  <si>
    <t>Acute non-hemorrhagic cerebral infarcts in right high fronto-parietal region. Chronic lacunar infarct in left corona radiata.</t>
  </si>
  <si>
    <t>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t>
  </si>
  <si>
    <t>Govind Kapse</t>
  </si>
  <si>
    <t>MCV-101.9</t>
  </si>
  <si>
    <t>Small area of restricted diffusion in postero-superior part of right thalamus and posterior genu of the internal capsule suggestive of right thalamo-capsular infarct.</t>
  </si>
  <si>
    <t>A hypodense area in the right peri-ventricular region and posterior limb of right internal capsule consistent with infarct. No hemorrhagic changes are seen.</t>
  </si>
  <si>
    <t>Chavan Lilawati</t>
  </si>
  <si>
    <t>Left putamen and corona radiata acute infarct</t>
  </si>
  <si>
    <t>Ca;cified plaques in both CCAs, left cavernous ICA calcified plaque</t>
  </si>
  <si>
    <t xml:space="preserve">Prakash Pawar </t>
  </si>
  <si>
    <t>MCV-86.9</t>
  </si>
  <si>
    <t>acute stroke in Rt MCa/PCA watershed area</t>
  </si>
  <si>
    <t>thrombosis of Rt internal carotid artery. Acute NHI in rt temporo-parietal lobes, Rt centrum semiovale and Rt corona radiata</t>
  </si>
  <si>
    <t>Bhagwat ratan</t>
  </si>
  <si>
    <t>Lt ACA MCA watershed infarct in posterior wall, Tiny left internal and posterior watershed infarct</t>
  </si>
  <si>
    <t xml:space="preserve">Lt ICA lerated plaque with 90-50% stenosis, Rt ICA 50% stenosis </t>
  </si>
  <si>
    <t>KUMBHOR KAMAABAI DAGDA</t>
  </si>
  <si>
    <t>MCV=91.2,VIT D= 7.3</t>
  </si>
  <si>
    <t>RIGHT MCA INFARCT INFERIOR DEVISION</t>
  </si>
  <si>
    <t>Arun Chichalkar</t>
  </si>
  <si>
    <t>Navgire Omkar</t>
  </si>
  <si>
    <t>no cta</t>
  </si>
  <si>
    <t xml:space="preserve">Prakash Marne </t>
  </si>
  <si>
    <t>Subacute hypodensitis with loss of grey white matter differentitation in the lt frontal region consistant with known infarct. No hemorrhagic trnaformation of infarct noted</t>
  </si>
  <si>
    <t>vinayak kakade</t>
  </si>
  <si>
    <t>Ashwini Tamhankar</t>
  </si>
  <si>
    <t>Shrirang Jadhav 231200200</t>
  </si>
  <si>
    <t>left internal watershed infarct</t>
  </si>
  <si>
    <t>ledt ica occluded from origin rt iCA supraclinoid stenosis present minimal basilar narrowing</t>
  </si>
  <si>
    <t>Vinod Shinde</t>
  </si>
  <si>
    <t>Hyperacute non-hemorrhagic infarcts in right fronto-parietal region and right occipital region</t>
  </si>
  <si>
    <t>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t>
  </si>
  <si>
    <t>Sindhub Sonawane</t>
  </si>
  <si>
    <t>Right caudate and putamen infarct</t>
  </si>
  <si>
    <t>No CTA</t>
  </si>
  <si>
    <t>Kishor Deshmukh</t>
  </si>
  <si>
    <t>Santosh Shinde</t>
  </si>
  <si>
    <t>no CTA</t>
  </si>
  <si>
    <t>Nursing shinde</t>
  </si>
  <si>
    <t>H/O of stroke detected on imaging same territory</t>
  </si>
  <si>
    <t>left caudate nucleus, lt putamen, lt frontal and Basifrontal infarct</t>
  </si>
  <si>
    <t xml:space="preserve">M1 left MCA and A1 segment of left ACA are irregular. Paucity of the brancus in lt MCA seen. Lt MCA occluded with distal reformation. Hypodense intimal flap seen with pastro lateral wall of kt ICA extending suspicious for dissection </t>
  </si>
  <si>
    <t>Angio unable to download</t>
  </si>
  <si>
    <t>Ashok VAiral</t>
  </si>
  <si>
    <t>B/L lower limb Elephantosis</t>
  </si>
  <si>
    <t xml:space="preserve">Acute lrft peri-rolandic NHI. Punctate NHI in insular cortx and high frontal lobe white matter </t>
  </si>
  <si>
    <t>NHI in ACA-MCA watershed lt IJV thrombosis. mild paucity in cortical branches of M4 segment of Lt MCA</t>
  </si>
  <si>
    <t xml:space="preserve">Mandhar Zurekar </t>
  </si>
  <si>
    <t>old H/O TIA</t>
  </si>
  <si>
    <t>Acute NHI in right fronto parieto temporal region</t>
  </si>
  <si>
    <t>an intimal flap in left carotid bulb with hypodense non enhancing thrombus seen extending into UCA for a length of 2.6cm with approx 50% luminal compromise</t>
  </si>
  <si>
    <t>hospital number to check</t>
  </si>
  <si>
    <t>Vandana Dhakad</t>
  </si>
  <si>
    <t>new onset CKD</t>
  </si>
  <si>
    <t>rt MCA PCA watershed infarct</t>
  </si>
  <si>
    <t>Revansidd Birajdar</t>
  </si>
  <si>
    <t>Wakeup stroke 07:30Am</t>
  </si>
  <si>
    <t>Left anterior Choroidal artery infarct</t>
  </si>
  <si>
    <t>left terminal ICA thrombosis</t>
  </si>
  <si>
    <t>Post lysis bleed</t>
  </si>
  <si>
    <t>Shinde Dyandev</t>
  </si>
  <si>
    <t>Acute infarct in right insula and fronto-parietal cortex</t>
  </si>
  <si>
    <t>Diffuse narrowing of M1 portion of right MCA with paucity of distal branches</t>
  </si>
  <si>
    <t>Rajesh Shah</t>
  </si>
  <si>
    <t>Maruti Waghe</t>
  </si>
  <si>
    <t>Hyper acute to acute infarct in Lt fronto-parieto-Temporal lobes and Lt basal ganglia</t>
  </si>
  <si>
    <t>parvati saste</t>
  </si>
  <si>
    <t>unable to download</t>
  </si>
  <si>
    <t xml:space="preserve">Laxmibai More </t>
  </si>
  <si>
    <t>Lt posterior limb of internal capsule and lt centrum semiovale</t>
  </si>
  <si>
    <t>Ramchandra matne</t>
  </si>
  <si>
    <t>MCV-90.7</t>
  </si>
  <si>
    <t>Left periventricular and left corona radiata infarct</t>
  </si>
  <si>
    <t>Navghane Mahadev</t>
  </si>
  <si>
    <t>Rajendra nabge</t>
  </si>
  <si>
    <t>MCV-94.1</t>
  </si>
  <si>
    <t>NHI in lt lentiform nucleus and left caudate neucleus. eccentric hypodense thrombotic plaque involving lt carotid bulb and origin of lt ICA causing approx-95% thrombus externals for a length of 16.5mm</t>
  </si>
  <si>
    <t xml:space="preserve">The cervical and lacerum segments of lt ICA are narrow. There is thrombosis of cavernous segment of lt ICa with reformation of supraclinois segment </t>
  </si>
  <si>
    <t>Savitra Tambat</t>
  </si>
  <si>
    <t xml:space="preserve">Wankhede Pralhad </t>
  </si>
  <si>
    <t>MCV-87</t>
  </si>
  <si>
    <t>Right PCA-MCA watershed infarct</t>
  </si>
  <si>
    <t>Paucity of rt MCA cortical branches</t>
  </si>
  <si>
    <t>Shalini Salvi</t>
  </si>
  <si>
    <t>wakeup stroke</t>
  </si>
  <si>
    <t>infarct in lt corona radiata, body of lt caudate nucleus and lt posterior putamen small vessel ischemic changes with large related atrophy</t>
  </si>
  <si>
    <t>mild paucity of cortical branches of both MCa's. M3 segment of lt MCAis irregularities MRa study reveals no significant abnormalities</t>
  </si>
  <si>
    <t xml:space="preserve">Hosen Amzeed </t>
  </si>
  <si>
    <t>Past H/O of stroke - Old Rt MCA/PCA watershed infarct, COPD</t>
  </si>
  <si>
    <t>Rt MCA/ACA watershed infarct</t>
  </si>
  <si>
    <t>A/c NHI in the cortical amd subcortical white matter</t>
  </si>
  <si>
    <t>Suresh Shirolkar</t>
  </si>
  <si>
    <t>MCV-66.7</t>
  </si>
  <si>
    <t>infarct in lt frontal lobe, and lacunar infarct in basal ganglia</t>
  </si>
  <si>
    <t>TARABAI KALASKAR</t>
  </si>
  <si>
    <t>Dagadubai Walung</t>
  </si>
  <si>
    <t>Sushila Dhamal</t>
  </si>
  <si>
    <t>TB-on AKT (07/01/2023) and Status epilepticus</t>
  </si>
  <si>
    <t>MCV-84.2</t>
  </si>
  <si>
    <t>NHI in Rt centrum semiovale and chronic microhaemorrhages in B/L FTP-occipital region</t>
  </si>
  <si>
    <t>Atherosclerotic changes involving intracranial and neck arteries</t>
  </si>
  <si>
    <t>Aruna Jadhav</t>
  </si>
  <si>
    <t>OPD patient</t>
  </si>
  <si>
    <t>Rt putamen and corona radiata infarct</t>
  </si>
  <si>
    <t>Rt M1 stenosis (Minimal). Lt communicating internal carotid artery stenosis</t>
  </si>
  <si>
    <t>Suman Gaikwad</t>
  </si>
  <si>
    <t>cardioembolic stroke</t>
  </si>
  <si>
    <t>Rt &gt; Left coroa radiata infarct</t>
  </si>
  <si>
    <t>calcified atherosclerotic changes in arch of aorta, B/L CCA just proximal to the bifurcation and in the supraclinoid segment of B/L ICA not causing significant luminal compromise</t>
  </si>
  <si>
    <t>Sheetal Wakankar</t>
  </si>
  <si>
    <t>NIHSS- 1-10 (capsular warning sign)</t>
  </si>
  <si>
    <t>MCV-93.6</t>
  </si>
  <si>
    <t>Acute non hemorrhagic infarcts in left lateral thalamus and periventricular white matter</t>
  </si>
  <si>
    <t>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t>
  </si>
  <si>
    <t>Jamuna Pawar</t>
  </si>
  <si>
    <t xml:space="preserve">Lt posterior limb internal capsule infarct and lt caudate nucleus infarct </t>
  </si>
  <si>
    <t>Ranbhise Usha</t>
  </si>
  <si>
    <t>Past H/o Stroke, Vit D deficinecy</t>
  </si>
  <si>
    <t xml:space="preserve">acute NHI in left frontal corpus collateral </t>
  </si>
  <si>
    <t>Sunil Nawale</t>
  </si>
  <si>
    <t>Rt MCA infarct with M1 occlusion. Acute NHI in right frontal temporal lobe, rt Ganglio capsular region, and rt periventricular region. Lacunar infarct in B/L centrum semiovale and corona radiata</t>
  </si>
  <si>
    <t>Dhondiram Mule</t>
  </si>
  <si>
    <t>old H/O stroke in 2012, not on antiplatelets, NIHSS unable to assess, urosepsis + Shock + AKI on CKD, E2V2M5</t>
  </si>
  <si>
    <t xml:space="preserve">Small right frontal infarct </t>
  </si>
  <si>
    <t>Nandkumar Ranawade</t>
  </si>
  <si>
    <t>?CKD, AKI</t>
  </si>
  <si>
    <t>MCV-94,Platelets-34000,urea-142,creat-7.02,</t>
  </si>
  <si>
    <t>Acute infarct in right frontal and left parietal lobes</t>
  </si>
  <si>
    <t>not done</t>
  </si>
  <si>
    <t>Tanubai Gole</t>
  </si>
  <si>
    <t>CKD</t>
  </si>
  <si>
    <t>Rt ACA watershed infarct</t>
  </si>
  <si>
    <t xml:space="preserve">Gopal Jadyal </t>
  </si>
  <si>
    <t xml:space="preserve">Operated inguilinal hernia (3/12/2022) </t>
  </si>
  <si>
    <t xml:space="preserve">Tiny lacunar infarct in RT Ganglio Capsular region </t>
  </si>
  <si>
    <t>Mangal Marathe</t>
  </si>
  <si>
    <t>Large area of hypoateneuation with loss of grey white differeniation in Rt FTP lobe and Rt GC region consistent with rt MCA infarct. Hyperdense rt MCA sigh+. midline shift of 6.4mm and mild rt medial uncal herniation</t>
  </si>
  <si>
    <t>outcome good 1&lt;=2, poor 2 &gt;=3</t>
  </si>
  <si>
    <t>outcomes good 1 &lt;=2; poor 2 &gt;=3</t>
  </si>
  <si>
    <t>OLD CVA 2 CUTS 8 YEARS AGO, 4 YEARS AGO</t>
  </si>
  <si>
    <t>LEFT MCA INFARCT WITH HEMORRHAGIC TRANSFORMATION AND MIDLINE SHIFT</t>
  </si>
  <si>
    <t>LEFT DISTAL M1 BLOCK</t>
  </si>
  <si>
    <t>VIJAY DATTATRAY BHILANE</t>
  </si>
  <si>
    <t>LEFT PCA MCA WATERSHED INFARCT</t>
  </si>
  <si>
    <t>LEFT ICA CAVERNOUS, SUPRA CLINOID AND TERMINAL SEGMENTS SEVERE LUMINAL NARROWING &gt; 90%</t>
  </si>
  <si>
    <t>CHAVAN SHIVAJI</t>
  </si>
  <si>
    <t>LEFT CORONA RADIATA INFARCT &amp; POSTERIOR LIMB OF INTERNAL CAPSULE</t>
  </si>
  <si>
    <t>LEFT M2 DISTAL STENOSIS</t>
  </si>
  <si>
    <t>CHANDRABHAGABAI GITE</t>
  </si>
  <si>
    <t>RIGHT ACA MCA, MCA PCA &amp; INTERNAL WATERSHED INFARCT</t>
  </si>
  <si>
    <t>RIGHT ICA ORIGIN 90% STENOSIS &amp; RIGHT M1 STENOSIS, TANDOM STENOSIS</t>
  </si>
  <si>
    <t>MARGAJE MALAN</t>
  </si>
  <si>
    <t>TINY LEEFT FRONTAL INFARCT</t>
  </si>
  <si>
    <t>LEFT M1 STENOSIS</t>
  </si>
  <si>
    <t>CTA NOT DONE</t>
  </si>
  <si>
    <t>VIDHATE TANAJI</t>
  </si>
  <si>
    <t>GCS E1VTM5</t>
  </si>
  <si>
    <t>RIGHT MCA AND ACA INFARCT</t>
  </si>
  <si>
    <t>NOT DONE</t>
  </si>
  <si>
    <t>collateral to do</t>
  </si>
  <si>
    <t>i</t>
  </si>
  <si>
    <t>done</t>
  </si>
  <si>
    <t>PARVATI SASHTE</t>
  </si>
  <si>
    <t>good</t>
  </si>
  <si>
    <t>poor</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</si>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</sst>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m\.yy;@"/>
  </numFmts>
  <fonts count="2" x14ac:knownFonts="1">
    <font>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1" fontId="0" fillId="0" borderId="0" xfId="0" applyNumberFormat="1"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3" borderId="0" xfId="0" applyFill="1" applyAlignment="1">
      <alignment horizontal="center" vertical="center"/>
    </xf>
    <xf numFmtId="1" fontId="0" fillId="3" borderId="0" xfId="0" applyNumberFormat="1" applyFill="1" applyAlignment="1">
      <alignment horizontal="center" vertical="center"/>
    </xf>
    <xf numFmtId="164" fontId="0" fillId="3" borderId="0" xfId="0" applyNumberFormat="1" applyFill="1" applyAlignment="1">
      <alignment horizontal="center" vertical="center"/>
    </xf>
    <xf numFmtId="21" fontId="0" fillId="0" borderId="0" xfId="0" applyNumberFormat="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164" fontId="1" fillId="0" borderId="0" xfId="0" applyNumberFormat="1" applyFont="1" applyAlignment="1">
      <alignment horizontal="center" vertical="center"/>
    </xf>
    <xf numFmtId="20" fontId="1" fillId="0" borderId="0" xfId="0" applyNumberFormat="1" applyFont="1" applyAlignment="1">
      <alignment horizontal="center" vertical="center"/>
    </xf>
    <xf numFmtId="21" fontId="1" fillId="0" borderId="0" xfId="0" applyNumberFormat="1" applyFont="1" applyAlignment="1">
      <alignment horizontal="center" vertical="center"/>
    </xf>
    <xf numFmtId="0" fontId="0" fillId="4" borderId="0" xfId="0" applyFill="1" applyAlignment="1">
      <alignment horizontal="center" vertical="center"/>
    </xf>
    <xf numFmtId="1" fontId="0" fillId="4" borderId="0" xfId="0" applyNumberFormat="1" applyFill="1" applyAlignment="1">
      <alignment horizontal="center" vertical="center"/>
    </xf>
    <xf numFmtId="164" fontId="0" fillId="4" borderId="0" xfId="0" applyNumberFormat="1" applyFill="1" applyAlignment="1">
      <alignment horizontal="center" vertical="center"/>
    </xf>
    <xf numFmtId="20" fontId="0" fillId="0" borderId="0" xfId="0" applyNumberFormat="1" applyAlignment="1">
      <alignment horizontal="center" vertical="center"/>
    </xf>
    <xf numFmtId="0" fontId="0" fillId="5" borderId="0" xfId="0" applyFill="1" applyAlignment="1">
      <alignment horizontal="center" vertical="center"/>
    </xf>
    <xf numFmtId="0" fontId="0" fillId="0" borderId="0" xfId="0" applyAlignment="1">
      <alignment horizontal="center"/>
    </xf>
    <xf numFmtId="164" fontId="0" fillId="0" borderId="0" xfId="0" applyNumberFormat="1" applyAlignment="1">
      <alignment horizontal="center"/>
    </xf>
    <xf numFmtId="21"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cer\Desktop\PhD%20Data%20-%2025-08-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cer\Documents\U206\Users\acer\Desktop\PhD%20Data%20-%2025-08-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D Data 214"/>
      <sheetName val="All param complete 25082024"/>
      <sheetName val="24-8-24 DATA ENTRY"/>
      <sheetName val="Sheet2"/>
      <sheetName val="Sheet1"/>
    </sheetNames>
    <sheetDataSet>
      <sheetData sheetId="0"/>
      <sheetData sheetId="1"/>
      <sheetData sheetId="2">
        <row r="1">
          <cell r="A1" t="str">
            <v>Name</v>
          </cell>
          <cell r="B1" t="str">
            <v>Stroke volume</v>
          </cell>
          <cell r="C1" t="str">
            <v>PRN</v>
          </cell>
          <cell r="D1" t="str">
            <v>age</v>
          </cell>
          <cell r="E1" t="str">
            <v>gender</v>
          </cell>
          <cell r="F1" t="str">
            <v>date of onset</v>
          </cell>
          <cell r="G1" t="str">
            <v>time of onset</v>
          </cell>
          <cell r="H1" t="str">
            <v>date of admission</v>
          </cell>
          <cell r="I1" t="str">
            <v>date of discharge</v>
          </cell>
          <cell r="J1" t="str">
            <v>cell1</v>
          </cell>
          <cell r="K1" t="str">
            <v>cell2</v>
          </cell>
          <cell r="L1" t="str">
            <v>NIHSS</v>
          </cell>
          <cell r="M1" t="str">
            <v>SHT</v>
          </cell>
          <cell r="N1" t="str">
            <v>DM</v>
          </cell>
          <cell r="O1" t="str">
            <v>Alcohol</v>
          </cell>
          <cell r="P1" t="str">
            <v>smoking</v>
          </cell>
          <cell r="Q1" t="str">
            <v>tobacco</v>
          </cell>
          <cell r="R1" t="str">
            <v>dyslipidaemia</v>
          </cell>
          <cell r="S1" t="str">
            <v>atrial fibrillation</v>
          </cell>
          <cell r="T1" t="str">
            <v>IHD</v>
          </cell>
          <cell r="U1" t="str">
            <v>rheumatic heart disease</v>
          </cell>
          <cell r="V1" t="str">
            <v>other risk factors</v>
          </cell>
          <cell r="W1" t="str">
            <v>haemoglobin</v>
          </cell>
          <cell r="X1" t="str">
            <v>PCV</v>
          </cell>
          <cell r="Y1" t="str">
            <v>MCV</v>
          </cell>
          <cell r="Z1" t="str">
            <v>Homocystiene</v>
          </cell>
          <cell r="AA1" t="str">
            <v>HbA1C</v>
          </cell>
          <cell r="AB1" t="str">
            <v>Cholesterol</v>
          </cell>
          <cell r="AC1" t="str">
            <v>LDL cholesterol</v>
          </cell>
          <cell r="AD1" t="str">
            <v>HDL Cholesterol</v>
          </cell>
          <cell r="AE1" t="str">
            <v>Triglycerides</v>
          </cell>
          <cell r="AF1" t="str">
            <v>V LDL</v>
          </cell>
          <cell r="AG1" t="str">
            <v>b 12</v>
          </cell>
          <cell r="AH1" t="str">
            <v>other investigations</v>
          </cell>
          <cell r="AI1" t="str">
            <v>strokevolume</v>
          </cell>
          <cell r="AJ1" t="str">
            <v>MRI Brain</v>
          </cell>
          <cell r="AK1" t="str">
            <v>CT Angiography</v>
          </cell>
          <cell r="AL1" t="str">
            <v>V53</v>
          </cell>
          <cell r="AM1" t="str">
            <v>CT ASPECTS</v>
          </cell>
          <cell r="AN1" t="str">
            <v>TAN</v>
          </cell>
          <cell r="AO1" t="str">
            <v>MAS</v>
          </cell>
          <cell r="AP1" t="str">
            <v>MITEFF</v>
          </cell>
          <cell r="AQ1" t="str">
            <v>MCTA</v>
          </cell>
          <cell r="AR1" t="str">
            <v>V54</v>
          </cell>
          <cell r="AS1" t="str">
            <v>ecosprine</v>
          </cell>
          <cell r="AT1" t="str">
            <v>clopidogril</v>
          </cell>
          <cell r="AU1" t="str">
            <v>thrombolysis</v>
          </cell>
          <cell r="AV1" t="str">
            <v>thrombolytic agent</v>
          </cell>
          <cell r="AW1" t="str">
            <v>anticoagulation</v>
          </cell>
          <cell r="AX1" t="str">
            <v>mechanical thrombectomy</v>
          </cell>
          <cell r="AY1" t="str">
            <v>decompressive hemicranectomy</v>
          </cell>
          <cell r="AZ1" t="str">
            <v>MRS</v>
          </cell>
          <cell r="BA1" t="str">
            <v>barthel index</v>
          </cell>
          <cell r="BB1" t="str">
            <v>Rt infraclinoid ICA</v>
          </cell>
          <cell r="BC1" t="str">
            <v>Rt Supraclinoid ICA</v>
          </cell>
          <cell r="BD1" t="str">
            <v>Rt Proximal M1 MCA</v>
          </cell>
          <cell r="BE1" t="str">
            <v>Rt Distal M1 MCA</v>
          </cell>
          <cell r="BF1" t="str">
            <v>Rt M2MCA rear</v>
          </cell>
          <cell r="BG1" t="str">
            <v>Rt M2 MCA forward</v>
          </cell>
          <cell r="BH1" t="str">
            <v>Rt A1 ACA</v>
          </cell>
          <cell r="BI1" t="str">
            <v>Lt infraclinoid ICA</v>
          </cell>
          <cell r="BJ1" t="str">
            <v>Lt Supraclinoid ICA</v>
          </cell>
          <cell r="BK1" t="str">
            <v>Lt Proximal M1 MCA</v>
          </cell>
          <cell r="BL1" t="str">
            <v>Lt Distal M1 MCA</v>
          </cell>
          <cell r="BM1" t="str">
            <v>Lt M2MCA rear</v>
          </cell>
          <cell r="BN1" t="str">
            <v>Lt M2 MCA forward</v>
          </cell>
          <cell r="BO1" t="str">
            <v>Lt A1 ACA</v>
          </cell>
          <cell r="BP1" t="str">
            <v>clot burden score</v>
          </cell>
          <cell r="BQ1" t="str">
            <v>Lt ICA origin</v>
          </cell>
          <cell r="BR1" t="str">
            <v>Rt ICA origin</v>
          </cell>
        </row>
        <row r="2">
          <cell r="A2" t="str">
            <v>Bhanage Keshav Pandurang</v>
          </cell>
          <cell r="C2">
            <v>220602866</v>
          </cell>
          <cell r="D2">
            <v>80</v>
          </cell>
          <cell r="E2">
            <v>1</v>
          </cell>
          <cell r="H2">
            <v>44732</v>
          </cell>
          <cell r="I2">
            <v>44747</v>
          </cell>
          <cell r="J2">
            <v>9822894046</v>
          </cell>
          <cell r="L2">
            <v>6</v>
          </cell>
          <cell r="M2">
            <v>1</v>
          </cell>
          <cell r="N2">
            <v>2</v>
          </cell>
          <cell r="O2">
            <v>2</v>
          </cell>
          <cell r="P2">
            <v>2</v>
          </cell>
          <cell r="Q2">
            <v>1</v>
          </cell>
          <cell r="R2">
            <v>2</v>
          </cell>
          <cell r="S2">
            <v>2</v>
          </cell>
          <cell r="T2">
            <v>2</v>
          </cell>
          <cell r="U2">
            <v>2</v>
          </cell>
          <cell r="V2" t="str">
            <v>Covid 19 +ve 05/07/2022</v>
          </cell>
          <cell r="W2">
            <v>13.2</v>
          </cell>
          <cell r="X2">
            <v>41</v>
          </cell>
          <cell r="Z2">
            <v>43.6</v>
          </cell>
          <cell r="AA2">
            <v>10.6</v>
          </cell>
          <cell r="AB2">
            <v>177</v>
          </cell>
          <cell r="AC2">
            <v>100</v>
          </cell>
          <cell r="AD2">
            <v>35</v>
          </cell>
          <cell r="AF2">
            <v>210</v>
          </cell>
          <cell r="AK2" t="str">
            <v>Rt MCA infarct , Rt ICA Calcified atherosclerotic changes</v>
          </cell>
          <cell r="AM2">
            <v>7</v>
          </cell>
          <cell r="AN2">
            <v>1</v>
          </cell>
          <cell r="AO2">
            <v>4</v>
          </cell>
          <cell r="AP2">
            <v>3</v>
          </cell>
          <cell r="AQ2">
            <v>5</v>
          </cell>
          <cell r="AS2">
            <v>1</v>
          </cell>
          <cell r="AT2">
            <v>1</v>
          </cell>
          <cell r="AU2">
            <v>2</v>
          </cell>
          <cell r="AV2">
            <v>4</v>
          </cell>
          <cell r="AW2">
            <v>8</v>
          </cell>
          <cell r="AX2">
            <v>2</v>
          </cell>
          <cell r="AY2">
            <v>2</v>
          </cell>
          <cell r="AZ2">
            <v>1</v>
          </cell>
          <cell r="BA2">
            <v>90</v>
          </cell>
        </row>
        <row r="3">
          <cell r="A3" t="str">
            <v>Basutkar Shrikant Laxman</v>
          </cell>
          <cell r="C3">
            <v>220700250</v>
          </cell>
          <cell r="D3">
            <v>65</v>
          </cell>
          <cell r="E3">
            <v>1</v>
          </cell>
          <cell r="H3">
            <v>44745</v>
          </cell>
          <cell r="I3">
            <v>44748</v>
          </cell>
          <cell r="J3">
            <v>8329592331</v>
          </cell>
          <cell r="L3">
            <v>9</v>
          </cell>
          <cell r="M3">
            <v>1</v>
          </cell>
          <cell r="N3">
            <v>1</v>
          </cell>
          <cell r="O3">
            <v>2</v>
          </cell>
          <cell r="P3">
            <v>2</v>
          </cell>
          <cell r="Q3">
            <v>2</v>
          </cell>
          <cell r="R3">
            <v>2</v>
          </cell>
          <cell r="S3">
            <v>2</v>
          </cell>
          <cell r="T3">
            <v>2</v>
          </cell>
          <cell r="U3">
            <v>2</v>
          </cell>
          <cell r="V3" t="str">
            <v>Old stroke Rt MCA infarct</v>
          </cell>
          <cell r="W3">
            <v>13</v>
          </cell>
          <cell r="X3">
            <v>39.1</v>
          </cell>
          <cell r="Z3">
            <v>20.04</v>
          </cell>
          <cell r="AA3">
            <v>6</v>
          </cell>
          <cell r="AB3">
            <v>117</v>
          </cell>
          <cell r="AC3">
            <v>61</v>
          </cell>
          <cell r="AD3">
            <v>38</v>
          </cell>
          <cell r="AF3">
            <v>89</v>
          </cell>
          <cell r="AH3" t="str">
            <v>Creat-1.12</v>
          </cell>
          <cell r="AJ3" t="str">
            <v xml:space="preserve">Rt FTP Corona Radiata SPLIC infarct, Rt MCA M1 mild narrowing, Rt ICA origin,partial occluding thrombus. </v>
          </cell>
          <cell r="AK3" t="str">
            <v xml:space="preserve">M1 Rt MCA narrow Rt more than left paucity Rt ICA 40-50% stenosis </v>
          </cell>
          <cell r="AM3">
            <v>9</v>
          </cell>
          <cell r="AN3">
            <v>1</v>
          </cell>
          <cell r="AO3">
            <v>4</v>
          </cell>
          <cell r="AP3">
            <v>3</v>
          </cell>
          <cell r="AQ3">
            <v>5</v>
          </cell>
          <cell r="AS3">
            <v>1</v>
          </cell>
          <cell r="AT3">
            <v>1</v>
          </cell>
          <cell r="AU3">
            <v>2</v>
          </cell>
          <cell r="AV3">
            <v>4</v>
          </cell>
          <cell r="AW3">
            <v>8</v>
          </cell>
          <cell r="AX3">
            <v>2</v>
          </cell>
          <cell r="AY3">
            <v>2</v>
          </cell>
          <cell r="AZ3">
            <v>0</v>
          </cell>
          <cell r="BA3">
            <v>100</v>
          </cell>
        </row>
        <row r="4">
          <cell r="A4" t="str">
            <v>Pravin Dhumal Babanrao</v>
          </cell>
          <cell r="C4">
            <v>220701846</v>
          </cell>
          <cell r="D4">
            <v>48</v>
          </cell>
          <cell r="E4">
            <v>1</v>
          </cell>
          <cell r="H4">
            <v>44757</v>
          </cell>
          <cell r="I4">
            <v>44619</v>
          </cell>
          <cell r="J4">
            <v>9373056764</v>
          </cell>
          <cell r="L4">
            <v>21</v>
          </cell>
          <cell r="M4">
            <v>2</v>
          </cell>
          <cell r="N4">
            <v>2</v>
          </cell>
          <cell r="O4">
            <v>1</v>
          </cell>
          <cell r="P4">
            <v>1</v>
          </cell>
          <cell r="Q4">
            <v>1</v>
          </cell>
          <cell r="R4">
            <v>2</v>
          </cell>
          <cell r="S4">
            <v>2</v>
          </cell>
          <cell r="T4">
            <v>2</v>
          </cell>
          <cell r="U4">
            <v>2</v>
          </cell>
          <cell r="W4">
            <v>10.8</v>
          </cell>
          <cell r="AA4">
            <v>5.7</v>
          </cell>
          <cell r="AB4">
            <v>90</v>
          </cell>
          <cell r="AC4">
            <v>29.6</v>
          </cell>
          <cell r="AD4">
            <v>43</v>
          </cell>
          <cell r="AF4">
            <v>87</v>
          </cell>
          <cell r="AG4">
            <v>298</v>
          </cell>
          <cell r="AJ4" t="str">
            <v>Left MCA Left ACA thrombus, Left FTP infarct</v>
          </cell>
          <cell r="AK4" t="str">
            <v>Left ICA suprachlonoid thrombus, Left MCA and A1 ACA occlusion</v>
          </cell>
          <cell r="AM4">
            <v>2</v>
          </cell>
          <cell r="AN4">
            <v>2</v>
          </cell>
          <cell r="AO4">
            <v>2</v>
          </cell>
          <cell r="AP4">
            <v>1</v>
          </cell>
          <cell r="AQ4">
            <v>2</v>
          </cell>
          <cell r="AS4">
            <v>1</v>
          </cell>
          <cell r="AT4">
            <v>2</v>
          </cell>
          <cell r="AU4">
            <v>2</v>
          </cell>
          <cell r="AV4">
            <v>4</v>
          </cell>
          <cell r="AW4">
            <v>8</v>
          </cell>
          <cell r="AX4">
            <v>1</v>
          </cell>
          <cell r="AY4">
            <v>2</v>
          </cell>
          <cell r="AZ4">
            <v>2</v>
          </cell>
          <cell r="BA4">
            <v>80</v>
          </cell>
        </row>
        <row r="5">
          <cell r="A5" t="str">
            <v>Bhausaheb Gawali</v>
          </cell>
          <cell r="C5">
            <v>130700886</v>
          </cell>
          <cell r="D5">
            <v>42</v>
          </cell>
          <cell r="E5">
            <v>1</v>
          </cell>
          <cell r="H5">
            <v>44761</v>
          </cell>
          <cell r="I5">
            <v>44793</v>
          </cell>
          <cell r="J5">
            <v>8149566554</v>
          </cell>
          <cell r="L5">
            <v>22</v>
          </cell>
          <cell r="M5">
            <v>1</v>
          </cell>
          <cell r="N5">
            <v>2</v>
          </cell>
          <cell r="O5">
            <v>1</v>
          </cell>
          <cell r="P5">
            <v>2</v>
          </cell>
          <cell r="Q5">
            <v>2</v>
          </cell>
          <cell r="R5">
            <v>2</v>
          </cell>
          <cell r="S5">
            <v>2</v>
          </cell>
          <cell r="T5">
            <v>1</v>
          </cell>
          <cell r="U5">
            <v>2</v>
          </cell>
          <cell r="V5" t="str">
            <v>old post circulation stroke in 2016</v>
          </cell>
          <cell r="W5">
            <v>12.9</v>
          </cell>
          <cell r="X5">
            <v>34.6</v>
          </cell>
          <cell r="Z5">
            <v>29.76</v>
          </cell>
          <cell r="AA5">
            <v>5.8</v>
          </cell>
          <cell r="AB5">
            <v>166</v>
          </cell>
          <cell r="AC5">
            <v>111.6</v>
          </cell>
          <cell r="AD5">
            <v>25</v>
          </cell>
          <cell r="AF5">
            <v>147</v>
          </cell>
          <cell r="AG5">
            <v>176</v>
          </cell>
          <cell r="AK5" t="str">
            <v>Left MCA Infarct, M2 Cutoff</v>
          </cell>
          <cell r="AM5">
            <v>7</v>
          </cell>
          <cell r="AN5">
            <v>2</v>
          </cell>
          <cell r="AO5">
            <v>3</v>
          </cell>
          <cell r="AP5">
            <v>2</v>
          </cell>
          <cell r="AQ5">
            <v>4</v>
          </cell>
          <cell r="AS5">
            <v>1</v>
          </cell>
          <cell r="AT5">
            <v>2</v>
          </cell>
          <cell r="AU5">
            <v>1</v>
          </cell>
          <cell r="AV5">
            <v>1</v>
          </cell>
          <cell r="AW5">
            <v>8</v>
          </cell>
          <cell r="AX5">
            <v>1</v>
          </cell>
          <cell r="AY5">
            <v>2</v>
          </cell>
          <cell r="AZ5">
            <v>1</v>
          </cell>
          <cell r="BA5">
            <v>100</v>
          </cell>
        </row>
        <row r="6">
          <cell r="A6" t="str">
            <v>Bhalerao Prabhakar Vitthal</v>
          </cell>
          <cell r="C6">
            <v>220902971</v>
          </cell>
          <cell r="D6">
            <v>75</v>
          </cell>
          <cell r="E6">
            <v>1</v>
          </cell>
          <cell r="H6">
            <v>44820</v>
          </cell>
          <cell r="I6">
            <v>44821</v>
          </cell>
          <cell r="J6">
            <v>9767392022</v>
          </cell>
          <cell r="K6">
            <v>9623543863</v>
          </cell>
          <cell r="L6">
            <v>21</v>
          </cell>
          <cell r="M6">
            <v>1</v>
          </cell>
          <cell r="N6">
            <v>1</v>
          </cell>
          <cell r="O6">
            <v>2</v>
          </cell>
          <cell r="P6">
            <v>2</v>
          </cell>
          <cell r="Q6">
            <v>2</v>
          </cell>
          <cell r="R6">
            <v>2</v>
          </cell>
          <cell r="S6">
            <v>1</v>
          </cell>
          <cell r="T6">
            <v>1</v>
          </cell>
          <cell r="U6">
            <v>2</v>
          </cell>
          <cell r="W6">
            <v>13.4</v>
          </cell>
          <cell r="Z6">
            <v>32</v>
          </cell>
          <cell r="AA6">
            <v>7.8</v>
          </cell>
          <cell r="AB6">
            <v>96</v>
          </cell>
          <cell r="AC6">
            <v>36.6</v>
          </cell>
          <cell r="AD6">
            <v>34</v>
          </cell>
          <cell r="AF6">
            <v>127</v>
          </cell>
          <cell r="AK6" t="str">
            <v>Left MCA infarct, 3.1mm MLS</v>
          </cell>
          <cell r="AM6">
            <v>3</v>
          </cell>
          <cell r="AS6">
            <v>2</v>
          </cell>
          <cell r="AT6">
            <v>2</v>
          </cell>
          <cell r="AU6">
            <v>2</v>
          </cell>
          <cell r="AV6">
            <v>4</v>
          </cell>
          <cell r="AW6">
            <v>1</v>
          </cell>
          <cell r="AX6">
            <v>2</v>
          </cell>
          <cell r="AY6">
            <v>2</v>
          </cell>
          <cell r="AZ6">
            <v>5</v>
          </cell>
          <cell r="BA6">
            <v>20</v>
          </cell>
        </row>
        <row r="7">
          <cell r="A7" t="str">
            <v>Ankush Patil Khaswaba</v>
          </cell>
          <cell r="C7">
            <v>110402124</v>
          </cell>
          <cell r="D7">
            <v>51</v>
          </cell>
          <cell r="E7">
            <v>1</v>
          </cell>
          <cell r="H7">
            <v>44916</v>
          </cell>
          <cell r="I7">
            <v>44921</v>
          </cell>
          <cell r="J7">
            <v>9096943319</v>
          </cell>
          <cell r="K7">
            <v>7028841200</v>
          </cell>
          <cell r="L7">
            <v>12</v>
          </cell>
          <cell r="M7">
            <v>2</v>
          </cell>
          <cell r="N7">
            <v>1</v>
          </cell>
          <cell r="O7">
            <v>1</v>
          </cell>
          <cell r="P7">
            <v>1</v>
          </cell>
          <cell r="Q7">
            <v>2</v>
          </cell>
          <cell r="R7">
            <v>2</v>
          </cell>
          <cell r="S7">
            <v>2</v>
          </cell>
          <cell r="T7">
            <v>2</v>
          </cell>
          <cell r="U7">
            <v>2</v>
          </cell>
          <cell r="W7">
            <v>13.3</v>
          </cell>
          <cell r="X7">
            <v>41.5</v>
          </cell>
          <cell r="Z7">
            <v>30.8</v>
          </cell>
          <cell r="AA7">
            <v>8</v>
          </cell>
          <cell r="AG7">
            <v>153</v>
          </cell>
          <cell r="AJ7" t="str">
            <v>Rt ICA thrombosis distal to origin. Rt MCA paucity cortical branch</v>
          </cell>
          <cell r="AK7" t="str">
            <v>Rt ICA occluded mild paucity rt MCA</v>
          </cell>
          <cell r="AM7">
            <v>9</v>
          </cell>
          <cell r="AN7">
            <v>1</v>
          </cell>
          <cell r="AO7">
            <v>3</v>
          </cell>
          <cell r="AP7">
            <v>3</v>
          </cell>
          <cell r="AQ7">
            <v>5</v>
          </cell>
          <cell r="AS7">
            <v>1</v>
          </cell>
          <cell r="AT7">
            <v>1</v>
          </cell>
          <cell r="AU7">
            <v>2</v>
          </cell>
          <cell r="AV7">
            <v>4</v>
          </cell>
          <cell r="AW7">
            <v>4</v>
          </cell>
          <cell r="AX7">
            <v>2</v>
          </cell>
          <cell r="AY7">
            <v>2</v>
          </cell>
          <cell r="AZ7">
            <v>4</v>
          </cell>
          <cell r="BA7">
            <v>50</v>
          </cell>
        </row>
        <row r="8">
          <cell r="A8" t="str">
            <v xml:space="preserve">Bhivraj Lokhande </v>
          </cell>
          <cell r="C8">
            <v>220902571</v>
          </cell>
          <cell r="D8">
            <v>43</v>
          </cell>
          <cell r="E8">
            <v>1</v>
          </cell>
          <cell r="H8">
            <v>44819</v>
          </cell>
          <cell r="I8">
            <v>44846</v>
          </cell>
          <cell r="J8">
            <v>8421096277</v>
          </cell>
          <cell r="L8">
            <v>4</v>
          </cell>
          <cell r="M8">
            <v>1</v>
          </cell>
          <cell r="N8">
            <v>1</v>
          </cell>
          <cell r="O8">
            <v>1</v>
          </cell>
          <cell r="P8">
            <v>2</v>
          </cell>
          <cell r="Q8">
            <v>1</v>
          </cell>
          <cell r="R8">
            <v>2</v>
          </cell>
          <cell r="S8">
            <v>2</v>
          </cell>
          <cell r="T8">
            <v>2</v>
          </cell>
          <cell r="U8">
            <v>2</v>
          </cell>
          <cell r="W8">
            <v>15.2</v>
          </cell>
          <cell r="X8">
            <v>45.1</v>
          </cell>
          <cell r="Z8">
            <v>35.75</v>
          </cell>
          <cell r="AA8">
            <v>13.1</v>
          </cell>
          <cell r="AH8" t="str">
            <v>DSA-normal Heparin and Warf both given to the patient</v>
          </cell>
          <cell r="AK8" t="str">
            <v>Left MCA infarct, M3 cutoff</v>
          </cell>
          <cell r="AM8">
            <v>9</v>
          </cell>
          <cell r="AN8">
            <v>1</v>
          </cell>
          <cell r="AO8">
            <v>3</v>
          </cell>
          <cell r="AP8">
            <v>3</v>
          </cell>
          <cell r="AQ8">
            <v>5</v>
          </cell>
          <cell r="AS8">
            <v>1</v>
          </cell>
          <cell r="AT8">
            <v>1</v>
          </cell>
          <cell r="AU8">
            <v>2</v>
          </cell>
          <cell r="AV8">
            <v>4</v>
          </cell>
          <cell r="AW8">
            <v>1</v>
          </cell>
          <cell r="AX8">
            <v>2</v>
          </cell>
          <cell r="AY8">
            <v>1</v>
          </cell>
          <cell r="AZ8">
            <v>3</v>
          </cell>
          <cell r="BA8">
            <v>70</v>
          </cell>
        </row>
        <row r="9">
          <cell r="A9" t="str">
            <v>Kudale Eknath Abaji</v>
          </cell>
          <cell r="C9">
            <v>120303645</v>
          </cell>
          <cell r="D9">
            <v>70</v>
          </cell>
          <cell r="E9">
            <v>1</v>
          </cell>
          <cell r="H9">
            <v>44877</v>
          </cell>
          <cell r="I9">
            <v>44880</v>
          </cell>
          <cell r="J9">
            <v>9881857664</v>
          </cell>
          <cell r="L9">
            <v>4</v>
          </cell>
          <cell r="M9">
            <v>2</v>
          </cell>
          <cell r="N9">
            <v>2</v>
          </cell>
          <cell r="O9">
            <v>2</v>
          </cell>
          <cell r="P9">
            <v>2</v>
          </cell>
          <cell r="Q9">
            <v>1</v>
          </cell>
          <cell r="R9">
            <v>2</v>
          </cell>
          <cell r="S9">
            <v>2</v>
          </cell>
          <cell r="T9">
            <v>2</v>
          </cell>
          <cell r="U9">
            <v>2</v>
          </cell>
          <cell r="W9">
            <v>14.2</v>
          </cell>
          <cell r="X9">
            <v>41.2</v>
          </cell>
          <cell r="AH9" t="str">
            <v>MCV-97.7</v>
          </cell>
          <cell r="AK9" t="str">
            <v>Left Fronto parietal infarct, Left ICA cervical segment thrombosis C4-C6</v>
          </cell>
          <cell r="AM9">
            <v>9</v>
          </cell>
          <cell r="AN9">
            <v>1</v>
          </cell>
          <cell r="AO9">
            <v>4</v>
          </cell>
          <cell r="AP9">
            <v>3</v>
          </cell>
          <cell r="AQ9">
            <v>5</v>
          </cell>
          <cell r="AS9">
            <v>1</v>
          </cell>
          <cell r="AT9">
            <v>1</v>
          </cell>
          <cell r="AU9">
            <v>2</v>
          </cell>
          <cell r="AV9">
            <v>4</v>
          </cell>
          <cell r="AW9">
            <v>8</v>
          </cell>
          <cell r="AX9">
            <v>2</v>
          </cell>
          <cell r="AY9">
            <v>2</v>
          </cell>
          <cell r="AZ9">
            <v>0</v>
          </cell>
          <cell r="BA9">
            <v>100</v>
          </cell>
        </row>
        <row r="10">
          <cell r="A10" t="str">
            <v>Dhage Yogesh Subhash</v>
          </cell>
          <cell r="C10">
            <v>180100273</v>
          </cell>
          <cell r="D10">
            <v>38</v>
          </cell>
          <cell r="E10">
            <v>1</v>
          </cell>
          <cell r="H10">
            <v>44789</v>
          </cell>
          <cell r="I10">
            <v>44791</v>
          </cell>
          <cell r="J10">
            <v>8022554869</v>
          </cell>
          <cell r="L10">
            <v>3</v>
          </cell>
          <cell r="M10">
            <v>1</v>
          </cell>
          <cell r="N10">
            <v>2</v>
          </cell>
          <cell r="O10">
            <v>2</v>
          </cell>
          <cell r="P10">
            <v>2</v>
          </cell>
          <cell r="Q10">
            <v>2</v>
          </cell>
          <cell r="R10">
            <v>2</v>
          </cell>
          <cell r="S10">
            <v>2</v>
          </cell>
          <cell r="T10">
            <v>2</v>
          </cell>
          <cell r="U10">
            <v>2</v>
          </cell>
          <cell r="W10">
            <v>15.1</v>
          </cell>
          <cell r="Z10">
            <v>18.440000000000001</v>
          </cell>
          <cell r="AA10">
            <v>5.9</v>
          </cell>
          <cell r="AB10">
            <v>168</v>
          </cell>
          <cell r="AC10">
            <v>111.2</v>
          </cell>
          <cell r="AD10">
            <v>33</v>
          </cell>
          <cell r="AF10">
            <v>119</v>
          </cell>
          <cell r="AG10">
            <v>163</v>
          </cell>
          <cell r="AK10" t="str">
            <v>Left corona radiata infarct, Chi. infarct B/L CN,LN,Rt CR and left Thalamus</v>
          </cell>
          <cell r="AM10">
            <v>9</v>
          </cell>
          <cell r="AN10">
            <v>1</v>
          </cell>
          <cell r="AO10">
            <v>3</v>
          </cell>
          <cell r="AP10">
            <v>3</v>
          </cell>
          <cell r="AQ10">
            <v>5</v>
          </cell>
          <cell r="AS10">
            <v>1</v>
          </cell>
          <cell r="AT10">
            <v>1</v>
          </cell>
          <cell r="AU10">
            <v>2</v>
          </cell>
          <cell r="AV10">
            <v>4</v>
          </cell>
          <cell r="AW10">
            <v>8</v>
          </cell>
          <cell r="AX10">
            <v>2</v>
          </cell>
          <cell r="AY10">
            <v>2</v>
          </cell>
          <cell r="AZ10">
            <v>3</v>
          </cell>
          <cell r="BA10">
            <v>65</v>
          </cell>
        </row>
        <row r="11">
          <cell r="A11" t="str">
            <v xml:space="preserve">Balu Rathod </v>
          </cell>
          <cell r="C11">
            <v>200401395</v>
          </cell>
          <cell r="D11">
            <v>53</v>
          </cell>
          <cell r="E11">
            <v>1</v>
          </cell>
          <cell r="H11">
            <v>44957</v>
          </cell>
          <cell r="I11">
            <v>44963</v>
          </cell>
          <cell r="J11">
            <v>9657461888</v>
          </cell>
          <cell r="L11">
            <v>24</v>
          </cell>
          <cell r="M11">
            <v>2</v>
          </cell>
          <cell r="N11">
            <v>2</v>
          </cell>
          <cell r="O11">
            <v>2</v>
          </cell>
          <cell r="P11">
            <v>2</v>
          </cell>
          <cell r="Q11">
            <v>2</v>
          </cell>
          <cell r="R11">
            <v>2</v>
          </cell>
          <cell r="S11">
            <v>2</v>
          </cell>
          <cell r="T11">
            <v>2</v>
          </cell>
          <cell r="U11">
            <v>2</v>
          </cell>
          <cell r="V11" t="str">
            <v>HIV +Ve</v>
          </cell>
          <cell r="W11">
            <v>13.4</v>
          </cell>
          <cell r="X11">
            <v>37.9</v>
          </cell>
          <cell r="Z11">
            <v>20.57</v>
          </cell>
          <cell r="AG11">
            <v>209</v>
          </cell>
          <cell r="AH11" t="str">
            <v xml:space="preserve">MCV-97.1, CD4-192 </v>
          </cell>
          <cell r="AK11" t="str">
            <v>Left MCA infarct, M1 segment irregular and cut off, poor reformation of M2</v>
          </cell>
          <cell r="AM11">
            <v>7</v>
          </cell>
          <cell r="AN11">
            <v>2</v>
          </cell>
          <cell r="AO11">
            <v>3</v>
          </cell>
          <cell r="AP11">
            <v>1</v>
          </cell>
          <cell r="AQ11">
            <v>3</v>
          </cell>
          <cell r="AS11">
            <v>1</v>
          </cell>
          <cell r="AT11">
            <v>2</v>
          </cell>
          <cell r="AU11">
            <v>2</v>
          </cell>
          <cell r="AV11">
            <v>4</v>
          </cell>
          <cell r="AW11">
            <v>8</v>
          </cell>
          <cell r="AX11">
            <v>2</v>
          </cell>
          <cell r="AY11">
            <v>2</v>
          </cell>
          <cell r="AZ11">
            <v>3</v>
          </cell>
          <cell r="BA11">
            <v>60</v>
          </cell>
        </row>
        <row r="12">
          <cell r="A12" t="str">
            <v>Bhadale Abhishek Rajendra</v>
          </cell>
          <cell r="C12">
            <v>220402919</v>
          </cell>
          <cell r="D12">
            <v>25</v>
          </cell>
          <cell r="E12">
            <v>1</v>
          </cell>
          <cell r="H12">
            <v>44872</v>
          </cell>
          <cell r="I12">
            <v>44873</v>
          </cell>
          <cell r="J12">
            <v>9762043447</v>
          </cell>
          <cell r="L12">
            <v>8</v>
          </cell>
          <cell r="M12">
            <v>2</v>
          </cell>
          <cell r="N12">
            <v>2</v>
          </cell>
          <cell r="O12">
            <v>2</v>
          </cell>
          <cell r="P12">
            <v>2</v>
          </cell>
          <cell r="Q12">
            <v>2</v>
          </cell>
          <cell r="R12">
            <v>2</v>
          </cell>
          <cell r="S12">
            <v>2</v>
          </cell>
          <cell r="T12">
            <v>2</v>
          </cell>
          <cell r="U12">
            <v>2</v>
          </cell>
          <cell r="V12" t="str">
            <v>?CNS vasculitis, Old Rt MCA infarct</v>
          </cell>
          <cell r="W12">
            <v>13.6</v>
          </cell>
          <cell r="X12">
            <v>43.7</v>
          </cell>
          <cell r="Z12">
            <v>8.5299999999999994</v>
          </cell>
          <cell r="AB12">
            <v>166</v>
          </cell>
          <cell r="AC12">
            <v>101.4</v>
          </cell>
          <cell r="AD12">
            <v>29</v>
          </cell>
          <cell r="AE12">
            <v>35.6</v>
          </cell>
          <cell r="AF12">
            <v>178</v>
          </cell>
          <cell r="AG12">
            <v>406</v>
          </cell>
          <cell r="AK12" t="str">
            <v>Rt MCA infarct, M1 segment, Proximal A1,Rt ACA, Terminal Rt ICA thrombus</v>
          </cell>
          <cell r="AM12">
            <v>9</v>
          </cell>
          <cell r="AN12">
            <v>1</v>
          </cell>
          <cell r="AO12">
            <v>3</v>
          </cell>
          <cell r="AP12">
            <v>3</v>
          </cell>
          <cell r="AQ12">
            <v>5</v>
          </cell>
          <cell r="AS12">
            <v>1</v>
          </cell>
          <cell r="AT12">
            <v>2</v>
          </cell>
          <cell r="AU12">
            <v>1</v>
          </cell>
          <cell r="AV12">
            <v>1</v>
          </cell>
          <cell r="AW12">
            <v>8</v>
          </cell>
          <cell r="AX12">
            <v>2</v>
          </cell>
          <cell r="AY12">
            <v>2</v>
          </cell>
          <cell r="AZ12">
            <v>0</v>
          </cell>
          <cell r="BA12">
            <v>100</v>
          </cell>
        </row>
        <row r="13">
          <cell r="A13" t="str">
            <v>Sunil Kalbhor B</v>
          </cell>
          <cell r="C13">
            <v>221201778</v>
          </cell>
          <cell r="D13">
            <v>50</v>
          </cell>
          <cell r="E13">
            <v>1</v>
          </cell>
          <cell r="H13">
            <v>44903</v>
          </cell>
          <cell r="I13">
            <v>44907</v>
          </cell>
          <cell r="J13">
            <v>9834148137</v>
          </cell>
          <cell r="L13">
            <v>11</v>
          </cell>
          <cell r="M13">
            <v>2</v>
          </cell>
          <cell r="N13">
            <v>2</v>
          </cell>
          <cell r="O13">
            <v>2</v>
          </cell>
          <cell r="P13">
            <v>2</v>
          </cell>
          <cell r="Q13">
            <v>1</v>
          </cell>
          <cell r="R13">
            <v>2</v>
          </cell>
          <cell r="S13">
            <v>2</v>
          </cell>
          <cell r="T13">
            <v>2</v>
          </cell>
          <cell r="U13">
            <v>2</v>
          </cell>
          <cell r="W13">
            <v>14.7</v>
          </cell>
          <cell r="Z13">
            <v>15.16</v>
          </cell>
          <cell r="AA13">
            <v>5.2</v>
          </cell>
          <cell r="AB13">
            <v>165</v>
          </cell>
          <cell r="AC13">
            <v>99.6</v>
          </cell>
          <cell r="AD13">
            <v>43</v>
          </cell>
          <cell r="AF13">
            <v>111</v>
          </cell>
          <cell r="AK13" t="str">
            <v>Rt MCA infarct,M2 segment thrombus</v>
          </cell>
          <cell r="AL13" t="str">
            <v>Post lysis</v>
          </cell>
          <cell r="AM13">
            <v>6</v>
          </cell>
          <cell r="AN13">
            <v>1</v>
          </cell>
          <cell r="AO13">
            <v>5</v>
          </cell>
          <cell r="AP13">
            <v>3</v>
          </cell>
          <cell r="AQ13">
            <v>5</v>
          </cell>
          <cell r="AS13">
            <v>1</v>
          </cell>
          <cell r="AU13">
            <v>1</v>
          </cell>
          <cell r="AV13">
            <v>3</v>
          </cell>
          <cell r="AW13">
            <v>8</v>
          </cell>
          <cell r="AX13">
            <v>2</v>
          </cell>
          <cell r="AY13">
            <v>2</v>
          </cell>
          <cell r="AZ13">
            <v>0</v>
          </cell>
          <cell r="BA13">
            <v>100</v>
          </cell>
        </row>
        <row r="14">
          <cell r="A14" t="str">
            <v>Shushila Dhamal</v>
          </cell>
          <cell r="C14">
            <v>230100340</v>
          </cell>
          <cell r="D14">
            <v>70</v>
          </cell>
          <cell r="E14">
            <v>2</v>
          </cell>
          <cell r="H14">
            <v>44929</v>
          </cell>
          <cell r="I14">
            <v>44936</v>
          </cell>
          <cell r="J14">
            <v>8805908565</v>
          </cell>
          <cell r="L14">
            <v>5</v>
          </cell>
          <cell r="M14">
            <v>1</v>
          </cell>
          <cell r="N14">
            <v>2</v>
          </cell>
          <cell r="O14">
            <v>2</v>
          </cell>
          <cell r="P14">
            <v>2</v>
          </cell>
          <cell r="Q14">
            <v>1</v>
          </cell>
          <cell r="R14">
            <v>2</v>
          </cell>
          <cell r="S14">
            <v>2</v>
          </cell>
          <cell r="T14">
            <v>2</v>
          </cell>
          <cell r="U14">
            <v>2</v>
          </cell>
          <cell r="V14" t="str">
            <v>TB-on AKT (07/01/2023) and Status epilepticus</v>
          </cell>
          <cell r="W14">
            <v>13.7</v>
          </cell>
          <cell r="X14">
            <v>42.6</v>
          </cell>
          <cell r="Z14">
            <v>10.6</v>
          </cell>
          <cell r="AA14">
            <v>5.7</v>
          </cell>
          <cell r="AG14">
            <v>498</v>
          </cell>
          <cell r="AH14" t="str">
            <v>MCV-84.2</v>
          </cell>
          <cell r="AJ14" t="str">
            <v>NHI in Rt centrum semiovale and chronic microhaemorrhages in B/L FTP-occipital region</v>
          </cell>
          <cell r="AK14" t="str">
            <v>Atherosclerotic changes involving intracranial and neck arteries</v>
          </cell>
          <cell r="AM14">
            <v>8</v>
          </cell>
          <cell r="AN14">
            <v>1</v>
          </cell>
          <cell r="AO14">
            <v>5</v>
          </cell>
          <cell r="AP14">
            <v>3</v>
          </cell>
          <cell r="AQ14">
            <v>5</v>
          </cell>
          <cell r="AS14">
            <v>1</v>
          </cell>
          <cell r="AT14">
            <v>1</v>
          </cell>
          <cell r="AU14">
            <v>2</v>
          </cell>
          <cell r="AV14">
            <v>4</v>
          </cell>
          <cell r="AW14">
            <v>8</v>
          </cell>
          <cell r="AX14">
            <v>2</v>
          </cell>
          <cell r="AY14">
            <v>2</v>
          </cell>
          <cell r="AZ14">
            <v>6</v>
          </cell>
          <cell r="BA14">
            <v>0</v>
          </cell>
        </row>
        <row r="15">
          <cell r="A15" t="str">
            <v xml:space="preserve">Wankhede Pralhad </v>
          </cell>
          <cell r="C15">
            <v>180900552</v>
          </cell>
          <cell r="D15">
            <v>71</v>
          </cell>
          <cell r="E15">
            <v>1</v>
          </cell>
          <cell r="H15">
            <v>44613</v>
          </cell>
          <cell r="I15">
            <v>44979</v>
          </cell>
          <cell r="J15">
            <v>9850654519</v>
          </cell>
          <cell r="K15">
            <v>8888447896</v>
          </cell>
          <cell r="L15">
            <v>11</v>
          </cell>
          <cell r="M15">
            <v>1</v>
          </cell>
          <cell r="N15">
            <v>1</v>
          </cell>
          <cell r="O15">
            <v>2</v>
          </cell>
          <cell r="P15">
            <v>2</v>
          </cell>
          <cell r="Q15">
            <v>2</v>
          </cell>
          <cell r="R15">
            <v>2</v>
          </cell>
          <cell r="S15">
            <v>2</v>
          </cell>
          <cell r="T15">
            <v>2</v>
          </cell>
          <cell r="U15">
            <v>2</v>
          </cell>
          <cell r="W15">
            <v>13.7</v>
          </cell>
          <cell r="X15">
            <v>41</v>
          </cell>
          <cell r="Z15">
            <v>19</v>
          </cell>
          <cell r="AA15">
            <v>6.6</v>
          </cell>
          <cell r="AG15">
            <v>273</v>
          </cell>
          <cell r="AH15" t="str">
            <v>MCV-87</v>
          </cell>
          <cell r="AJ15" t="str">
            <v>Right PCA-MCA watershed infarct</v>
          </cell>
          <cell r="AM15">
            <v>7</v>
          </cell>
          <cell r="AR15" t="str">
            <v>Paucity of rt MCA cortical branches</v>
          </cell>
          <cell r="AS15">
            <v>1</v>
          </cell>
          <cell r="AT15">
            <v>1</v>
          </cell>
          <cell r="AU15">
            <v>2</v>
          </cell>
          <cell r="AV15">
            <v>4</v>
          </cell>
          <cell r="AW15">
            <v>8</v>
          </cell>
          <cell r="AX15">
            <v>2</v>
          </cell>
          <cell r="AY15">
            <v>2</v>
          </cell>
          <cell r="AZ15">
            <v>2</v>
          </cell>
          <cell r="BA15">
            <v>60</v>
          </cell>
        </row>
        <row r="16">
          <cell r="A16" t="str">
            <v>Smita Ajgaonkar</v>
          </cell>
          <cell r="C16">
            <v>230104311</v>
          </cell>
          <cell r="D16">
            <v>77</v>
          </cell>
          <cell r="E16">
            <v>2</v>
          </cell>
          <cell r="H16">
            <v>44949</v>
          </cell>
          <cell r="I16">
            <v>44959</v>
          </cell>
          <cell r="J16">
            <v>9730041275</v>
          </cell>
          <cell r="L16">
            <v>14</v>
          </cell>
          <cell r="M16">
            <v>1</v>
          </cell>
          <cell r="N16">
            <v>1</v>
          </cell>
          <cell r="O16">
            <v>2</v>
          </cell>
          <cell r="P16">
            <v>2</v>
          </cell>
          <cell r="Q16">
            <v>2</v>
          </cell>
          <cell r="R16">
            <v>2</v>
          </cell>
          <cell r="S16">
            <v>2</v>
          </cell>
          <cell r="T16">
            <v>1</v>
          </cell>
          <cell r="U16">
            <v>2</v>
          </cell>
          <cell r="V16" t="str">
            <v>Post aortic valve replacement in 2019 on T. acitrom 1mg OD, Hypothyroid</v>
          </cell>
          <cell r="W16">
            <v>11.4</v>
          </cell>
          <cell r="X16">
            <v>36</v>
          </cell>
          <cell r="Z16">
            <v>16.7</v>
          </cell>
          <cell r="AA16">
            <v>9.9</v>
          </cell>
          <cell r="AB16">
            <v>169</v>
          </cell>
          <cell r="AC16">
            <v>101</v>
          </cell>
          <cell r="AD16">
            <v>57</v>
          </cell>
          <cell r="AE16">
            <v>11</v>
          </cell>
          <cell r="AF16">
            <v>55</v>
          </cell>
          <cell r="AG16">
            <v>1202</v>
          </cell>
          <cell r="AH16" t="str">
            <v>GCS-11. MCV-77.1</v>
          </cell>
          <cell r="AJ16" t="str">
            <v xml:space="preserve">Left precentral(frontal lobe), Rt half of splenium, left frontal parafalcine area, Left insular cortex and left post central gyrus </v>
          </cell>
          <cell r="AK16" t="str">
            <v>Paucity of insular granuales left MCA</v>
          </cell>
          <cell r="AM16">
            <v>10</v>
          </cell>
          <cell r="AN16">
            <v>1</v>
          </cell>
          <cell r="AO16">
            <v>3</v>
          </cell>
          <cell r="AP16">
            <v>3</v>
          </cell>
          <cell r="AQ16">
            <v>4</v>
          </cell>
          <cell r="AS16">
            <v>1</v>
          </cell>
          <cell r="AT16">
            <v>2</v>
          </cell>
          <cell r="AU16">
            <v>2</v>
          </cell>
          <cell r="AV16">
            <v>4</v>
          </cell>
          <cell r="AW16">
            <v>2</v>
          </cell>
          <cell r="AX16">
            <v>2</v>
          </cell>
          <cell r="AY16">
            <v>2</v>
          </cell>
          <cell r="AZ16">
            <v>4</v>
          </cell>
          <cell r="BA16">
            <v>20</v>
          </cell>
        </row>
        <row r="17">
          <cell r="A17" t="str">
            <v>Nandkumar Ranawade</v>
          </cell>
          <cell r="C17">
            <v>230202594</v>
          </cell>
          <cell r="D17">
            <v>68</v>
          </cell>
          <cell r="E17">
            <v>1</v>
          </cell>
          <cell r="H17">
            <v>44970</v>
          </cell>
          <cell r="I17">
            <v>44972</v>
          </cell>
          <cell r="J17">
            <v>9820924658</v>
          </cell>
          <cell r="M17">
            <v>2</v>
          </cell>
          <cell r="N17">
            <v>2</v>
          </cell>
          <cell r="O17">
            <v>1</v>
          </cell>
          <cell r="P17">
            <v>2</v>
          </cell>
          <cell r="Q17">
            <v>2</v>
          </cell>
          <cell r="R17">
            <v>2</v>
          </cell>
          <cell r="S17">
            <v>1</v>
          </cell>
          <cell r="T17">
            <v>2</v>
          </cell>
          <cell r="U17">
            <v>2</v>
          </cell>
          <cell r="V17" t="str">
            <v>?CKD, AKI</v>
          </cell>
          <cell r="W17">
            <v>12.1</v>
          </cell>
          <cell r="X17">
            <v>35</v>
          </cell>
          <cell r="Z17">
            <v>66</v>
          </cell>
          <cell r="AA17">
            <v>4.7</v>
          </cell>
          <cell r="AB17">
            <v>88</v>
          </cell>
          <cell r="AC17">
            <v>24</v>
          </cell>
          <cell r="AD17">
            <v>6</v>
          </cell>
          <cell r="AE17">
            <v>59</v>
          </cell>
          <cell r="AF17">
            <v>295</v>
          </cell>
          <cell r="AG17">
            <v>1898</v>
          </cell>
          <cell r="AH17" t="str">
            <v>MCV-94,Platelets-34000,urea-142,creat-7.02,</v>
          </cell>
          <cell r="AJ17" t="str">
            <v>Acute infarct in right frontal and left parietal lobes</v>
          </cell>
          <cell r="AK17" t="str">
            <v>not done</v>
          </cell>
          <cell r="AM17">
            <v>10</v>
          </cell>
          <cell r="AS17">
            <v>2</v>
          </cell>
          <cell r="AT17">
            <v>2</v>
          </cell>
          <cell r="AU17">
            <v>2</v>
          </cell>
          <cell r="AV17">
            <v>4</v>
          </cell>
          <cell r="AW17">
            <v>8</v>
          </cell>
          <cell r="AX17">
            <v>2</v>
          </cell>
          <cell r="AY17">
            <v>2</v>
          </cell>
          <cell r="AZ17">
            <v>6</v>
          </cell>
          <cell r="BA17">
            <v>0</v>
          </cell>
        </row>
        <row r="18">
          <cell r="A18" t="str">
            <v>Devkar Yashoda</v>
          </cell>
          <cell r="C18">
            <v>230205086</v>
          </cell>
          <cell r="D18">
            <v>70</v>
          </cell>
          <cell r="E18">
            <v>2</v>
          </cell>
          <cell r="H18">
            <v>44983</v>
          </cell>
          <cell r="I18">
            <v>44985</v>
          </cell>
          <cell r="J18">
            <v>8888435454</v>
          </cell>
          <cell r="K18">
            <v>8668515149</v>
          </cell>
          <cell r="L18">
            <v>9</v>
          </cell>
          <cell r="M18">
            <v>2</v>
          </cell>
          <cell r="N18">
            <v>2</v>
          </cell>
          <cell r="O18">
            <v>2</v>
          </cell>
          <cell r="P18">
            <v>2</v>
          </cell>
          <cell r="Q18">
            <v>2</v>
          </cell>
          <cell r="R18">
            <v>2</v>
          </cell>
          <cell r="S18">
            <v>2</v>
          </cell>
          <cell r="T18">
            <v>2</v>
          </cell>
          <cell r="U18">
            <v>2</v>
          </cell>
          <cell r="W18">
            <v>10.7</v>
          </cell>
          <cell r="X18">
            <v>32</v>
          </cell>
          <cell r="Z18">
            <v>29</v>
          </cell>
          <cell r="AA18">
            <v>6.3</v>
          </cell>
          <cell r="AG18">
            <v>189</v>
          </cell>
          <cell r="AH18" t="str">
            <v>MCv-85</v>
          </cell>
          <cell r="AJ18" t="str">
            <v>Acute infarct body of right caudate nucleus and right putament</v>
          </cell>
          <cell r="AK18" t="str">
            <v>mild atherosclerotic changes in both common carotid arteries hypodense ecentric plague with surface irregularities at origin of Rt ICA</v>
          </cell>
          <cell r="AM18">
            <v>8</v>
          </cell>
          <cell r="AN18">
            <v>1</v>
          </cell>
          <cell r="AO18">
            <v>3</v>
          </cell>
          <cell r="AP18">
            <v>3</v>
          </cell>
          <cell r="AQ18">
            <v>5</v>
          </cell>
          <cell r="AS18">
            <v>1</v>
          </cell>
          <cell r="AT18">
            <v>1</v>
          </cell>
          <cell r="AU18">
            <v>2</v>
          </cell>
          <cell r="AV18">
            <v>4</v>
          </cell>
          <cell r="AW18">
            <v>8</v>
          </cell>
          <cell r="AX18">
            <v>2</v>
          </cell>
          <cell r="AY18">
            <v>2</v>
          </cell>
          <cell r="AZ18">
            <v>1</v>
          </cell>
          <cell r="BA18">
            <v>85</v>
          </cell>
        </row>
        <row r="19">
          <cell r="A19" t="str">
            <v>Taru Sattyawan</v>
          </cell>
          <cell r="C19">
            <v>201001242</v>
          </cell>
          <cell r="D19">
            <v>56</v>
          </cell>
          <cell r="E19">
            <v>1</v>
          </cell>
          <cell r="H19">
            <v>44978</v>
          </cell>
          <cell r="J19">
            <v>8975275847</v>
          </cell>
          <cell r="L19">
            <v>2</v>
          </cell>
          <cell r="N19">
            <v>1</v>
          </cell>
          <cell r="O19">
            <v>2</v>
          </cell>
          <cell r="P19">
            <v>2</v>
          </cell>
          <cell r="Q19">
            <v>2</v>
          </cell>
          <cell r="R19">
            <v>2</v>
          </cell>
          <cell r="S19">
            <v>2</v>
          </cell>
          <cell r="T19">
            <v>2</v>
          </cell>
          <cell r="U19">
            <v>2</v>
          </cell>
          <cell r="W19">
            <v>15.1</v>
          </cell>
          <cell r="Z19">
            <v>30</v>
          </cell>
          <cell r="AA19">
            <v>17.100000000000001</v>
          </cell>
          <cell r="AG19">
            <v>183</v>
          </cell>
          <cell r="AJ19" t="str">
            <v xml:space="preserve">left centrum semiovale, left corona radiata,left lentiform nucleus, left parietal lobe infarct with tiny areas of hemorrhagic transformation </v>
          </cell>
          <cell r="AM19">
            <v>9</v>
          </cell>
          <cell r="AN19">
            <v>1</v>
          </cell>
          <cell r="AO19">
            <v>3</v>
          </cell>
          <cell r="AP19">
            <v>3</v>
          </cell>
          <cell r="AQ19">
            <v>5</v>
          </cell>
          <cell r="AS19">
            <v>1</v>
          </cell>
          <cell r="AT19">
            <v>1</v>
          </cell>
          <cell r="AU19">
            <v>2</v>
          </cell>
          <cell r="AV19">
            <v>4</v>
          </cell>
          <cell r="AW19">
            <v>8</v>
          </cell>
          <cell r="AX19">
            <v>2</v>
          </cell>
          <cell r="AY19">
            <v>2</v>
          </cell>
          <cell r="AZ19">
            <v>1</v>
          </cell>
          <cell r="BA19">
            <v>85</v>
          </cell>
        </row>
        <row r="20">
          <cell r="A20" t="str">
            <v>Surekha Jadhav</v>
          </cell>
          <cell r="C20">
            <v>230105008</v>
          </cell>
          <cell r="D20">
            <v>30</v>
          </cell>
          <cell r="E20">
            <v>2</v>
          </cell>
          <cell r="H20">
            <v>44951</v>
          </cell>
          <cell r="I20">
            <v>44959</v>
          </cell>
          <cell r="J20">
            <v>9423032481</v>
          </cell>
          <cell r="L20">
            <v>6</v>
          </cell>
          <cell r="M20">
            <v>1</v>
          </cell>
          <cell r="N20">
            <v>2</v>
          </cell>
          <cell r="O20">
            <v>2</v>
          </cell>
          <cell r="P20">
            <v>2</v>
          </cell>
          <cell r="Q20">
            <v>2</v>
          </cell>
          <cell r="R20">
            <v>2</v>
          </cell>
          <cell r="S20">
            <v>2</v>
          </cell>
          <cell r="T20">
            <v>2</v>
          </cell>
          <cell r="U20">
            <v>2</v>
          </cell>
          <cell r="V20" t="str">
            <v>Dismorphic anemia</v>
          </cell>
          <cell r="W20">
            <v>7</v>
          </cell>
          <cell r="X20">
            <v>25</v>
          </cell>
          <cell r="Z20">
            <v>23</v>
          </cell>
          <cell r="AA20">
            <v>5.8</v>
          </cell>
          <cell r="AB20">
            <v>153</v>
          </cell>
          <cell r="AC20">
            <v>90</v>
          </cell>
          <cell r="AD20">
            <v>29</v>
          </cell>
          <cell r="AF20">
            <v>166</v>
          </cell>
          <cell r="AG20">
            <v>148</v>
          </cell>
          <cell r="AH20" t="str">
            <v>Ferritin-2.74,S.iron-15,S.TIBC-405.%transferrit:3.7,MCV-92.5, ANA-neg</v>
          </cell>
          <cell r="AJ20" t="str">
            <v>left ACA-MCA MCA-pCA watershed infarct, Left commom carotid free floating thrombus(90%)</v>
          </cell>
          <cell r="AM20">
            <v>9</v>
          </cell>
          <cell r="AN20">
            <v>1</v>
          </cell>
          <cell r="AO20">
            <v>3</v>
          </cell>
          <cell r="AP20">
            <v>3</v>
          </cell>
          <cell r="AQ20">
            <v>5</v>
          </cell>
          <cell r="AS20">
            <v>1</v>
          </cell>
          <cell r="AT20">
            <v>1</v>
          </cell>
          <cell r="AU20">
            <v>2</v>
          </cell>
          <cell r="AV20">
            <v>4</v>
          </cell>
          <cell r="AW20">
            <v>8</v>
          </cell>
          <cell r="AX20">
            <v>2</v>
          </cell>
          <cell r="AY20">
            <v>2</v>
          </cell>
          <cell r="AZ20">
            <v>0</v>
          </cell>
          <cell r="BA20">
            <v>100</v>
          </cell>
        </row>
        <row r="21">
          <cell r="A21" t="str">
            <v>Vimal B Khopade</v>
          </cell>
          <cell r="C21">
            <v>160602949</v>
          </cell>
          <cell r="D21">
            <v>72</v>
          </cell>
          <cell r="E21">
            <v>2</v>
          </cell>
          <cell r="H21">
            <v>44939</v>
          </cell>
          <cell r="I21">
            <v>44943</v>
          </cell>
          <cell r="L21">
            <v>7</v>
          </cell>
          <cell r="M21">
            <v>1</v>
          </cell>
          <cell r="N21">
            <v>2</v>
          </cell>
          <cell r="O21">
            <v>2</v>
          </cell>
          <cell r="P21">
            <v>2</v>
          </cell>
          <cell r="Q21">
            <v>2</v>
          </cell>
          <cell r="R21">
            <v>2</v>
          </cell>
          <cell r="S21">
            <v>2</v>
          </cell>
          <cell r="T21">
            <v>2</v>
          </cell>
          <cell r="U21">
            <v>2</v>
          </cell>
          <cell r="V21" t="str">
            <v>Hypothyroid, Hyperhomocystenemia, B12 def</v>
          </cell>
          <cell r="W21">
            <v>11.5</v>
          </cell>
          <cell r="X21">
            <v>32.799999999999997</v>
          </cell>
          <cell r="Z21">
            <v>25</v>
          </cell>
          <cell r="AA21">
            <v>5.5</v>
          </cell>
          <cell r="AG21">
            <v>148</v>
          </cell>
          <cell r="AH21" t="str">
            <v>MCV-89</v>
          </cell>
          <cell r="AJ21" t="str">
            <v>Right MCA (Frontal) Infarct</v>
          </cell>
          <cell r="AK21" t="str">
            <v>B/L common carotid ecentric plagues 10-20% stenosis</v>
          </cell>
          <cell r="AM21">
            <v>9</v>
          </cell>
          <cell r="AN21">
            <v>1</v>
          </cell>
          <cell r="AO21">
            <v>3</v>
          </cell>
          <cell r="AP21">
            <v>3</v>
          </cell>
          <cell r="AQ21">
            <v>5</v>
          </cell>
          <cell r="AS21">
            <v>1</v>
          </cell>
          <cell r="AT21">
            <v>1</v>
          </cell>
          <cell r="AU21">
            <v>1</v>
          </cell>
          <cell r="AV21">
            <v>1</v>
          </cell>
          <cell r="AW21">
            <v>8</v>
          </cell>
          <cell r="AX21">
            <v>2</v>
          </cell>
          <cell r="AY21">
            <v>2</v>
          </cell>
          <cell r="AZ21">
            <v>3</v>
          </cell>
          <cell r="BA21">
            <v>60</v>
          </cell>
        </row>
        <row r="22">
          <cell r="A22" t="str">
            <v>Ramchandra Dhumal</v>
          </cell>
          <cell r="C22">
            <v>230103376</v>
          </cell>
          <cell r="D22">
            <v>50</v>
          </cell>
          <cell r="E22">
            <v>1</v>
          </cell>
          <cell r="H22">
            <v>44944</v>
          </cell>
          <cell r="I22">
            <v>44959</v>
          </cell>
          <cell r="L22">
            <v>19</v>
          </cell>
          <cell r="M22">
            <v>1</v>
          </cell>
          <cell r="N22">
            <v>2</v>
          </cell>
          <cell r="O22">
            <v>1</v>
          </cell>
          <cell r="P22">
            <v>2</v>
          </cell>
          <cell r="Q22">
            <v>1</v>
          </cell>
          <cell r="R22">
            <v>2</v>
          </cell>
          <cell r="S22">
            <v>2</v>
          </cell>
          <cell r="T22">
            <v>2</v>
          </cell>
          <cell r="U22">
            <v>2</v>
          </cell>
          <cell r="V22" t="str">
            <v>GCS-11</v>
          </cell>
          <cell r="W22">
            <v>14</v>
          </cell>
          <cell r="X22">
            <v>45.6</v>
          </cell>
          <cell r="Z22">
            <v>22</v>
          </cell>
          <cell r="AA22">
            <v>5.5</v>
          </cell>
          <cell r="AG22">
            <v>171</v>
          </cell>
          <cell r="AH22" t="str">
            <v xml:space="preserve">MCV-84.1 and left ICA stenting  </v>
          </cell>
          <cell r="AJ22" t="str">
            <v>Left GC and left FTPO infarct hyperdense left MCA sign</v>
          </cell>
          <cell r="AK22" t="str">
            <v>Non Opacification left ICA from origin s/o occlusion thrombus. Non opacification of M1,M2,proximal M3 of left MCA</v>
          </cell>
          <cell r="AM22">
            <v>5</v>
          </cell>
          <cell r="AN22">
            <v>1</v>
          </cell>
          <cell r="AO22">
            <v>3</v>
          </cell>
          <cell r="AP22">
            <v>3</v>
          </cell>
          <cell r="AQ22">
            <v>5</v>
          </cell>
          <cell r="AS22">
            <v>1</v>
          </cell>
          <cell r="AT22">
            <v>2</v>
          </cell>
          <cell r="AU22">
            <v>2</v>
          </cell>
          <cell r="AV22">
            <v>4</v>
          </cell>
          <cell r="AW22">
            <v>8</v>
          </cell>
          <cell r="AX22">
            <v>1</v>
          </cell>
          <cell r="AY22">
            <v>2</v>
          </cell>
          <cell r="AZ22">
            <v>4</v>
          </cell>
          <cell r="BA22">
            <v>35</v>
          </cell>
        </row>
        <row r="23">
          <cell r="A23" t="str">
            <v>More Dilip Pandurang</v>
          </cell>
          <cell r="C23">
            <v>220902582</v>
          </cell>
          <cell r="D23">
            <v>48</v>
          </cell>
          <cell r="E23">
            <v>1</v>
          </cell>
          <cell r="H23">
            <v>44819</v>
          </cell>
          <cell r="I23">
            <v>44820</v>
          </cell>
          <cell r="J23">
            <v>9850344096</v>
          </cell>
          <cell r="L23">
            <v>4</v>
          </cell>
          <cell r="M23">
            <v>1</v>
          </cell>
          <cell r="N23">
            <v>2</v>
          </cell>
          <cell r="O23">
            <v>2</v>
          </cell>
          <cell r="P23">
            <v>2</v>
          </cell>
          <cell r="Q23">
            <v>2</v>
          </cell>
          <cell r="R23">
            <v>2</v>
          </cell>
          <cell r="S23">
            <v>2</v>
          </cell>
          <cell r="T23">
            <v>2</v>
          </cell>
          <cell r="U23">
            <v>2</v>
          </cell>
          <cell r="W23">
            <v>13.7</v>
          </cell>
          <cell r="Z23">
            <v>48.93</v>
          </cell>
          <cell r="AG23">
            <v>148</v>
          </cell>
          <cell r="AJ23" t="str">
            <v>Left corona radiata acute infarct, chronic infarct in left CR,LN,RT thalamus, Rt LN</v>
          </cell>
          <cell r="AK23" t="str">
            <v>not done</v>
          </cell>
          <cell r="AM23">
            <v>9</v>
          </cell>
          <cell r="AN23">
            <v>1</v>
          </cell>
          <cell r="AO23">
            <v>3</v>
          </cell>
          <cell r="AP23">
            <v>3</v>
          </cell>
          <cell r="AQ23">
            <v>5</v>
          </cell>
          <cell r="AS23">
            <v>1</v>
          </cell>
          <cell r="AT23">
            <v>1</v>
          </cell>
          <cell r="AU23">
            <v>2</v>
          </cell>
          <cell r="AV23">
            <v>4</v>
          </cell>
          <cell r="AW23">
            <v>8</v>
          </cell>
          <cell r="AX23">
            <v>2</v>
          </cell>
          <cell r="AY23">
            <v>2</v>
          </cell>
          <cell r="AZ23">
            <v>2</v>
          </cell>
          <cell r="BA23">
            <v>95</v>
          </cell>
        </row>
        <row r="24">
          <cell r="A24" t="str">
            <v>Raghunath Gaikwad</v>
          </cell>
          <cell r="C24">
            <v>221206273</v>
          </cell>
          <cell r="D24">
            <v>75</v>
          </cell>
          <cell r="E24">
            <v>1</v>
          </cell>
          <cell r="H24">
            <v>44926</v>
          </cell>
          <cell r="I24">
            <v>44928</v>
          </cell>
          <cell r="J24">
            <v>9604984448</v>
          </cell>
          <cell r="L24">
            <v>4</v>
          </cell>
          <cell r="M24">
            <v>1</v>
          </cell>
          <cell r="N24">
            <v>2</v>
          </cell>
          <cell r="O24">
            <v>2</v>
          </cell>
          <cell r="P24">
            <v>2</v>
          </cell>
          <cell r="Q24">
            <v>2</v>
          </cell>
          <cell r="R24">
            <v>2</v>
          </cell>
          <cell r="S24">
            <v>2</v>
          </cell>
          <cell r="T24">
            <v>2</v>
          </cell>
          <cell r="U24">
            <v>2</v>
          </cell>
          <cell r="W24">
            <v>15.9</v>
          </cell>
          <cell r="X24">
            <v>46.3</v>
          </cell>
          <cell r="Z24">
            <v>29.06</v>
          </cell>
          <cell r="AG24">
            <v>665</v>
          </cell>
          <cell r="AH24" t="str">
            <v>MCV-87.8</v>
          </cell>
          <cell r="AJ24" t="str">
            <v>Rt large vessel occlusion, Rt ICA 90% stenosis, RT FTP occipital multiple infarcts rt periventricular and Rt GC</v>
          </cell>
          <cell r="AK24" t="str">
            <v>Infarcts in rt MCA and PCA territories, stenosis seen in Rt ICA, Left ICA shows non stenotic plaques</v>
          </cell>
          <cell r="AM24">
            <v>9</v>
          </cell>
          <cell r="AN24">
            <v>1</v>
          </cell>
          <cell r="AO24">
            <v>3</v>
          </cell>
          <cell r="AP24">
            <v>3</v>
          </cell>
          <cell r="AQ24">
            <v>5</v>
          </cell>
          <cell r="AS24">
            <v>1</v>
          </cell>
          <cell r="AT24">
            <v>1</v>
          </cell>
          <cell r="AU24">
            <v>2</v>
          </cell>
          <cell r="AV24">
            <v>4</v>
          </cell>
          <cell r="AW24">
            <v>8</v>
          </cell>
          <cell r="AX24">
            <v>2</v>
          </cell>
          <cell r="AY24">
            <v>2</v>
          </cell>
          <cell r="AZ24">
            <v>0</v>
          </cell>
          <cell r="BA24">
            <v>100</v>
          </cell>
        </row>
        <row r="25">
          <cell r="A25" t="str">
            <v>Tanaji Hanchate</v>
          </cell>
          <cell r="C25">
            <v>170800526</v>
          </cell>
          <cell r="D25">
            <v>59</v>
          </cell>
          <cell r="E25">
            <v>1</v>
          </cell>
          <cell r="H25">
            <v>44904</v>
          </cell>
          <cell r="I25">
            <v>44905</v>
          </cell>
          <cell r="L25">
            <v>3</v>
          </cell>
          <cell r="M25">
            <v>2</v>
          </cell>
          <cell r="N25">
            <v>1</v>
          </cell>
          <cell r="O25">
            <v>1</v>
          </cell>
          <cell r="P25">
            <v>1</v>
          </cell>
          <cell r="Q25">
            <v>1</v>
          </cell>
          <cell r="R25">
            <v>2</v>
          </cell>
          <cell r="S25">
            <v>2</v>
          </cell>
          <cell r="T25">
            <v>2</v>
          </cell>
          <cell r="U25">
            <v>2</v>
          </cell>
          <cell r="W25">
            <v>14.4</v>
          </cell>
          <cell r="Z25">
            <v>11.3</v>
          </cell>
          <cell r="AA25">
            <v>10.9</v>
          </cell>
          <cell r="AB25">
            <v>153</v>
          </cell>
          <cell r="AC25">
            <v>88.8</v>
          </cell>
          <cell r="AD25">
            <v>47</v>
          </cell>
          <cell r="AF25">
            <v>86</v>
          </cell>
          <cell r="AJ25" t="str">
            <v>Rt CR and Rt IC and insular infarct</v>
          </cell>
          <cell r="AK25" t="str">
            <v>not done</v>
          </cell>
          <cell r="AM25">
            <v>9</v>
          </cell>
          <cell r="AN25">
            <v>1</v>
          </cell>
          <cell r="AO25">
            <v>3</v>
          </cell>
          <cell r="AP25">
            <v>3</v>
          </cell>
          <cell r="AQ25">
            <v>5</v>
          </cell>
          <cell r="AS25">
            <v>1</v>
          </cell>
          <cell r="AT25">
            <v>1</v>
          </cell>
          <cell r="AU25">
            <v>2</v>
          </cell>
          <cell r="AV25">
            <v>4</v>
          </cell>
          <cell r="AW25">
            <v>8</v>
          </cell>
          <cell r="AZ25">
            <v>4</v>
          </cell>
          <cell r="BA25">
            <v>40</v>
          </cell>
        </row>
        <row r="26">
          <cell r="A26" t="str">
            <v xml:space="preserve">Vasanti Mestry </v>
          </cell>
          <cell r="C26">
            <v>230304183</v>
          </cell>
          <cell r="D26">
            <v>69</v>
          </cell>
          <cell r="E26">
            <v>1</v>
          </cell>
          <cell r="H26">
            <v>45019</v>
          </cell>
          <cell r="I26">
            <v>45021</v>
          </cell>
          <cell r="J26">
            <v>9172730815</v>
          </cell>
          <cell r="L26">
            <v>5</v>
          </cell>
          <cell r="M26">
            <v>1</v>
          </cell>
          <cell r="N26">
            <v>1</v>
          </cell>
          <cell r="O26">
            <v>2</v>
          </cell>
          <cell r="P26">
            <v>2</v>
          </cell>
          <cell r="Q26">
            <v>1</v>
          </cell>
          <cell r="R26">
            <v>2</v>
          </cell>
          <cell r="S26">
            <v>2</v>
          </cell>
          <cell r="T26">
            <v>2</v>
          </cell>
          <cell r="U26">
            <v>2</v>
          </cell>
          <cell r="W26">
            <v>13.5</v>
          </cell>
          <cell r="X26">
            <v>40.700000000000003</v>
          </cell>
          <cell r="Z26">
            <v>12.05</v>
          </cell>
          <cell r="AA26">
            <v>7.3</v>
          </cell>
          <cell r="AB26">
            <v>192</v>
          </cell>
          <cell r="AC26">
            <v>129.80000000000001</v>
          </cell>
          <cell r="AD26">
            <v>42</v>
          </cell>
          <cell r="AF26">
            <v>101</v>
          </cell>
          <cell r="AJ26" t="str">
            <v>stroke in left frontal and parietal and post central gyrus</v>
          </cell>
          <cell r="AK26" t="str">
            <v>Left ICA and CCA Stenosis</v>
          </cell>
          <cell r="AR26" t="str">
            <v>normal</v>
          </cell>
          <cell r="AS26">
            <v>1</v>
          </cell>
          <cell r="AT26">
            <v>1</v>
          </cell>
          <cell r="AU26">
            <v>2</v>
          </cell>
          <cell r="AV26">
            <v>4</v>
          </cell>
          <cell r="AW26">
            <v>8</v>
          </cell>
          <cell r="AX26">
            <v>2</v>
          </cell>
          <cell r="AY26">
            <v>2</v>
          </cell>
          <cell r="AZ26">
            <v>0</v>
          </cell>
          <cell r="BA26">
            <v>100</v>
          </cell>
        </row>
        <row r="27">
          <cell r="A27" t="str">
            <v xml:space="preserve">Kale Dharmendra </v>
          </cell>
          <cell r="C27">
            <v>120502937</v>
          </cell>
          <cell r="D27">
            <v>47</v>
          </cell>
          <cell r="E27">
            <v>1</v>
          </cell>
          <cell r="H27">
            <v>44970</v>
          </cell>
          <cell r="I27">
            <v>44972</v>
          </cell>
          <cell r="L27">
            <v>0</v>
          </cell>
          <cell r="M27">
            <v>1</v>
          </cell>
          <cell r="N27">
            <v>2</v>
          </cell>
          <cell r="O27">
            <v>2</v>
          </cell>
          <cell r="P27">
            <v>2</v>
          </cell>
          <cell r="Q27">
            <v>2</v>
          </cell>
          <cell r="R27">
            <v>2</v>
          </cell>
          <cell r="S27">
            <v>2</v>
          </cell>
          <cell r="T27">
            <v>2</v>
          </cell>
          <cell r="U27">
            <v>2</v>
          </cell>
          <cell r="V27" t="str">
            <v>Recurrent right upper limb weakness and slurring of speech lasting approx 10minutes</v>
          </cell>
          <cell r="W27">
            <v>12.9</v>
          </cell>
          <cell r="X27">
            <v>39</v>
          </cell>
          <cell r="Z27">
            <v>40</v>
          </cell>
          <cell r="AA27">
            <v>5.8</v>
          </cell>
          <cell r="AH27" t="str">
            <v>MCV-80, B12-177</v>
          </cell>
          <cell r="AJ27" t="str">
            <v>ASL hypoperfusion seen left fronto parietal region</v>
          </cell>
          <cell r="AK27" t="str">
            <v>Short segment narrowing supraclonoid segment of left ICA</v>
          </cell>
          <cell r="AM27">
            <v>10</v>
          </cell>
          <cell r="AN27">
            <v>1</v>
          </cell>
          <cell r="AO27">
            <v>2</v>
          </cell>
          <cell r="AP27">
            <v>3</v>
          </cell>
          <cell r="AQ27">
            <v>4</v>
          </cell>
          <cell r="AS27">
            <v>1</v>
          </cell>
          <cell r="AT27">
            <v>1</v>
          </cell>
          <cell r="AU27">
            <v>2</v>
          </cell>
          <cell r="AV27">
            <v>4</v>
          </cell>
          <cell r="AW27">
            <v>8</v>
          </cell>
          <cell r="AX27">
            <v>2</v>
          </cell>
          <cell r="AY27">
            <v>2</v>
          </cell>
          <cell r="AZ27">
            <v>0</v>
          </cell>
          <cell r="BA27">
            <v>100</v>
          </cell>
        </row>
        <row r="28">
          <cell r="A28" t="str">
            <v>Sunil Sawant</v>
          </cell>
          <cell r="C28">
            <v>230104302</v>
          </cell>
          <cell r="D28">
            <v>52</v>
          </cell>
          <cell r="E28">
            <v>1</v>
          </cell>
          <cell r="H28">
            <v>44949</v>
          </cell>
          <cell r="I28">
            <v>44950</v>
          </cell>
          <cell r="J28">
            <v>9545062949</v>
          </cell>
          <cell r="L28">
            <v>6</v>
          </cell>
          <cell r="M28">
            <v>1</v>
          </cell>
          <cell r="N28">
            <v>2</v>
          </cell>
          <cell r="O28">
            <v>2</v>
          </cell>
          <cell r="P28">
            <v>2</v>
          </cell>
          <cell r="Q28">
            <v>2</v>
          </cell>
          <cell r="R28">
            <v>2</v>
          </cell>
          <cell r="S28">
            <v>2</v>
          </cell>
          <cell r="T28">
            <v>2</v>
          </cell>
          <cell r="U28">
            <v>2</v>
          </cell>
          <cell r="V28" t="str">
            <v>thyroidectomy</v>
          </cell>
          <cell r="W28">
            <v>13.4</v>
          </cell>
          <cell r="X28">
            <v>41.5</v>
          </cell>
          <cell r="Z28">
            <v>40.700000000000003</v>
          </cell>
          <cell r="AG28">
            <v>241</v>
          </cell>
          <cell r="AJ28" t="str">
            <v>Left MCA-ACA MCA-PCA infarct, Left M1 stenosis</v>
          </cell>
          <cell r="AK28" t="str">
            <v>left M1 stenosis</v>
          </cell>
          <cell r="AM28">
            <v>8</v>
          </cell>
          <cell r="AN28">
            <v>1</v>
          </cell>
          <cell r="AO28">
            <v>3</v>
          </cell>
          <cell r="AP28">
            <v>3</v>
          </cell>
          <cell r="AQ28">
            <v>5</v>
          </cell>
          <cell r="AS28">
            <v>1</v>
          </cell>
          <cell r="AT28">
            <v>1</v>
          </cell>
          <cell r="AU28">
            <v>2</v>
          </cell>
          <cell r="AV28">
            <v>4</v>
          </cell>
          <cell r="AW28">
            <v>8</v>
          </cell>
          <cell r="AX28">
            <v>2</v>
          </cell>
          <cell r="AY28">
            <v>2</v>
          </cell>
          <cell r="AZ28">
            <v>0</v>
          </cell>
          <cell r="BA28">
            <v>100</v>
          </cell>
        </row>
        <row r="29">
          <cell r="A29" t="str">
            <v>Tanubai Gole</v>
          </cell>
          <cell r="C29">
            <v>130405530</v>
          </cell>
          <cell r="D29">
            <v>84</v>
          </cell>
          <cell r="E29">
            <v>2</v>
          </cell>
          <cell r="H29">
            <v>44824</v>
          </cell>
          <cell r="I29">
            <v>44825</v>
          </cell>
          <cell r="J29">
            <v>9325082486</v>
          </cell>
          <cell r="L29">
            <v>3</v>
          </cell>
          <cell r="M29">
            <v>1</v>
          </cell>
          <cell r="N29">
            <v>1</v>
          </cell>
          <cell r="O29">
            <v>2</v>
          </cell>
          <cell r="P29">
            <v>2</v>
          </cell>
          <cell r="Q29">
            <v>2</v>
          </cell>
          <cell r="R29">
            <v>2</v>
          </cell>
          <cell r="S29">
            <v>2</v>
          </cell>
          <cell r="T29">
            <v>2</v>
          </cell>
          <cell r="U29">
            <v>2</v>
          </cell>
          <cell r="V29" t="str">
            <v>CKD</v>
          </cell>
          <cell r="W29">
            <v>10.199999999999999</v>
          </cell>
          <cell r="X29">
            <v>31.8</v>
          </cell>
          <cell r="Z29">
            <v>10.6</v>
          </cell>
          <cell r="AB29">
            <v>147</v>
          </cell>
          <cell r="AC29">
            <v>93.4</v>
          </cell>
          <cell r="AD29">
            <v>36</v>
          </cell>
          <cell r="AE29">
            <v>17.600000000000001</v>
          </cell>
          <cell r="AF29">
            <v>88</v>
          </cell>
          <cell r="AG29">
            <v>2000</v>
          </cell>
          <cell r="AJ29" t="str">
            <v>Rt ACA watershed infarct</v>
          </cell>
          <cell r="AK29" t="str">
            <v>not done</v>
          </cell>
          <cell r="AM29">
            <v>9</v>
          </cell>
          <cell r="AS29">
            <v>1</v>
          </cell>
          <cell r="AT29">
            <v>1</v>
          </cell>
          <cell r="AU29">
            <v>2</v>
          </cell>
          <cell r="AV29">
            <v>4</v>
          </cell>
          <cell r="AW29">
            <v>8</v>
          </cell>
          <cell r="AZ29">
            <v>1</v>
          </cell>
          <cell r="BA29">
            <v>85</v>
          </cell>
        </row>
        <row r="30">
          <cell r="A30" t="str">
            <v>Nakul Sharma Mohit</v>
          </cell>
          <cell r="C30">
            <v>221105385</v>
          </cell>
          <cell r="D30">
            <v>26</v>
          </cell>
          <cell r="E30">
            <v>1</v>
          </cell>
          <cell r="H30">
            <v>44890</v>
          </cell>
          <cell r="I30">
            <v>45270</v>
          </cell>
          <cell r="J30">
            <v>7507493561</v>
          </cell>
          <cell r="L30">
            <v>20</v>
          </cell>
          <cell r="M30">
            <v>2</v>
          </cell>
          <cell r="N30">
            <v>2</v>
          </cell>
          <cell r="O30">
            <v>1</v>
          </cell>
          <cell r="P30">
            <v>1</v>
          </cell>
          <cell r="Q30">
            <v>1</v>
          </cell>
          <cell r="R30">
            <v>2</v>
          </cell>
          <cell r="S30">
            <v>2</v>
          </cell>
          <cell r="T30">
            <v>2</v>
          </cell>
          <cell r="U30">
            <v>2</v>
          </cell>
          <cell r="W30">
            <v>15.7</v>
          </cell>
          <cell r="X30">
            <v>45.2</v>
          </cell>
          <cell r="Z30">
            <v>173</v>
          </cell>
          <cell r="AA30">
            <v>4.5</v>
          </cell>
          <cell r="AB30">
            <v>120</v>
          </cell>
          <cell r="AC30">
            <v>66.2</v>
          </cell>
          <cell r="AD30">
            <v>36</v>
          </cell>
          <cell r="AE30">
            <v>17.8</v>
          </cell>
          <cell r="AF30">
            <v>89</v>
          </cell>
          <cell r="AG30">
            <v>148</v>
          </cell>
          <cell r="AH30" t="str">
            <v>ANA-neg</v>
          </cell>
          <cell r="AJ30" t="str">
            <v>Left MCA infarct</v>
          </cell>
          <cell r="AK30" t="str">
            <v>Small thrombus in ,id segment of right CCA, Thrombosis of right ICA and Right MCA, K/C/O Infarct in Rt FT, Right GC, Rt CR and Rt Insular region</v>
          </cell>
          <cell r="AM30">
            <v>8</v>
          </cell>
          <cell r="AN30">
            <v>1</v>
          </cell>
          <cell r="AO30">
            <v>2</v>
          </cell>
          <cell r="AP30">
            <v>3</v>
          </cell>
          <cell r="AQ30">
            <v>4</v>
          </cell>
          <cell r="AS30">
            <v>1</v>
          </cell>
          <cell r="AT30">
            <v>2</v>
          </cell>
          <cell r="AU30">
            <v>1</v>
          </cell>
          <cell r="AV30">
            <v>1</v>
          </cell>
          <cell r="AW30">
            <v>1</v>
          </cell>
          <cell r="AX30">
            <v>1</v>
          </cell>
          <cell r="AY30">
            <v>1</v>
          </cell>
          <cell r="AZ30">
            <v>1</v>
          </cell>
          <cell r="BA30">
            <v>90</v>
          </cell>
        </row>
        <row r="31">
          <cell r="A31" t="str">
            <v xml:space="preserve">Surendra Deshmukh </v>
          </cell>
          <cell r="C31">
            <v>230102485</v>
          </cell>
          <cell r="D31">
            <v>47</v>
          </cell>
          <cell r="E31">
            <v>1</v>
          </cell>
          <cell r="H31">
            <v>44939</v>
          </cell>
          <cell r="I31">
            <v>44943</v>
          </cell>
          <cell r="L31">
            <v>6</v>
          </cell>
          <cell r="M31">
            <v>2</v>
          </cell>
          <cell r="N31">
            <v>1</v>
          </cell>
          <cell r="O31">
            <v>1</v>
          </cell>
          <cell r="P31">
            <v>2</v>
          </cell>
          <cell r="Q31">
            <v>1</v>
          </cell>
          <cell r="R31">
            <v>2</v>
          </cell>
          <cell r="S31">
            <v>2</v>
          </cell>
          <cell r="T31">
            <v>2</v>
          </cell>
          <cell r="U31">
            <v>2</v>
          </cell>
          <cell r="V31" t="str">
            <v>B12 def, Hyper homo</v>
          </cell>
          <cell r="W31">
            <v>17.100000000000001</v>
          </cell>
          <cell r="X31">
            <v>50</v>
          </cell>
          <cell r="Z31">
            <v>81</v>
          </cell>
          <cell r="AA31">
            <v>8.1999999999999993</v>
          </cell>
          <cell r="AG31">
            <v>195</v>
          </cell>
          <cell r="AH31" t="str">
            <v>DSA: Left ICA floating thrombus causing 95% stenosis</v>
          </cell>
          <cell r="AJ31" t="str">
            <v>A/c infarct left fronto parieto occipital lobe and left centrum semiovale-s/o watershed infarct</v>
          </cell>
          <cell r="AK31" t="str">
            <v xml:space="preserve">abrupt cutoff of left ICA with reformation of supraclinoid segment of left ICA s/o thrombosis </v>
          </cell>
          <cell r="AM31">
            <v>8</v>
          </cell>
          <cell r="AN31">
            <v>1</v>
          </cell>
          <cell r="AO31">
            <v>4</v>
          </cell>
          <cell r="AP31">
            <v>3</v>
          </cell>
          <cell r="AQ31">
            <v>5</v>
          </cell>
          <cell r="AS31">
            <v>1</v>
          </cell>
          <cell r="AU31">
            <v>1</v>
          </cell>
          <cell r="AV31">
            <v>1</v>
          </cell>
          <cell r="AW31">
            <v>1</v>
          </cell>
          <cell r="AX31">
            <v>2</v>
          </cell>
          <cell r="AY31">
            <v>2</v>
          </cell>
          <cell r="AZ31">
            <v>0</v>
          </cell>
          <cell r="BA31">
            <v>100</v>
          </cell>
        </row>
        <row r="32">
          <cell r="A32" t="str">
            <v>Deepak Mandalik</v>
          </cell>
          <cell r="C32">
            <v>230105996</v>
          </cell>
          <cell r="D32">
            <v>37</v>
          </cell>
          <cell r="E32">
            <v>1</v>
          </cell>
          <cell r="H32">
            <v>44957</v>
          </cell>
          <cell r="I32">
            <v>44959</v>
          </cell>
          <cell r="L32">
            <v>1</v>
          </cell>
          <cell r="M32">
            <v>1</v>
          </cell>
          <cell r="N32">
            <v>1</v>
          </cell>
          <cell r="O32">
            <v>2</v>
          </cell>
          <cell r="P32">
            <v>2</v>
          </cell>
          <cell r="Q32">
            <v>2</v>
          </cell>
          <cell r="R32">
            <v>2</v>
          </cell>
          <cell r="S32">
            <v>2</v>
          </cell>
          <cell r="T32">
            <v>2</v>
          </cell>
          <cell r="U32">
            <v>2</v>
          </cell>
          <cell r="V32" t="str">
            <v>Hyperhomo</v>
          </cell>
          <cell r="W32">
            <v>16.2</v>
          </cell>
          <cell r="Z32">
            <v>64</v>
          </cell>
          <cell r="AA32">
            <v>6.7</v>
          </cell>
          <cell r="AB32">
            <v>206</v>
          </cell>
          <cell r="AC32">
            <v>99</v>
          </cell>
          <cell r="AD32">
            <v>29</v>
          </cell>
          <cell r="AE32">
            <v>77</v>
          </cell>
          <cell r="AF32">
            <v>386</v>
          </cell>
          <cell r="AG32">
            <v>190</v>
          </cell>
          <cell r="AJ32" t="str">
            <v>Rt internal watershed infarct ACA+MCA and MCA+PCA</v>
          </cell>
          <cell r="AK32" t="str">
            <v>Rt carvenous segment ICA Plague</v>
          </cell>
          <cell r="AM32">
            <v>9</v>
          </cell>
          <cell r="AN32">
            <v>1</v>
          </cell>
          <cell r="AO32">
            <v>3</v>
          </cell>
          <cell r="AP32">
            <v>3</v>
          </cell>
          <cell r="AQ32">
            <v>5</v>
          </cell>
          <cell r="AS32">
            <v>1</v>
          </cell>
          <cell r="AT32">
            <v>1</v>
          </cell>
          <cell r="AU32">
            <v>2</v>
          </cell>
          <cell r="AV32">
            <v>4</v>
          </cell>
          <cell r="AW32">
            <v>8</v>
          </cell>
          <cell r="AX32">
            <v>2</v>
          </cell>
          <cell r="AY32">
            <v>2</v>
          </cell>
          <cell r="AZ32">
            <v>0</v>
          </cell>
          <cell r="BA32">
            <v>100</v>
          </cell>
        </row>
        <row r="33">
          <cell r="A33" t="str">
            <v>Kamal Bhosale Maruti</v>
          </cell>
          <cell r="C33">
            <v>220904362</v>
          </cell>
          <cell r="D33">
            <v>65</v>
          </cell>
          <cell r="E33">
            <v>2</v>
          </cell>
          <cell r="H33">
            <v>44827</v>
          </cell>
          <cell r="I33">
            <v>44829</v>
          </cell>
          <cell r="J33">
            <v>9657788822</v>
          </cell>
          <cell r="K33">
            <v>9112318022</v>
          </cell>
          <cell r="L33">
            <v>24</v>
          </cell>
          <cell r="M33">
            <v>1</v>
          </cell>
          <cell r="N33">
            <v>2</v>
          </cell>
          <cell r="O33">
            <v>2</v>
          </cell>
          <cell r="P33">
            <v>2</v>
          </cell>
          <cell r="Q33">
            <v>2</v>
          </cell>
          <cell r="R33">
            <v>2</v>
          </cell>
          <cell r="S33">
            <v>2</v>
          </cell>
          <cell r="T33">
            <v>2</v>
          </cell>
          <cell r="U33">
            <v>2</v>
          </cell>
          <cell r="V33" t="str">
            <v>pulmonary kochs+</v>
          </cell>
          <cell r="W33">
            <v>12</v>
          </cell>
          <cell r="X33">
            <v>38.9</v>
          </cell>
          <cell r="Z33">
            <v>8</v>
          </cell>
          <cell r="AG33">
            <v>732</v>
          </cell>
          <cell r="AH33" t="str">
            <v>mcv-79.4</v>
          </cell>
          <cell r="AJ33" t="str">
            <v>Rt FTP, lentiform nucleus, Rt insular Infarct</v>
          </cell>
          <cell r="AK33" t="str">
            <v>M1 Rt MCA eccentric fully defect distal M1, M2 narrow</v>
          </cell>
          <cell r="AM33">
            <v>8</v>
          </cell>
          <cell r="AN33">
            <v>2</v>
          </cell>
          <cell r="AO33">
            <v>3</v>
          </cell>
          <cell r="AP33">
            <v>3</v>
          </cell>
          <cell r="AQ33">
            <v>4</v>
          </cell>
          <cell r="AS33">
            <v>1</v>
          </cell>
          <cell r="AT33">
            <v>1</v>
          </cell>
          <cell r="AU33">
            <v>2</v>
          </cell>
          <cell r="AV33">
            <v>4</v>
          </cell>
          <cell r="AW33">
            <v>8</v>
          </cell>
          <cell r="AX33">
            <v>2</v>
          </cell>
          <cell r="AY33">
            <v>2</v>
          </cell>
          <cell r="AZ33">
            <v>6</v>
          </cell>
          <cell r="BA33">
            <v>0</v>
          </cell>
        </row>
        <row r="34">
          <cell r="A34" t="str">
            <v>Shaikh Rajiya</v>
          </cell>
          <cell r="C34">
            <v>221101249</v>
          </cell>
          <cell r="E34">
            <v>2</v>
          </cell>
          <cell r="J34">
            <v>9762449220</v>
          </cell>
          <cell r="L34">
            <v>2</v>
          </cell>
          <cell r="M34">
            <v>1</v>
          </cell>
          <cell r="N34">
            <v>2</v>
          </cell>
          <cell r="O34">
            <v>2</v>
          </cell>
          <cell r="P34">
            <v>2</v>
          </cell>
          <cell r="Q34">
            <v>2</v>
          </cell>
          <cell r="R34">
            <v>2</v>
          </cell>
          <cell r="S34">
            <v>2</v>
          </cell>
          <cell r="T34">
            <v>2</v>
          </cell>
          <cell r="U34">
            <v>2</v>
          </cell>
          <cell r="AJ34" t="str">
            <v>Rt centrum semiovale acute infarct</v>
          </cell>
          <cell r="AK34" t="str">
            <v>Normal</v>
          </cell>
          <cell r="AZ34">
            <v>0</v>
          </cell>
          <cell r="BA34">
            <v>100</v>
          </cell>
        </row>
        <row r="35">
          <cell r="A35" t="str">
            <v>Sandip Bhopale</v>
          </cell>
          <cell r="C35">
            <v>221203423</v>
          </cell>
          <cell r="D35">
            <v>37</v>
          </cell>
          <cell r="E35">
            <v>1</v>
          </cell>
          <cell r="H35">
            <v>44911</v>
          </cell>
          <cell r="I35">
            <v>44931</v>
          </cell>
          <cell r="J35">
            <v>9307220071</v>
          </cell>
          <cell r="L35">
            <v>17</v>
          </cell>
          <cell r="M35">
            <v>2</v>
          </cell>
          <cell r="N35">
            <v>2</v>
          </cell>
          <cell r="O35">
            <v>2</v>
          </cell>
          <cell r="P35">
            <v>2</v>
          </cell>
          <cell r="Q35">
            <v>2</v>
          </cell>
          <cell r="R35">
            <v>2</v>
          </cell>
          <cell r="S35">
            <v>2</v>
          </cell>
          <cell r="T35">
            <v>2</v>
          </cell>
          <cell r="U35">
            <v>2</v>
          </cell>
          <cell r="W35">
            <v>12.6</v>
          </cell>
          <cell r="X35">
            <v>38.299999999999997</v>
          </cell>
          <cell r="Z35">
            <v>23.02</v>
          </cell>
          <cell r="AB35">
            <v>143</v>
          </cell>
          <cell r="AC35">
            <v>90.6</v>
          </cell>
          <cell r="AD35">
            <v>32</v>
          </cell>
          <cell r="AE35">
            <v>20.399999999999999</v>
          </cell>
          <cell r="AF35">
            <v>102</v>
          </cell>
          <cell r="AG35">
            <v>2000</v>
          </cell>
          <cell r="AJ35" t="str">
            <v>Left ACA-MCA infarct with uncal herniation</v>
          </cell>
          <cell r="AK35" t="str">
            <v xml:space="preserve">Left ICA 75-80% stenosis, left M1 MCA Left ACA thrombosis </v>
          </cell>
          <cell r="AM35">
            <v>4</v>
          </cell>
          <cell r="AN35">
            <v>2</v>
          </cell>
          <cell r="AO35">
            <v>3</v>
          </cell>
          <cell r="AP35">
            <v>1</v>
          </cell>
          <cell r="AQ35">
            <v>3</v>
          </cell>
          <cell r="AS35">
            <v>1</v>
          </cell>
          <cell r="AT35">
            <v>2</v>
          </cell>
          <cell r="AU35">
            <v>2</v>
          </cell>
          <cell r="AV35">
            <v>4</v>
          </cell>
          <cell r="AW35">
            <v>8</v>
          </cell>
          <cell r="AX35">
            <v>2</v>
          </cell>
          <cell r="AY35">
            <v>1</v>
          </cell>
          <cell r="AZ35">
            <v>4</v>
          </cell>
          <cell r="BA35">
            <v>40</v>
          </cell>
        </row>
        <row r="36">
          <cell r="A36" t="str">
            <v xml:space="preserve">Chandrakant Khopade </v>
          </cell>
          <cell r="C36">
            <v>190402866</v>
          </cell>
          <cell r="D36">
            <v>60</v>
          </cell>
          <cell r="E36">
            <v>1</v>
          </cell>
          <cell r="H36">
            <v>44941</v>
          </cell>
          <cell r="I36">
            <v>44960</v>
          </cell>
          <cell r="J36">
            <v>9067030236</v>
          </cell>
          <cell r="L36">
            <v>18</v>
          </cell>
          <cell r="M36">
            <v>2</v>
          </cell>
          <cell r="N36">
            <v>2</v>
          </cell>
          <cell r="O36">
            <v>2</v>
          </cell>
          <cell r="P36">
            <v>2</v>
          </cell>
          <cell r="Q36">
            <v>2</v>
          </cell>
          <cell r="R36">
            <v>2</v>
          </cell>
          <cell r="S36">
            <v>1</v>
          </cell>
          <cell r="T36">
            <v>2</v>
          </cell>
          <cell r="U36">
            <v>2</v>
          </cell>
          <cell r="W36">
            <v>14</v>
          </cell>
          <cell r="X36">
            <v>32</v>
          </cell>
          <cell r="Z36">
            <v>22</v>
          </cell>
          <cell r="AA36">
            <v>5.5</v>
          </cell>
          <cell r="AG36">
            <v>171</v>
          </cell>
          <cell r="AH36" t="str">
            <v>MCV-95, DSA post Lysis: Complete recanalization of Rt MCA</v>
          </cell>
          <cell r="AJ36" t="str">
            <v>Rt MCA infarct</v>
          </cell>
          <cell r="AK36" t="str">
            <v xml:space="preserve">No opacification of left ICAfrom its origin s/o occlusion thrombosis. non opacification of M1, M2 and proximal M2 segment of rt MCA </v>
          </cell>
          <cell r="AM36">
            <v>3</v>
          </cell>
          <cell r="AN36">
            <v>2</v>
          </cell>
          <cell r="AO36">
            <v>2</v>
          </cell>
          <cell r="AP36">
            <v>1</v>
          </cell>
          <cell r="AQ36">
            <v>3</v>
          </cell>
          <cell r="AS36">
            <v>1</v>
          </cell>
          <cell r="AT36">
            <v>2</v>
          </cell>
          <cell r="AU36">
            <v>1</v>
          </cell>
          <cell r="AV36">
            <v>1</v>
          </cell>
          <cell r="AW36">
            <v>4</v>
          </cell>
          <cell r="AX36">
            <v>2</v>
          </cell>
          <cell r="AY36">
            <v>2</v>
          </cell>
          <cell r="AZ36">
            <v>4</v>
          </cell>
          <cell r="BA36">
            <v>30</v>
          </cell>
        </row>
        <row r="37">
          <cell r="A37" t="str">
            <v>Ghorpade Rakesh</v>
          </cell>
          <cell r="C37">
            <v>220402573</v>
          </cell>
          <cell r="D37">
            <v>50</v>
          </cell>
          <cell r="E37">
            <v>1</v>
          </cell>
          <cell r="H37">
            <v>44974</v>
          </cell>
          <cell r="I37">
            <v>44979</v>
          </cell>
          <cell r="J37">
            <v>9373878732</v>
          </cell>
          <cell r="L37">
            <v>3</v>
          </cell>
          <cell r="M37">
            <v>1</v>
          </cell>
          <cell r="N37">
            <v>2</v>
          </cell>
          <cell r="O37">
            <v>2</v>
          </cell>
          <cell r="P37">
            <v>2</v>
          </cell>
          <cell r="Q37">
            <v>2</v>
          </cell>
          <cell r="R37">
            <v>2</v>
          </cell>
          <cell r="S37">
            <v>2</v>
          </cell>
          <cell r="T37">
            <v>2</v>
          </cell>
          <cell r="U37">
            <v>2</v>
          </cell>
          <cell r="V37" t="str">
            <v>Hyperhomocystenemia</v>
          </cell>
          <cell r="W37">
            <v>16.2</v>
          </cell>
          <cell r="X37">
            <v>47</v>
          </cell>
          <cell r="Z37">
            <v>70</v>
          </cell>
          <cell r="AA37">
            <v>5.4</v>
          </cell>
          <cell r="AG37">
            <v>2000</v>
          </cell>
          <cell r="AH37" t="str">
            <v>MCV-96, DSA: Left CCA bifurcation 5-10% stenosis, moderate stenosis 40-50% Rt CCA bifurcation, Partia lumen occluding thrombus in M4 segment Rt MCA</v>
          </cell>
          <cell r="AJ37" t="str">
            <v>Acute infarct right centrum semiovale</v>
          </cell>
          <cell r="AK37" t="str">
            <v>normal</v>
          </cell>
          <cell r="AM37">
            <v>10</v>
          </cell>
          <cell r="AN37">
            <v>1</v>
          </cell>
          <cell r="AO37">
            <v>3</v>
          </cell>
          <cell r="AP37">
            <v>3</v>
          </cell>
          <cell r="AQ37">
            <v>5</v>
          </cell>
          <cell r="AS37">
            <v>1</v>
          </cell>
          <cell r="AT37">
            <v>2</v>
          </cell>
          <cell r="AU37">
            <v>1</v>
          </cell>
          <cell r="AV37">
            <v>1</v>
          </cell>
          <cell r="AW37">
            <v>8</v>
          </cell>
          <cell r="AX37">
            <v>2</v>
          </cell>
          <cell r="AY37">
            <v>2</v>
          </cell>
          <cell r="AZ37">
            <v>1</v>
          </cell>
          <cell r="BA37">
            <v>85</v>
          </cell>
        </row>
        <row r="38">
          <cell r="A38" t="str">
            <v xml:space="preserve">Prakash C Mugali </v>
          </cell>
          <cell r="C38">
            <v>131202821</v>
          </cell>
          <cell r="D38">
            <v>32</v>
          </cell>
          <cell r="E38">
            <v>1</v>
          </cell>
          <cell r="H38">
            <v>44982</v>
          </cell>
          <cell r="I38">
            <v>44986</v>
          </cell>
          <cell r="J38">
            <v>9823579765</v>
          </cell>
          <cell r="L38">
            <v>1</v>
          </cell>
          <cell r="M38">
            <v>2</v>
          </cell>
          <cell r="N38">
            <v>2</v>
          </cell>
          <cell r="O38">
            <v>2</v>
          </cell>
          <cell r="P38">
            <v>2</v>
          </cell>
          <cell r="Q38">
            <v>2</v>
          </cell>
          <cell r="R38">
            <v>2</v>
          </cell>
          <cell r="S38">
            <v>2</v>
          </cell>
          <cell r="T38">
            <v>2</v>
          </cell>
          <cell r="U38">
            <v>2</v>
          </cell>
          <cell r="V38" t="str">
            <v>presented with seizures</v>
          </cell>
          <cell r="W38">
            <v>14.6</v>
          </cell>
          <cell r="Z38">
            <v>27</v>
          </cell>
          <cell r="AB38">
            <v>237</v>
          </cell>
          <cell r="AC38">
            <v>156</v>
          </cell>
          <cell r="AD38">
            <v>54</v>
          </cell>
          <cell r="AE38">
            <v>26</v>
          </cell>
          <cell r="AF38">
            <v>133</v>
          </cell>
          <cell r="AG38">
            <v>156</v>
          </cell>
          <cell r="AJ38" t="str">
            <v>Tiny infarct left precentral gyrus and left parieto occipital cortex</v>
          </cell>
          <cell r="AK38" t="str">
            <v>Left ICA 60-70% Suspicion of dissection</v>
          </cell>
          <cell r="AM38">
            <v>10</v>
          </cell>
          <cell r="AN38">
            <v>1</v>
          </cell>
          <cell r="AO38">
            <v>3</v>
          </cell>
          <cell r="AP38">
            <v>3</v>
          </cell>
          <cell r="AQ38">
            <v>5</v>
          </cell>
          <cell r="AS38">
            <v>1</v>
          </cell>
          <cell r="AT38">
            <v>1</v>
          </cell>
          <cell r="AU38">
            <v>2</v>
          </cell>
          <cell r="AV38">
            <v>4</v>
          </cell>
          <cell r="AW38">
            <v>8</v>
          </cell>
          <cell r="AX38">
            <v>2</v>
          </cell>
          <cell r="AY38">
            <v>2</v>
          </cell>
          <cell r="AZ38">
            <v>1</v>
          </cell>
          <cell r="BA38">
            <v>95</v>
          </cell>
        </row>
        <row r="39">
          <cell r="A39" t="str">
            <v xml:space="preserve">Putage Siddhavva Maruti </v>
          </cell>
          <cell r="D39">
            <v>60</v>
          </cell>
          <cell r="E39">
            <v>2</v>
          </cell>
          <cell r="H39">
            <v>44876</v>
          </cell>
          <cell r="I39">
            <v>44877</v>
          </cell>
          <cell r="L39">
            <v>6</v>
          </cell>
          <cell r="M39">
            <v>1</v>
          </cell>
          <cell r="N39">
            <v>1</v>
          </cell>
          <cell r="O39">
            <v>2</v>
          </cell>
          <cell r="P39">
            <v>2</v>
          </cell>
          <cell r="Q39">
            <v>2</v>
          </cell>
          <cell r="R39">
            <v>2</v>
          </cell>
          <cell r="S39">
            <v>2</v>
          </cell>
          <cell r="T39">
            <v>2</v>
          </cell>
          <cell r="U39">
            <v>2</v>
          </cell>
          <cell r="W39">
            <v>12.3</v>
          </cell>
          <cell r="Z39">
            <v>13.88</v>
          </cell>
          <cell r="AA39">
            <v>8.8000000000000007</v>
          </cell>
          <cell r="AB39">
            <v>189</v>
          </cell>
          <cell r="AC39">
            <v>142.80000000000001</v>
          </cell>
          <cell r="AD39">
            <v>27</v>
          </cell>
          <cell r="AF39">
            <v>96</v>
          </cell>
          <cell r="AJ39" t="str">
            <v>Multiple patchy infarct ACA+MCA watershed infarct M1 distal stenosis</v>
          </cell>
          <cell r="AM39">
            <v>9</v>
          </cell>
          <cell r="AN39">
            <v>1</v>
          </cell>
          <cell r="AO39">
            <v>4</v>
          </cell>
          <cell r="AP39">
            <v>3</v>
          </cell>
          <cell r="AQ39">
            <v>5</v>
          </cell>
          <cell r="AS39">
            <v>1</v>
          </cell>
          <cell r="AT39">
            <v>1</v>
          </cell>
          <cell r="AU39">
            <v>2</v>
          </cell>
          <cell r="AV39">
            <v>4</v>
          </cell>
          <cell r="AW39">
            <v>8</v>
          </cell>
          <cell r="AX39">
            <v>2</v>
          </cell>
          <cell r="AY39">
            <v>2</v>
          </cell>
          <cell r="AZ39">
            <v>1</v>
          </cell>
          <cell r="BA39">
            <v>90</v>
          </cell>
        </row>
        <row r="40">
          <cell r="A40" t="str">
            <v>Sawant Shobha</v>
          </cell>
          <cell r="C40">
            <v>220905863</v>
          </cell>
          <cell r="D40">
            <v>48</v>
          </cell>
          <cell r="E40">
            <v>2</v>
          </cell>
          <cell r="H40">
            <v>44834</v>
          </cell>
          <cell r="I40">
            <v>44835</v>
          </cell>
          <cell r="J40">
            <v>9423453622</v>
          </cell>
          <cell r="L40">
            <v>3</v>
          </cell>
          <cell r="M40">
            <v>2</v>
          </cell>
          <cell r="N40">
            <v>2</v>
          </cell>
          <cell r="O40">
            <v>2</v>
          </cell>
          <cell r="P40">
            <v>2</v>
          </cell>
          <cell r="Q40">
            <v>2</v>
          </cell>
          <cell r="R40">
            <v>2</v>
          </cell>
          <cell r="S40">
            <v>2</v>
          </cell>
          <cell r="T40">
            <v>2</v>
          </cell>
          <cell r="U40">
            <v>2</v>
          </cell>
          <cell r="W40">
            <v>10.6</v>
          </cell>
          <cell r="X40">
            <v>32.5</v>
          </cell>
          <cell r="Z40">
            <v>6.22</v>
          </cell>
          <cell r="AG40">
            <v>494</v>
          </cell>
          <cell r="AH40" t="str">
            <v>mcv-75.5</v>
          </cell>
          <cell r="AJ40" t="str">
            <v>Acute Rt Parietal lobe infarct, Paucity of cortical branches Rt MCA poor collaterals</v>
          </cell>
          <cell r="AK40" t="str">
            <v>Infarct in parietal lobe, paucity of cortical branches of Rt MCA with poor collateralization in the region of the infarct</v>
          </cell>
          <cell r="AM40">
            <v>9</v>
          </cell>
          <cell r="AN40">
            <v>1</v>
          </cell>
          <cell r="AO40">
            <v>4</v>
          </cell>
          <cell r="AP40">
            <v>3</v>
          </cell>
          <cell r="AQ40">
            <v>5</v>
          </cell>
          <cell r="AS40">
            <v>1</v>
          </cell>
          <cell r="AT40">
            <v>1</v>
          </cell>
          <cell r="AU40">
            <v>2</v>
          </cell>
          <cell r="AV40">
            <v>4</v>
          </cell>
          <cell r="AW40">
            <v>8</v>
          </cell>
          <cell r="AX40">
            <v>2</v>
          </cell>
          <cell r="AY40">
            <v>2</v>
          </cell>
          <cell r="AZ40">
            <v>0</v>
          </cell>
          <cell r="BA40">
            <v>100</v>
          </cell>
        </row>
        <row r="41">
          <cell r="A41" t="str">
            <v>Dhangekar Fenu</v>
          </cell>
          <cell r="C41">
            <v>221004402</v>
          </cell>
          <cell r="D41">
            <v>55</v>
          </cell>
          <cell r="E41">
            <v>2</v>
          </cell>
          <cell r="H41">
            <v>44861</v>
          </cell>
          <cell r="I41">
            <v>44862</v>
          </cell>
          <cell r="J41">
            <v>9730042462</v>
          </cell>
          <cell r="L41">
            <v>3</v>
          </cell>
          <cell r="M41">
            <v>1</v>
          </cell>
          <cell r="N41">
            <v>1</v>
          </cell>
          <cell r="O41">
            <v>2</v>
          </cell>
          <cell r="P41">
            <v>2</v>
          </cell>
          <cell r="Q41">
            <v>2</v>
          </cell>
          <cell r="R41">
            <v>2</v>
          </cell>
          <cell r="S41">
            <v>2</v>
          </cell>
          <cell r="T41">
            <v>2</v>
          </cell>
          <cell r="U41">
            <v>2</v>
          </cell>
          <cell r="V41" t="str">
            <v>Hypothyroidism</v>
          </cell>
          <cell r="W41">
            <v>10</v>
          </cell>
          <cell r="X41">
            <v>32.1</v>
          </cell>
          <cell r="Z41">
            <v>19.98</v>
          </cell>
          <cell r="AA41">
            <v>10.9</v>
          </cell>
          <cell r="AG41">
            <v>271</v>
          </cell>
          <cell r="AH41" t="str">
            <v>Dengue +ve</v>
          </cell>
          <cell r="AJ41" t="str">
            <v xml:space="preserve">Acute infarct in CR and GC region </v>
          </cell>
          <cell r="AM41">
            <v>9</v>
          </cell>
          <cell r="AN41">
            <v>1</v>
          </cell>
          <cell r="AO41">
            <v>3</v>
          </cell>
          <cell r="AP41">
            <v>3</v>
          </cell>
          <cell r="AQ41">
            <v>5</v>
          </cell>
          <cell r="AS41">
            <v>1</v>
          </cell>
          <cell r="AT41">
            <v>1</v>
          </cell>
          <cell r="AU41">
            <v>2</v>
          </cell>
          <cell r="AV41">
            <v>4</v>
          </cell>
          <cell r="AW41">
            <v>8</v>
          </cell>
          <cell r="AX41">
            <v>2</v>
          </cell>
          <cell r="AY41">
            <v>2</v>
          </cell>
          <cell r="AZ41">
            <v>0</v>
          </cell>
          <cell r="BA41">
            <v>100</v>
          </cell>
        </row>
        <row r="42">
          <cell r="A42" t="str">
            <v>Ramchandrakant S Pangarkar</v>
          </cell>
          <cell r="C42">
            <v>230102622</v>
          </cell>
          <cell r="D42">
            <v>78</v>
          </cell>
          <cell r="E42">
            <v>1</v>
          </cell>
          <cell r="H42">
            <v>44940</v>
          </cell>
          <cell r="I42">
            <v>44940</v>
          </cell>
          <cell r="L42">
            <v>20</v>
          </cell>
          <cell r="M42">
            <v>1</v>
          </cell>
          <cell r="N42">
            <v>2</v>
          </cell>
          <cell r="O42">
            <v>2</v>
          </cell>
          <cell r="P42">
            <v>2</v>
          </cell>
          <cell r="Q42">
            <v>2</v>
          </cell>
          <cell r="R42">
            <v>2</v>
          </cell>
          <cell r="S42">
            <v>2</v>
          </cell>
          <cell r="T42">
            <v>2</v>
          </cell>
          <cell r="U42">
            <v>2</v>
          </cell>
          <cell r="V42" t="str">
            <v>15 days ago Rt hemiparesis lasted for 1 hour</v>
          </cell>
          <cell r="W42">
            <v>11</v>
          </cell>
          <cell r="Z42">
            <v>21</v>
          </cell>
          <cell r="AG42">
            <v>410</v>
          </cell>
          <cell r="AH42" t="str">
            <v>MCV-77</v>
          </cell>
          <cell r="AJ42" t="str">
            <v>Left MCA infarct</v>
          </cell>
          <cell r="AK42" t="str">
            <v>Left M1 and terminal M2 segment thrombosis</v>
          </cell>
          <cell r="AM42">
            <v>3</v>
          </cell>
          <cell r="AN42">
            <v>2</v>
          </cell>
          <cell r="AO42">
            <v>2</v>
          </cell>
          <cell r="AP42">
            <v>2</v>
          </cell>
          <cell r="AQ42">
            <v>3</v>
          </cell>
          <cell r="AS42">
            <v>1</v>
          </cell>
          <cell r="AT42">
            <v>2</v>
          </cell>
          <cell r="AU42">
            <v>2</v>
          </cell>
          <cell r="AV42">
            <v>4</v>
          </cell>
          <cell r="AW42">
            <v>8</v>
          </cell>
          <cell r="AX42">
            <v>2</v>
          </cell>
          <cell r="AY42">
            <v>2</v>
          </cell>
          <cell r="AZ42">
            <v>6</v>
          </cell>
          <cell r="BA42">
            <v>0</v>
          </cell>
        </row>
        <row r="43">
          <cell r="A43" t="str">
            <v>Santosh Shinde</v>
          </cell>
          <cell r="C43">
            <v>220901611</v>
          </cell>
          <cell r="D43">
            <v>45</v>
          </cell>
          <cell r="E43">
            <v>1</v>
          </cell>
          <cell r="L43">
            <v>2</v>
          </cell>
          <cell r="M43">
            <v>1</v>
          </cell>
          <cell r="AS43">
            <v>1</v>
          </cell>
          <cell r="AT43">
            <v>1</v>
          </cell>
          <cell r="AU43">
            <v>2</v>
          </cell>
        </row>
        <row r="44">
          <cell r="A44" t="str">
            <v>Kadam Swaroop</v>
          </cell>
          <cell r="C44">
            <v>220901750</v>
          </cell>
          <cell r="D44">
            <v>18</v>
          </cell>
          <cell r="E44">
            <v>1</v>
          </cell>
          <cell r="H44">
            <v>44812</v>
          </cell>
          <cell r="I44">
            <v>44813</v>
          </cell>
          <cell r="J44">
            <v>8459425016</v>
          </cell>
          <cell r="L44">
            <v>18</v>
          </cell>
          <cell r="M44">
            <v>2</v>
          </cell>
          <cell r="N44">
            <v>2</v>
          </cell>
          <cell r="O44">
            <v>2</v>
          </cell>
          <cell r="P44">
            <v>2</v>
          </cell>
          <cell r="Q44">
            <v>2</v>
          </cell>
          <cell r="R44">
            <v>2</v>
          </cell>
          <cell r="S44">
            <v>2</v>
          </cell>
          <cell r="T44">
            <v>2</v>
          </cell>
          <cell r="U44">
            <v>2</v>
          </cell>
          <cell r="W44">
            <v>14.3</v>
          </cell>
          <cell r="X44">
            <v>43.5</v>
          </cell>
          <cell r="Z44">
            <v>80.400000000000006</v>
          </cell>
          <cell r="AA44">
            <v>5.6</v>
          </cell>
          <cell r="AB44">
            <v>132</v>
          </cell>
          <cell r="AC44">
            <v>69.400000000000006</v>
          </cell>
          <cell r="AD44">
            <v>36</v>
          </cell>
          <cell r="AE44">
            <v>26.6</v>
          </cell>
          <cell r="AF44">
            <v>133</v>
          </cell>
          <cell r="AG44">
            <v>1572</v>
          </cell>
          <cell r="AJ44" t="str">
            <v>Acute left MCA infarct</v>
          </cell>
          <cell r="AM44">
            <v>1</v>
          </cell>
          <cell r="AS44">
            <v>1</v>
          </cell>
          <cell r="AT44">
            <v>2</v>
          </cell>
          <cell r="AU44">
            <v>2</v>
          </cell>
          <cell r="AV44">
            <v>4</v>
          </cell>
          <cell r="AW44">
            <v>8</v>
          </cell>
          <cell r="AX44">
            <v>2</v>
          </cell>
          <cell r="AY44">
            <v>2</v>
          </cell>
          <cell r="AZ44">
            <v>5</v>
          </cell>
          <cell r="BA44">
            <v>25</v>
          </cell>
        </row>
        <row r="45">
          <cell r="A45" t="str">
            <v>Tambe subhash Baburao</v>
          </cell>
          <cell r="C45">
            <v>221102647</v>
          </cell>
          <cell r="D45">
            <v>50</v>
          </cell>
          <cell r="E45">
            <v>1</v>
          </cell>
          <cell r="J45">
            <v>9822962829</v>
          </cell>
          <cell r="L45">
            <v>4</v>
          </cell>
          <cell r="M45">
            <v>2</v>
          </cell>
          <cell r="N45">
            <v>1</v>
          </cell>
          <cell r="O45">
            <v>1</v>
          </cell>
          <cell r="P45">
            <v>2</v>
          </cell>
          <cell r="Q45">
            <v>1</v>
          </cell>
          <cell r="R45">
            <v>2</v>
          </cell>
          <cell r="S45">
            <v>2</v>
          </cell>
          <cell r="T45">
            <v>2</v>
          </cell>
          <cell r="U45">
            <v>2</v>
          </cell>
          <cell r="W45">
            <v>9.6</v>
          </cell>
          <cell r="X45">
            <v>30.4</v>
          </cell>
          <cell r="Z45">
            <v>12.36</v>
          </cell>
          <cell r="AA45">
            <v>8.6</v>
          </cell>
          <cell r="AG45">
            <v>2000</v>
          </cell>
          <cell r="AH45" t="str">
            <v>MCV-66.5</v>
          </cell>
          <cell r="AJ45" t="str">
            <v>Acute infarct in left parietal occipital frontal temporal lobe, left distal M1 segment severe stenosis, LMCA paucity</v>
          </cell>
          <cell r="AM45">
            <v>9</v>
          </cell>
          <cell r="AN45">
            <v>1</v>
          </cell>
          <cell r="AO45">
            <v>3</v>
          </cell>
          <cell r="AP45">
            <v>3</v>
          </cell>
          <cell r="AQ45">
            <v>4</v>
          </cell>
          <cell r="AS45">
            <v>1</v>
          </cell>
          <cell r="AT45">
            <v>1</v>
          </cell>
          <cell r="AU45">
            <v>2</v>
          </cell>
          <cell r="AV45">
            <v>4</v>
          </cell>
          <cell r="AW45">
            <v>8</v>
          </cell>
          <cell r="AX45">
            <v>2</v>
          </cell>
          <cell r="AY45">
            <v>2</v>
          </cell>
          <cell r="AZ45">
            <v>0</v>
          </cell>
          <cell r="BA45">
            <v>100</v>
          </cell>
        </row>
        <row r="46">
          <cell r="A46" t="str">
            <v>Mangal Marathe</v>
          </cell>
          <cell r="C46">
            <v>230400216</v>
          </cell>
          <cell r="D46">
            <v>50</v>
          </cell>
          <cell r="E46">
            <v>2</v>
          </cell>
          <cell r="H46">
            <v>45017</v>
          </cell>
          <cell r="J46">
            <v>7741876906</v>
          </cell>
          <cell r="L46">
            <v>19</v>
          </cell>
          <cell r="M46">
            <v>1</v>
          </cell>
          <cell r="N46">
            <v>2</v>
          </cell>
          <cell r="O46">
            <v>2</v>
          </cell>
          <cell r="P46">
            <v>2</v>
          </cell>
          <cell r="Q46">
            <v>2</v>
          </cell>
          <cell r="R46">
            <v>2</v>
          </cell>
          <cell r="S46">
            <v>2</v>
          </cell>
          <cell r="T46">
            <v>2</v>
          </cell>
          <cell r="U46">
            <v>2</v>
          </cell>
          <cell r="W46">
            <v>8.4</v>
          </cell>
          <cell r="X46">
            <v>28</v>
          </cell>
          <cell r="AA46">
            <v>7.4</v>
          </cell>
          <cell r="AB46">
            <v>257</v>
          </cell>
          <cell r="AC46">
            <v>182</v>
          </cell>
          <cell r="AD46">
            <v>51</v>
          </cell>
          <cell r="AE46">
            <v>23</v>
          </cell>
          <cell r="AF46">
            <v>116</v>
          </cell>
          <cell r="AG46">
            <v>413</v>
          </cell>
          <cell r="AJ46" t="str">
            <v>Large area of hypoattenuation with loss of gray white differentiation in Rt FTP lobe and RT GC region consistent with right MCA infarct. Hypodense Rt MCA sigh +. Midline shift 6.4mm mild right medial uncal herniation</v>
          </cell>
          <cell r="AM46">
            <v>4</v>
          </cell>
          <cell r="AS46">
            <v>1</v>
          </cell>
          <cell r="AT46">
            <v>1</v>
          </cell>
          <cell r="AU46">
            <v>2</v>
          </cell>
          <cell r="AV46">
            <v>4</v>
          </cell>
          <cell r="AW46">
            <v>8</v>
          </cell>
          <cell r="AX46">
            <v>2</v>
          </cell>
          <cell r="AY46">
            <v>2</v>
          </cell>
        </row>
        <row r="47">
          <cell r="A47" t="str">
            <v>Mrunal Sawant</v>
          </cell>
          <cell r="C47">
            <v>230305332</v>
          </cell>
          <cell r="D47">
            <v>49</v>
          </cell>
          <cell r="E47">
            <v>2</v>
          </cell>
          <cell r="H47">
            <v>45013</v>
          </cell>
          <cell r="J47">
            <v>7875730168</v>
          </cell>
          <cell r="L47">
            <v>16</v>
          </cell>
          <cell r="M47">
            <v>1</v>
          </cell>
          <cell r="N47">
            <v>1</v>
          </cell>
          <cell r="O47">
            <v>2</v>
          </cell>
          <cell r="P47">
            <v>2</v>
          </cell>
          <cell r="Q47">
            <v>2</v>
          </cell>
          <cell r="R47">
            <v>2</v>
          </cell>
          <cell r="S47">
            <v>2</v>
          </cell>
          <cell r="T47">
            <v>2</v>
          </cell>
          <cell r="U47">
            <v>2</v>
          </cell>
          <cell r="V47" t="str">
            <v>Metabolic syndrome, Hypothyroid</v>
          </cell>
          <cell r="W47">
            <v>12.8</v>
          </cell>
          <cell r="X47">
            <v>41</v>
          </cell>
          <cell r="Z47">
            <v>13</v>
          </cell>
          <cell r="AA47">
            <v>9.1999999999999993</v>
          </cell>
          <cell r="AH47" t="str">
            <v>MCV-82</v>
          </cell>
          <cell r="AJ47" t="str">
            <v>A/c infarct in left PCIC and Rt putamen and Rt periventricular region</v>
          </cell>
          <cell r="AK47" t="str">
            <v>Mild paucity of cortical branches Rt MCA</v>
          </cell>
          <cell r="AM47">
            <v>8</v>
          </cell>
          <cell r="AN47">
            <v>1</v>
          </cell>
          <cell r="AO47">
            <v>4</v>
          </cell>
          <cell r="AP47">
            <v>3</v>
          </cell>
          <cell r="AQ47">
            <v>5</v>
          </cell>
        </row>
        <row r="48">
          <cell r="A48" t="str">
            <v>Parshuram Shinde</v>
          </cell>
          <cell r="C48">
            <v>230305267</v>
          </cell>
          <cell r="D48">
            <v>80</v>
          </cell>
          <cell r="E48">
            <v>1</v>
          </cell>
          <cell r="H48">
            <v>45012</v>
          </cell>
          <cell r="J48">
            <v>9850833398</v>
          </cell>
          <cell r="L48">
            <v>24</v>
          </cell>
          <cell r="M48">
            <v>2</v>
          </cell>
          <cell r="N48">
            <v>2</v>
          </cell>
          <cell r="O48">
            <v>2</v>
          </cell>
          <cell r="P48">
            <v>1</v>
          </cell>
          <cell r="Q48">
            <v>2</v>
          </cell>
          <cell r="R48">
            <v>2</v>
          </cell>
          <cell r="S48">
            <v>2</v>
          </cell>
          <cell r="T48">
            <v>2</v>
          </cell>
          <cell r="U48">
            <v>2</v>
          </cell>
          <cell r="W48">
            <v>12.6</v>
          </cell>
          <cell r="X48">
            <v>36.299999999999997</v>
          </cell>
          <cell r="Z48">
            <v>14.5</v>
          </cell>
          <cell r="AA48">
            <v>5.0999999999999996</v>
          </cell>
          <cell r="AG48">
            <v>197</v>
          </cell>
          <cell r="AH48" t="str">
            <v>MCV-96.7</v>
          </cell>
          <cell r="AJ48" t="str">
            <v>a/c infarct in left frontal right centrum semiovale and left parietal lobe</v>
          </cell>
          <cell r="AK48" t="str">
            <v>normal</v>
          </cell>
          <cell r="AM48">
            <v>9</v>
          </cell>
          <cell r="AN48">
            <v>1</v>
          </cell>
          <cell r="AO48">
            <v>3</v>
          </cell>
          <cell r="AP48">
            <v>3</v>
          </cell>
          <cell r="AQ48">
            <v>5</v>
          </cell>
          <cell r="AS48">
            <v>1</v>
          </cell>
          <cell r="AT48">
            <v>1</v>
          </cell>
          <cell r="AU48">
            <v>2</v>
          </cell>
          <cell r="AV48">
            <v>4</v>
          </cell>
          <cell r="AW48">
            <v>8</v>
          </cell>
          <cell r="AX48">
            <v>2</v>
          </cell>
          <cell r="AY48">
            <v>2</v>
          </cell>
          <cell r="AZ48">
            <v>4</v>
          </cell>
          <cell r="BA48">
            <v>15</v>
          </cell>
        </row>
        <row r="49">
          <cell r="A49" t="str">
            <v>Arvinde Pawar</v>
          </cell>
          <cell r="C49">
            <v>230400708</v>
          </cell>
          <cell r="D49">
            <v>77</v>
          </cell>
          <cell r="E49">
            <v>1</v>
          </cell>
          <cell r="H49">
            <v>45020</v>
          </cell>
          <cell r="I49">
            <v>45022</v>
          </cell>
          <cell r="L49">
            <v>6</v>
          </cell>
          <cell r="M49">
            <v>2</v>
          </cell>
          <cell r="N49">
            <v>2</v>
          </cell>
          <cell r="O49">
            <v>2</v>
          </cell>
          <cell r="P49">
            <v>1</v>
          </cell>
          <cell r="Q49">
            <v>2</v>
          </cell>
          <cell r="R49">
            <v>2</v>
          </cell>
          <cell r="S49">
            <v>2</v>
          </cell>
          <cell r="T49">
            <v>2</v>
          </cell>
          <cell r="U49">
            <v>2</v>
          </cell>
          <cell r="W49">
            <v>11.5</v>
          </cell>
          <cell r="Z49">
            <v>19</v>
          </cell>
          <cell r="AA49">
            <v>5.9</v>
          </cell>
          <cell r="AB49">
            <v>160</v>
          </cell>
          <cell r="AC49">
            <v>109</v>
          </cell>
          <cell r="AD49">
            <v>37</v>
          </cell>
          <cell r="AE49">
            <v>13</v>
          </cell>
          <cell r="AF49">
            <v>68</v>
          </cell>
          <cell r="AG49">
            <v>179</v>
          </cell>
          <cell r="AJ49" t="str">
            <v xml:space="preserve">a/c infarct b/l frontal lobes and anterior part of body of corpus callosum in right ACA territory </v>
          </cell>
          <cell r="AK49" t="str">
            <v>non occluding non calcified atherosclerotic changes, B/L CCa and ICA, Left vertibral artery 40% narrowing</v>
          </cell>
          <cell r="AM49">
            <v>9</v>
          </cell>
          <cell r="AN49">
            <v>1</v>
          </cell>
          <cell r="AO49">
            <v>3</v>
          </cell>
          <cell r="AP49">
            <v>3</v>
          </cell>
          <cell r="AQ49">
            <v>5</v>
          </cell>
          <cell r="AS49">
            <v>1</v>
          </cell>
          <cell r="AT49">
            <v>1</v>
          </cell>
          <cell r="AU49">
            <v>2</v>
          </cell>
          <cell r="AV49">
            <v>4</v>
          </cell>
          <cell r="AW49">
            <v>8</v>
          </cell>
          <cell r="AX49">
            <v>2</v>
          </cell>
          <cell r="AY49">
            <v>2</v>
          </cell>
          <cell r="AZ49">
            <v>4</v>
          </cell>
          <cell r="BA49">
            <v>60</v>
          </cell>
        </row>
        <row r="50">
          <cell r="A50" t="str">
            <v>Geeta Ajgaonkar</v>
          </cell>
          <cell r="C50">
            <v>230402472</v>
          </cell>
          <cell r="D50">
            <v>46</v>
          </cell>
          <cell r="E50">
            <v>2</v>
          </cell>
          <cell r="H50">
            <v>45032</v>
          </cell>
          <cell r="J50">
            <v>9028922641</v>
          </cell>
          <cell r="L50">
            <v>4</v>
          </cell>
          <cell r="M50">
            <v>1</v>
          </cell>
          <cell r="N50">
            <v>1</v>
          </cell>
          <cell r="O50">
            <v>2</v>
          </cell>
          <cell r="P50">
            <v>2</v>
          </cell>
          <cell r="Q50">
            <v>2</v>
          </cell>
          <cell r="R50">
            <v>2</v>
          </cell>
          <cell r="S50">
            <v>2</v>
          </cell>
          <cell r="T50">
            <v>2</v>
          </cell>
          <cell r="U50">
            <v>2</v>
          </cell>
          <cell r="W50">
            <v>13.9</v>
          </cell>
          <cell r="X50">
            <v>41.6</v>
          </cell>
          <cell r="Z50">
            <v>7.47</v>
          </cell>
          <cell r="AA50">
            <v>13.4</v>
          </cell>
          <cell r="AB50">
            <v>296</v>
          </cell>
          <cell r="AC50">
            <v>193.6</v>
          </cell>
          <cell r="AD50">
            <v>47</v>
          </cell>
          <cell r="AF50">
            <v>277</v>
          </cell>
          <cell r="AG50">
            <v>282</v>
          </cell>
          <cell r="AH50" t="str">
            <v>T3-0.63, T4-8.67, TSH-2.74</v>
          </cell>
          <cell r="AJ50" t="str">
            <v>Left periventricular region infarct</v>
          </cell>
          <cell r="AK50" t="str">
            <v>B12 carotid bulb atherosclerotic plaques</v>
          </cell>
          <cell r="AM50">
            <v>9</v>
          </cell>
          <cell r="AN50">
            <v>1</v>
          </cell>
          <cell r="AO50">
            <v>3</v>
          </cell>
          <cell r="AP50">
            <v>3</v>
          </cell>
          <cell r="AQ50">
            <v>5</v>
          </cell>
          <cell r="AS50">
            <v>1</v>
          </cell>
          <cell r="AT50">
            <v>2</v>
          </cell>
          <cell r="AU50">
            <v>1</v>
          </cell>
          <cell r="AV50">
            <v>1</v>
          </cell>
          <cell r="AW50">
            <v>8</v>
          </cell>
          <cell r="AX50">
            <v>2</v>
          </cell>
          <cell r="AY50">
            <v>2</v>
          </cell>
        </row>
        <row r="51">
          <cell r="A51" t="str">
            <v>Nathu Shelar</v>
          </cell>
          <cell r="C51">
            <v>230402432</v>
          </cell>
          <cell r="D51">
            <v>70</v>
          </cell>
          <cell r="E51">
            <v>1</v>
          </cell>
          <cell r="H51">
            <v>45032</v>
          </cell>
          <cell r="J51">
            <v>9405432189</v>
          </cell>
          <cell r="L51">
            <v>2</v>
          </cell>
          <cell r="M51">
            <v>1</v>
          </cell>
          <cell r="N51">
            <v>1</v>
          </cell>
          <cell r="O51">
            <v>1</v>
          </cell>
          <cell r="P51">
            <v>1</v>
          </cell>
          <cell r="Q51">
            <v>1</v>
          </cell>
          <cell r="R51">
            <v>2</v>
          </cell>
          <cell r="S51">
            <v>2</v>
          </cell>
          <cell r="T51">
            <v>2</v>
          </cell>
          <cell r="U51">
            <v>2</v>
          </cell>
          <cell r="W51">
            <v>11.2</v>
          </cell>
          <cell r="X51">
            <v>34.9</v>
          </cell>
          <cell r="Z51">
            <v>14</v>
          </cell>
          <cell r="AA51">
            <v>5.8</v>
          </cell>
          <cell r="AB51">
            <v>125</v>
          </cell>
          <cell r="AC51">
            <v>80.2</v>
          </cell>
          <cell r="AD51">
            <v>32</v>
          </cell>
          <cell r="AF51">
            <v>64</v>
          </cell>
          <cell r="AG51">
            <v>148</v>
          </cell>
          <cell r="AH51" t="str">
            <v>Tropinin 1- less than 0.01</v>
          </cell>
          <cell r="AJ51" t="str">
            <v>Chronic infarct in the rt corona radiata, right periventricular region and right lentiform neucleus</v>
          </cell>
          <cell r="AK51" t="str">
            <v>Left periventricular region infarct</v>
          </cell>
          <cell r="AM51">
            <v>9</v>
          </cell>
          <cell r="AN51">
            <v>1</v>
          </cell>
          <cell r="AO51">
            <v>3</v>
          </cell>
          <cell r="AP51">
            <v>3</v>
          </cell>
          <cell r="AQ51">
            <v>5</v>
          </cell>
          <cell r="AS51">
            <v>1</v>
          </cell>
          <cell r="AT51">
            <v>1</v>
          </cell>
          <cell r="AU51">
            <v>2</v>
          </cell>
        </row>
        <row r="52">
          <cell r="A52" t="str">
            <v>Utakarsh Pawar</v>
          </cell>
          <cell r="C52">
            <v>160801663</v>
          </cell>
          <cell r="D52">
            <v>54</v>
          </cell>
          <cell r="E52">
            <v>1</v>
          </cell>
          <cell r="H52">
            <v>45022</v>
          </cell>
          <cell r="J52">
            <v>9011184310</v>
          </cell>
          <cell r="L52">
            <v>11</v>
          </cell>
          <cell r="M52">
            <v>1</v>
          </cell>
          <cell r="N52">
            <v>2</v>
          </cell>
          <cell r="O52">
            <v>1</v>
          </cell>
          <cell r="P52">
            <v>1</v>
          </cell>
          <cell r="Q52">
            <v>2</v>
          </cell>
          <cell r="R52">
            <v>2</v>
          </cell>
          <cell r="S52">
            <v>2</v>
          </cell>
          <cell r="T52">
            <v>2</v>
          </cell>
          <cell r="U52">
            <v>2</v>
          </cell>
          <cell r="V52" t="str">
            <v>H/O old cva in 2016</v>
          </cell>
          <cell r="W52">
            <v>11.9</v>
          </cell>
          <cell r="X52">
            <v>40</v>
          </cell>
          <cell r="Z52">
            <v>86.69</v>
          </cell>
          <cell r="AA52">
            <v>5.6</v>
          </cell>
          <cell r="AB52">
            <v>144</v>
          </cell>
          <cell r="AC52">
            <v>70.599999999999994</v>
          </cell>
          <cell r="AD52">
            <v>27</v>
          </cell>
          <cell r="AF52">
            <v>232</v>
          </cell>
          <cell r="AG52">
            <v>148</v>
          </cell>
          <cell r="AH52" t="str">
            <v>Vit D3- 53.1, Sodium-137, Pottasium-4.1, Serum Creat- 1.01</v>
          </cell>
          <cell r="AJ52" t="str">
            <v>Left FPTO region infarct, centrum semiovale and corona radiata</v>
          </cell>
          <cell r="AK52" t="str">
            <v>Left MCA M1 Stenosis, mild paucity left mca, left ICA plaque, 20% carotid bulb compromise</v>
          </cell>
          <cell r="AM52">
            <v>10</v>
          </cell>
          <cell r="AN52">
            <v>1</v>
          </cell>
          <cell r="AO52">
            <v>3</v>
          </cell>
          <cell r="AP52">
            <v>3</v>
          </cell>
          <cell r="AQ52">
            <v>5</v>
          </cell>
          <cell r="AS52">
            <v>1</v>
          </cell>
          <cell r="AT52">
            <v>2</v>
          </cell>
          <cell r="AU52">
            <v>1</v>
          </cell>
          <cell r="AV52">
            <v>2</v>
          </cell>
          <cell r="AW52">
            <v>8</v>
          </cell>
          <cell r="AX52">
            <v>2</v>
          </cell>
          <cell r="AY52">
            <v>2</v>
          </cell>
        </row>
        <row r="53">
          <cell r="A53" t="str">
            <v>Vikas Kamble</v>
          </cell>
          <cell r="C53">
            <v>230401055</v>
          </cell>
          <cell r="D53">
            <v>42</v>
          </cell>
          <cell r="E53">
            <v>1</v>
          </cell>
          <cell r="H53">
            <v>45022</v>
          </cell>
          <cell r="J53">
            <v>9763374277</v>
          </cell>
          <cell r="L53">
            <v>1</v>
          </cell>
          <cell r="M53">
            <v>2</v>
          </cell>
          <cell r="N53">
            <v>1</v>
          </cell>
          <cell r="O53">
            <v>1</v>
          </cell>
          <cell r="P53">
            <v>1</v>
          </cell>
          <cell r="Q53">
            <v>2</v>
          </cell>
          <cell r="R53">
            <v>2</v>
          </cell>
          <cell r="S53">
            <v>2</v>
          </cell>
          <cell r="T53">
            <v>2</v>
          </cell>
          <cell r="U53">
            <v>2</v>
          </cell>
          <cell r="V53" t="str">
            <v>Father had hemiparalysis, Newly diagnose DM</v>
          </cell>
          <cell r="W53">
            <v>14.2</v>
          </cell>
          <cell r="X53">
            <v>41.6</v>
          </cell>
          <cell r="Z53">
            <v>31.78</v>
          </cell>
          <cell r="AA53">
            <v>8.4</v>
          </cell>
          <cell r="AB53">
            <v>159</v>
          </cell>
          <cell r="AC53">
            <v>110</v>
          </cell>
          <cell r="AD53">
            <v>24</v>
          </cell>
          <cell r="AF53">
            <v>122</v>
          </cell>
          <cell r="AG53">
            <v>148</v>
          </cell>
          <cell r="AH53" t="str">
            <v>vit D3-15.7</v>
          </cell>
          <cell r="AK53" t="str">
            <v>Left ICA origin intramural, hematoma, Small thrombus left IA, B/L ICA cavernous plaque</v>
          </cell>
          <cell r="AM53">
            <v>10</v>
          </cell>
          <cell r="AN53">
            <v>1</v>
          </cell>
          <cell r="AO53">
            <v>3</v>
          </cell>
          <cell r="AP53">
            <v>3</v>
          </cell>
          <cell r="AQ53">
            <v>5</v>
          </cell>
          <cell r="AS53">
            <v>1</v>
          </cell>
          <cell r="AT53">
            <v>1</v>
          </cell>
          <cell r="AU53">
            <v>2</v>
          </cell>
          <cell r="AV53">
            <v>4</v>
          </cell>
          <cell r="AW53">
            <v>8</v>
          </cell>
          <cell r="AX53">
            <v>2</v>
          </cell>
          <cell r="AY53">
            <v>2</v>
          </cell>
        </row>
        <row r="54">
          <cell r="A54" t="str">
            <v>Prakash Pawar</v>
          </cell>
          <cell r="C54">
            <v>230402759</v>
          </cell>
          <cell r="D54">
            <v>54</v>
          </cell>
          <cell r="E54">
            <v>1</v>
          </cell>
          <cell r="H54">
            <v>45034</v>
          </cell>
          <cell r="J54">
            <v>8999744447</v>
          </cell>
          <cell r="L54">
            <v>4</v>
          </cell>
          <cell r="M54">
            <v>2</v>
          </cell>
          <cell r="N54">
            <v>1</v>
          </cell>
          <cell r="O54">
            <v>2</v>
          </cell>
          <cell r="P54">
            <v>2</v>
          </cell>
          <cell r="Q54">
            <v>2</v>
          </cell>
          <cell r="R54">
            <v>2</v>
          </cell>
          <cell r="S54">
            <v>2</v>
          </cell>
          <cell r="T54">
            <v>2</v>
          </cell>
          <cell r="U54">
            <v>2</v>
          </cell>
          <cell r="V54" t="str">
            <v>Newly Diagnosed DM</v>
          </cell>
          <cell r="W54">
            <v>15.5</v>
          </cell>
          <cell r="X54">
            <v>45.7</v>
          </cell>
          <cell r="Z54">
            <v>13.04</v>
          </cell>
          <cell r="AA54">
            <v>7.6</v>
          </cell>
          <cell r="AB54">
            <v>197</v>
          </cell>
          <cell r="AC54">
            <v>140</v>
          </cell>
          <cell r="AD54">
            <v>26</v>
          </cell>
          <cell r="AE54">
            <v>31</v>
          </cell>
          <cell r="AF54">
            <v>155</v>
          </cell>
          <cell r="AG54">
            <v>213</v>
          </cell>
          <cell r="AJ54" t="str">
            <v>MCA PCA watershed and internal watershed infarct</v>
          </cell>
          <cell r="AM54">
            <v>9</v>
          </cell>
          <cell r="AN54">
            <v>1</v>
          </cell>
          <cell r="AO54">
            <v>3</v>
          </cell>
          <cell r="AP54">
            <v>3</v>
          </cell>
          <cell r="AQ54">
            <v>5</v>
          </cell>
          <cell r="AS54">
            <v>1</v>
          </cell>
          <cell r="AT54">
            <v>1</v>
          </cell>
          <cell r="AU54">
            <v>2</v>
          </cell>
        </row>
        <row r="55">
          <cell r="A55" t="str">
            <v>Rajenra Awale</v>
          </cell>
          <cell r="C55">
            <v>120303850</v>
          </cell>
          <cell r="D55">
            <v>59</v>
          </cell>
          <cell r="E55">
            <v>1</v>
          </cell>
          <cell r="H55">
            <v>45031</v>
          </cell>
          <cell r="I55">
            <v>45033</v>
          </cell>
          <cell r="J55">
            <v>9850842260</v>
          </cell>
          <cell r="L55">
            <v>5</v>
          </cell>
          <cell r="M55">
            <v>2</v>
          </cell>
          <cell r="N55">
            <v>1</v>
          </cell>
          <cell r="O55">
            <v>1</v>
          </cell>
          <cell r="P55">
            <v>1</v>
          </cell>
          <cell r="Q55">
            <v>1</v>
          </cell>
          <cell r="R55">
            <v>2</v>
          </cell>
          <cell r="S55">
            <v>2</v>
          </cell>
          <cell r="T55">
            <v>2</v>
          </cell>
          <cell r="U55">
            <v>2</v>
          </cell>
          <cell r="W55">
            <v>15.4</v>
          </cell>
          <cell r="X55">
            <v>45</v>
          </cell>
          <cell r="Z55">
            <v>9.3800000000000008</v>
          </cell>
          <cell r="AA55">
            <v>9.1999999999999993</v>
          </cell>
          <cell r="AG55">
            <v>177</v>
          </cell>
          <cell r="AH55" t="str">
            <v>Vit D3-37</v>
          </cell>
          <cell r="AJ55" t="str">
            <v>Left Periventricular and left lentiform nucleus infarct</v>
          </cell>
          <cell r="AM55">
            <v>10</v>
          </cell>
          <cell r="AN55">
            <v>1</v>
          </cell>
          <cell r="AO55">
            <v>4</v>
          </cell>
          <cell r="AP55">
            <v>3</v>
          </cell>
          <cell r="AQ55">
            <v>5</v>
          </cell>
          <cell r="AS55">
            <v>1</v>
          </cell>
          <cell r="AT55">
            <v>1</v>
          </cell>
          <cell r="AU55">
            <v>2</v>
          </cell>
        </row>
        <row r="56">
          <cell r="A56" t="str">
            <v>Ramchandra matne</v>
          </cell>
          <cell r="C56">
            <v>230401650</v>
          </cell>
          <cell r="D56">
            <v>65</v>
          </cell>
          <cell r="E56">
            <v>1</v>
          </cell>
          <cell r="H56">
            <v>45026</v>
          </cell>
          <cell r="J56">
            <v>9975258692</v>
          </cell>
          <cell r="K56">
            <v>8082197685</v>
          </cell>
          <cell r="L56">
            <v>9</v>
          </cell>
          <cell r="M56">
            <v>2</v>
          </cell>
          <cell r="N56">
            <v>1</v>
          </cell>
          <cell r="O56">
            <v>2</v>
          </cell>
          <cell r="P56">
            <v>2</v>
          </cell>
          <cell r="Q56">
            <v>2</v>
          </cell>
          <cell r="R56">
            <v>2</v>
          </cell>
          <cell r="S56">
            <v>2</v>
          </cell>
          <cell r="T56">
            <v>1</v>
          </cell>
          <cell r="U56">
            <v>2</v>
          </cell>
          <cell r="W56">
            <v>15</v>
          </cell>
          <cell r="X56">
            <v>43.8</v>
          </cell>
          <cell r="AA56">
            <v>10.199999999999999</v>
          </cell>
          <cell r="AH56" t="str">
            <v>MCV-90.7</v>
          </cell>
          <cell r="AJ56" t="str">
            <v>Left periventricular and left corona radiata infarct</v>
          </cell>
          <cell r="AM56">
            <v>9</v>
          </cell>
          <cell r="AS56">
            <v>1</v>
          </cell>
          <cell r="AT56">
            <v>1</v>
          </cell>
          <cell r="AU56">
            <v>2</v>
          </cell>
        </row>
        <row r="57">
          <cell r="A57" t="str">
            <v>Sangita Narayankar</v>
          </cell>
          <cell r="C57">
            <v>230305197</v>
          </cell>
          <cell r="D57">
            <v>30</v>
          </cell>
          <cell r="E57">
            <v>2</v>
          </cell>
          <cell r="H57">
            <v>45025</v>
          </cell>
          <cell r="J57">
            <v>9356207400</v>
          </cell>
          <cell r="L57">
            <v>4</v>
          </cell>
          <cell r="M57">
            <v>2</v>
          </cell>
          <cell r="N57">
            <v>2</v>
          </cell>
          <cell r="O57">
            <v>2</v>
          </cell>
          <cell r="P57">
            <v>2</v>
          </cell>
          <cell r="Q57">
            <v>2</v>
          </cell>
          <cell r="R57">
            <v>2</v>
          </cell>
          <cell r="S57">
            <v>2</v>
          </cell>
          <cell r="T57">
            <v>2</v>
          </cell>
          <cell r="U57">
            <v>2</v>
          </cell>
          <cell r="V57" t="str">
            <v>Father had stroke</v>
          </cell>
          <cell r="W57">
            <v>9.1999999999999993</v>
          </cell>
          <cell r="X57">
            <v>30.1</v>
          </cell>
          <cell r="Z57">
            <v>20.59</v>
          </cell>
          <cell r="AA57">
            <v>5.4</v>
          </cell>
          <cell r="AB57">
            <v>142</v>
          </cell>
          <cell r="AC57">
            <v>93.8</v>
          </cell>
          <cell r="AD57">
            <v>34</v>
          </cell>
          <cell r="AF57">
            <v>71</v>
          </cell>
          <cell r="AG57">
            <v>168</v>
          </cell>
          <cell r="AH57" t="str">
            <v>VIT D  = 5,MCV=87.1</v>
          </cell>
          <cell r="AJ57" t="str">
            <v>LEFT MCA PCA WATERSHED INFARCT</v>
          </cell>
          <cell r="AM57">
            <v>10</v>
          </cell>
          <cell r="AN57">
            <v>1</v>
          </cell>
          <cell r="AO57">
            <v>3</v>
          </cell>
          <cell r="AP57">
            <v>3</v>
          </cell>
          <cell r="AQ57">
            <v>5</v>
          </cell>
          <cell r="AS57">
            <v>1</v>
          </cell>
          <cell r="AT57">
            <v>1</v>
          </cell>
          <cell r="AU57">
            <v>2</v>
          </cell>
        </row>
        <row r="58">
          <cell r="A58" t="str">
            <v>KUMBHOR KAMAABAI DAGDA</v>
          </cell>
          <cell r="C58">
            <v>230403075</v>
          </cell>
          <cell r="D58">
            <v>65</v>
          </cell>
          <cell r="E58">
            <v>2</v>
          </cell>
          <cell r="H58">
            <v>45035</v>
          </cell>
          <cell r="J58">
            <v>9158797476</v>
          </cell>
          <cell r="L58">
            <v>10</v>
          </cell>
          <cell r="M58">
            <v>2</v>
          </cell>
          <cell r="N58">
            <v>1</v>
          </cell>
          <cell r="O58">
            <v>2</v>
          </cell>
          <cell r="P58">
            <v>2</v>
          </cell>
          <cell r="Q58">
            <v>2</v>
          </cell>
          <cell r="R58">
            <v>2</v>
          </cell>
          <cell r="S58">
            <v>2</v>
          </cell>
          <cell r="T58">
            <v>2</v>
          </cell>
          <cell r="U58">
            <v>2</v>
          </cell>
          <cell r="W58">
            <v>13</v>
          </cell>
          <cell r="X58">
            <v>39.700000000000003</v>
          </cell>
          <cell r="Z58">
            <v>6.51</v>
          </cell>
          <cell r="AA58">
            <v>14.3</v>
          </cell>
          <cell r="AB58">
            <v>198</v>
          </cell>
          <cell r="AC58">
            <v>109.2</v>
          </cell>
          <cell r="AD58">
            <v>29</v>
          </cell>
          <cell r="AF58">
            <v>299</v>
          </cell>
          <cell r="AG58">
            <v>413</v>
          </cell>
          <cell r="AH58" t="str">
            <v>MCV=91.2,VIT D= 7.3</v>
          </cell>
          <cell r="AK58" t="str">
            <v>RIGHT MCA INFARCT INFERIOR DEVISION</v>
          </cell>
          <cell r="AM58">
            <v>7</v>
          </cell>
          <cell r="AN58">
            <v>1</v>
          </cell>
          <cell r="AO58">
            <v>2</v>
          </cell>
          <cell r="AP58">
            <v>2</v>
          </cell>
          <cell r="AQ58">
            <v>4</v>
          </cell>
          <cell r="AS58">
            <v>1</v>
          </cell>
          <cell r="AT58">
            <v>1</v>
          </cell>
          <cell r="AU58">
            <v>2</v>
          </cell>
        </row>
        <row r="59">
          <cell r="A59" t="str">
            <v>aJAY sHIRODE</v>
          </cell>
          <cell r="C59">
            <v>140702137</v>
          </cell>
          <cell r="D59">
            <v>49</v>
          </cell>
          <cell r="E59">
            <v>1</v>
          </cell>
          <cell r="H59">
            <v>45036</v>
          </cell>
          <cell r="J59">
            <v>9822295937</v>
          </cell>
          <cell r="K59">
            <v>927072213</v>
          </cell>
          <cell r="L59">
            <v>12</v>
          </cell>
          <cell r="M59">
            <v>2</v>
          </cell>
          <cell r="N59">
            <v>2</v>
          </cell>
          <cell r="O59">
            <v>1</v>
          </cell>
          <cell r="P59">
            <v>2</v>
          </cell>
          <cell r="Q59">
            <v>2</v>
          </cell>
          <cell r="R59">
            <v>2</v>
          </cell>
          <cell r="S59">
            <v>2</v>
          </cell>
          <cell r="T59">
            <v>2</v>
          </cell>
          <cell r="U59">
            <v>2</v>
          </cell>
          <cell r="W59">
            <v>14</v>
          </cell>
          <cell r="X59">
            <v>42.9</v>
          </cell>
          <cell r="Z59">
            <v>33.700000000000003</v>
          </cell>
          <cell r="AA59">
            <v>6.8</v>
          </cell>
          <cell r="AG59">
            <v>148</v>
          </cell>
          <cell r="AJ59" t="str">
            <v>RT MCA M2 INFARCT</v>
          </cell>
          <cell r="AK59" t="str">
            <v>M1 OCCLUSION RT MCA COMPLETE INFARCT</v>
          </cell>
          <cell r="AM59">
            <v>2</v>
          </cell>
          <cell r="AS59">
            <v>1</v>
          </cell>
          <cell r="AT59">
            <v>2</v>
          </cell>
          <cell r="AU59">
            <v>2</v>
          </cell>
          <cell r="AX59">
            <v>1</v>
          </cell>
        </row>
        <row r="60">
          <cell r="A60" t="str">
            <v>KANTILAL PAWAR</v>
          </cell>
          <cell r="C60">
            <v>230401135</v>
          </cell>
          <cell r="D60">
            <v>67</v>
          </cell>
          <cell r="E60">
            <v>1</v>
          </cell>
          <cell r="H60">
            <v>45023</v>
          </cell>
          <cell r="J60">
            <v>8796302931</v>
          </cell>
          <cell r="L60">
            <v>21</v>
          </cell>
          <cell r="M60">
            <v>1</v>
          </cell>
          <cell r="N60">
            <v>1</v>
          </cell>
          <cell r="O60">
            <v>2</v>
          </cell>
          <cell r="P60">
            <v>2</v>
          </cell>
          <cell r="Q60">
            <v>2</v>
          </cell>
          <cell r="R60">
            <v>2</v>
          </cell>
          <cell r="S60">
            <v>2</v>
          </cell>
          <cell r="T60">
            <v>2</v>
          </cell>
          <cell r="U60">
            <v>2</v>
          </cell>
          <cell r="V60" t="str">
            <v>Alcohol stopped 1 yr back</v>
          </cell>
          <cell r="W60">
            <v>15.6</v>
          </cell>
          <cell r="X60">
            <v>46</v>
          </cell>
          <cell r="Z60">
            <v>19</v>
          </cell>
          <cell r="AA60">
            <v>9.9</v>
          </cell>
          <cell r="AB60">
            <v>145</v>
          </cell>
          <cell r="AC60">
            <v>104</v>
          </cell>
          <cell r="AD60">
            <v>27</v>
          </cell>
          <cell r="AE60">
            <v>13</v>
          </cell>
          <cell r="AG60">
            <v>2000</v>
          </cell>
          <cell r="AH60" t="str">
            <v>Vit D-13.5</v>
          </cell>
          <cell r="AJ60" t="str">
            <v xml:space="preserve">Rt MCA infarct </v>
          </cell>
          <cell r="AK60" t="str">
            <v>Rt M1 occlusion</v>
          </cell>
          <cell r="AM60">
            <v>6</v>
          </cell>
          <cell r="AN60">
            <v>2</v>
          </cell>
          <cell r="AO60">
            <v>2</v>
          </cell>
          <cell r="AP60">
            <v>1</v>
          </cell>
          <cell r="AQ60">
            <v>3</v>
          </cell>
          <cell r="AS60">
            <v>1</v>
          </cell>
          <cell r="AT60">
            <v>1</v>
          </cell>
          <cell r="AU60">
            <v>2</v>
          </cell>
          <cell r="AV60">
            <v>2</v>
          </cell>
          <cell r="AX60">
            <v>1</v>
          </cell>
        </row>
        <row r="61">
          <cell r="A61" t="str">
            <v>Vaishali Mahajan</v>
          </cell>
          <cell r="C61">
            <v>230101845</v>
          </cell>
          <cell r="D61">
            <v>50</v>
          </cell>
          <cell r="E61">
            <v>2</v>
          </cell>
          <cell r="H61">
            <v>45036</v>
          </cell>
          <cell r="J61">
            <v>7620076491</v>
          </cell>
          <cell r="L61">
            <v>9</v>
          </cell>
          <cell r="M61">
            <v>1</v>
          </cell>
          <cell r="N61">
            <v>1</v>
          </cell>
          <cell r="O61">
            <v>2</v>
          </cell>
          <cell r="P61">
            <v>2</v>
          </cell>
          <cell r="Q61">
            <v>2</v>
          </cell>
          <cell r="R61">
            <v>2</v>
          </cell>
          <cell r="S61">
            <v>2</v>
          </cell>
          <cell r="T61">
            <v>2</v>
          </cell>
          <cell r="U61">
            <v>2</v>
          </cell>
          <cell r="V61" t="str">
            <v>Old stroke Jan 2023, Hypothyroidism,</v>
          </cell>
          <cell r="W61">
            <v>13.6</v>
          </cell>
          <cell r="X61">
            <v>39.9</v>
          </cell>
          <cell r="Z61">
            <v>3.65</v>
          </cell>
          <cell r="AA61">
            <v>8.5</v>
          </cell>
          <cell r="AG61">
            <v>797</v>
          </cell>
          <cell r="AH61" t="str">
            <v>MCV-82.0, T3-0.75, T4-7.82, TSH-0.07</v>
          </cell>
          <cell r="AJ61" t="str">
            <v>Rt MCA m1 occlusion</v>
          </cell>
          <cell r="AK61" t="str">
            <v>Rt terminal ICA occlusion</v>
          </cell>
          <cell r="AL61" t="str">
            <v>MCTA-4</v>
          </cell>
          <cell r="AM61">
            <v>3</v>
          </cell>
          <cell r="AN61">
            <v>2</v>
          </cell>
          <cell r="AO61">
            <v>2</v>
          </cell>
          <cell r="AP61">
            <v>2</v>
          </cell>
          <cell r="AQ61">
            <v>4</v>
          </cell>
          <cell r="AS61">
            <v>1</v>
          </cell>
          <cell r="AT61">
            <v>1</v>
          </cell>
          <cell r="AU61">
            <v>2</v>
          </cell>
        </row>
        <row r="62">
          <cell r="A62" t="str">
            <v>Gadge Manda Balu</v>
          </cell>
          <cell r="C62">
            <v>230402134</v>
          </cell>
          <cell r="D62">
            <v>58</v>
          </cell>
          <cell r="E62">
            <v>2</v>
          </cell>
          <cell r="H62">
            <v>45029</v>
          </cell>
          <cell r="I62">
            <v>45031</v>
          </cell>
          <cell r="J62">
            <v>9922230446</v>
          </cell>
          <cell r="L62">
            <v>7</v>
          </cell>
          <cell r="M62">
            <v>1</v>
          </cell>
          <cell r="N62">
            <v>2</v>
          </cell>
          <cell r="O62">
            <v>2</v>
          </cell>
          <cell r="P62">
            <v>2</v>
          </cell>
          <cell r="Q62">
            <v>1</v>
          </cell>
          <cell r="R62">
            <v>2</v>
          </cell>
          <cell r="S62">
            <v>2</v>
          </cell>
          <cell r="T62">
            <v>2</v>
          </cell>
          <cell r="U62">
            <v>2</v>
          </cell>
          <cell r="V62" t="str">
            <v>Newly detected HTN</v>
          </cell>
          <cell r="W62">
            <v>12</v>
          </cell>
          <cell r="Z62">
            <v>11.88</v>
          </cell>
          <cell r="AA62">
            <v>6</v>
          </cell>
          <cell r="AB62">
            <v>184</v>
          </cell>
          <cell r="AC62">
            <v>118.6</v>
          </cell>
          <cell r="AD62">
            <v>49</v>
          </cell>
          <cell r="AF62">
            <v>82</v>
          </cell>
          <cell r="AG62">
            <v>2000</v>
          </cell>
          <cell r="AJ62" t="str">
            <v>Left MCA PCA watershed infarct</v>
          </cell>
          <cell r="AK62" t="str">
            <v>Left M2 Occlusion</v>
          </cell>
          <cell r="AM62">
            <v>10</v>
          </cell>
          <cell r="AN62">
            <v>1</v>
          </cell>
          <cell r="AO62">
            <v>3</v>
          </cell>
          <cell r="AP62">
            <v>3</v>
          </cell>
          <cell r="AQ62">
            <v>5</v>
          </cell>
          <cell r="AS62">
            <v>1</v>
          </cell>
          <cell r="AT62">
            <v>1</v>
          </cell>
          <cell r="AU62">
            <v>2</v>
          </cell>
        </row>
        <row r="63">
          <cell r="A63" t="str">
            <v>Anjali S raje</v>
          </cell>
          <cell r="C63">
            <v>230404175</v>
          </cell>
          <cell r="D63">
            <v>63</v>
          </cell>
          <cell r="E63">
            <v>2</v>
          </cell>
          <cell r="H63">
            <v>45043</v>
          </cell>
          <cell r="J63">
            <v>9923986659</v>
          </cell>
          <cell r="L63">
            <v>20</v>
          </cell>
          <cell r="M63">
            <v>1</v>
          </cell>
          <cell r="N63">
            <v>1</v>
          </cell>
          <cell r="O63">
            <v>2</v>
          </cell>
          <cell r="P63">
            <v>2</v>
          </cell>
          <cell r="Q63">
            <v>2</v>
          </cell>
          <cell r="R63">
            <v>2</v>
          </cell>
          <cell r="S63">
            <v>2</v>
          </cell>
          <cell r="T63">
            <v>2</v>
          </cell>
          <cell r="U63">
            <v>2</v>
          </cell>
          <cell r="W63">
            <v>10</v>
          </cell>
          <cell r="X63">
            <v>34</v>
          </cell>
          <cell r="Z63">
            <v>10.199999999999999</v>
          </cell>
          <cell r="AA63">
            <v>9.1999999999999993</v>
          </cell>
          <cell r="AB63">
            <v>184</v>
          </cell>
          <cell r="AC63">
            <v>34</v>
          </cell>
          <cell r="AD63">
            <v>103.02</v>
          </cell>
          <cell r="AE63">
            <v>46.8</v>
          </cell>
          <cell r="AF63">
            <v>234</v>
          </cell>
          <cell r="AG63">
            <v>148</v>
          </cell>
          <cell r="AH63" t="str">
            <v>Vit D3-7.5,</v>
          </cell>
          <cell r="AK63" t="str">
            <v>Acute non hemorrhagic infarcts in left occipital regions, left basal ganglia, left centrum semiovale and corona radiata.</v>
          </cell>
          <cell r="AM63">
            <v>9</v>
          </cell>
          <cell r="AN63">
            <v>1</v>
          </cell>
          <cell r="AO63">
            <v>3</v>
          </cell>
          <cell r="AP63">
            <v>3</v>
          </cell>
          <cell r="AQ63">
            <v>4</v>
          </cell>
          <cell r="AS63">
            <v>1</v>
          </cell>
          <cell r="AT63">
            <v>1</v>
          </cell>
          <cell r="AU63">
            <v>1</v>
          </cell>
          <cell r="AV63">
            <v>1</v>
          </cell>
        </row>
        <row r="64">
          <cell r="A64" t="str">
            <v>Nagnath S jadhav</v>
          </cell>
          <cell r="C64">
            <v>230404651</v>
          </cell>
          <cell r="D64">
            <v>64</v>
          </cell>
          <cell r="E64">
            <v>1</v>
          </cell>
          <cell r="H64">
            <v>45046</v>
          </cell>
          <cell r="J64">
            <v>8999949226</v>
          </cell>
          <cell r="L64">
            <v>0</v>
          </cell>
          <cell r="M64">
            <v>2</v>
          </cell>
          <cell r="N64">
            <v>2</v>
          </cell>
          <cell r="O64">
            <v>2</v>
          </cell>
          <cell r="P64">
            <v>2</v>
          </cell>
          <cell r="Q64">
            <v>1</v>
          </cell>
          <cell r="R64">
            <v>2</v>
          </cell>
          <cell r="S64">
            <v>2</v>
          </cell>
          <cell r="T64">
            <v>2</v>
          </cell>
          <cell r="U64">
            <v>2</v>
          </cell>
          <cell r="W64">
            <v>14.2</v>
          </cell>
          <cell r="X64">
            <v>42.2</v>
          </cell>
          <cell r="Z64">
            <v>63.8</v>
          </cell>
          <cell r="AA64">
            <v>4.9000000000000004</v>
          </cell>
          <cell r="AB64">
            <v>201</v>
          </cell>
          <cell r="AC64">
            <v>37</v>
          </cell>
          <cell r="AD64">
            <v>3.87</v>
          </cell>
          <cell r="AE64">
            <v>20</v>
          </cell>
          <cell r="AF64">
            <v>104</v>
          </cell>
          <cell r="AG64">
            <v>148</v>
          </cell>
          <cell r="AH64" t="str">
            <v>MCV-85.9, Vit D3-34.5</v>
          </cell>
          <cell r="AK64" t="str">
            <v>Acute non hemorrhagic lacunar infarcts in left centrum semiovale and left peritrigonal region adjacent to ventricle.</v>
          </cell>
          <cell r="AM64">
            <v>10</v>
          </cell>
          <cell r="AN64">
            <v>1</v>
          </cell>
          <cell r="AO64">
            <v>3</v>
          </cell>
          <cell r="AP64">
            <v>3</v>
          </cell>
          <cell r="AQ64">
            <v>5</v>
          </cell>
          <cell r="AS64">
            <v>1</v>
          </cell>
          <cell r="AT64">
            <v>1</v>
          </cell>
          <cell r="AU64">
            <v>2</v>
          </cell>
        </row>
        <row r="65">
          <cell r="A65" t="str">
            <v>Chandrakant bhalerao</v>
          </cell>
          <cell r="C65">
            <v>230500449</v>
          </cell>
          <cell r="D65">
            <v>53</v>
          </cell>
          <cell r="E65">
            <v>1</v>
          </cell>
          <cell r="H65">
            <v>45049</v>
          </cell>
          <cell r="J65">
            <v>7350803749</v>
          </cell>
          <cell r="L65">
            <v>20</v>
          </cell>
          <cell r="M65">
            <v>2</v>
          </cell>
          <cell r="N65">
            <v>2</v>
          </cell>
          <cell r="O65">
            <v>1</v>
          </cell>
          <cell r="P65">
            <v>2</v>
          </cell>
          <cell r="Q65">
            <v>1</v>
          </cell>
          <cell r="R65">
            <v>2</v>
          </cell>
          <cell r="S65">
            <v>2</v>
          </cell>
          <cell r="T65">
            <v>2</v>
          </cell>
          <cell r="U65">
            <v>2</v>
          </cell>
          <cell r="W65">
            <v>15.1</v>
          </cell>
          <cell r="Z65">
            <v>49.29</v>
          </cell>
          <cell r="AB65">
            <v>157</v>
          </cell>
          <cell r="AC65">
            <v>34</v>
          </cell>
          <cell r="AD65">
            <v>113.6</v>
          </cell>
          <cell r="AF65">
            <v>47</v>
          </cell>
          <cell r="AG65">
            <v>100</v>
          </cell>
          <cell r="AK65" t="str">
            <v>Left centrum semiovale chronic infarct</v>
          </cell>
          <cell r="AM65">
            <v>10</v>
          </cell>
          <cell r="AN65">
            <v>1</v>
          </cell>
          <cell r="AO65">
            <v>3</v>
          </cell>
          <cell r="AP65">
            <v>3</v>
          </cell>
          <cell r="AQ65">
            <v>5</v>
          </cell>
          <cell r="AU65">
            <v>1</v>
          </cell>
          <cell r="AV65">
            <v>2</v>
          </cell>
        </row>
        <row r="66">
          <cell r="A66" t="str">
            <v>Devka yashoda</v>
          </cell>
          <cell r="C66">
            <v>230205086</v>
          </cell>
          <cell r="D66">
            <v>70</v>
          </cell>
          <cell r="E66">
            <v>2</v>
          </cell>
          <cell r="F66">
            <v>44983</v>
          </cell>
          <cell r="G66">
            <v>0.79166666666666663</v>
          </cell>
          <cell r="H66">
            <v>44983</v>
          </cell>
          <cell r="I66">
            <v>44985</v>
          </cell>
          <cell r="J66">
            <v>8888435454</v>
          </cell>
          <cell r="W66">
            <v>10.7</v>
          </cell>
          <cell r="X66">
            <v>32.5</v>
          </cell>
          <cell r="Z66">
            <v>29.58</v>
          </cell>
          <cell r="AB66">
            <v>6.3</v>
          </cell>
          <cell r="AG66">
            <v>189</v>
          </cell>
          <cell r="AH66" t="str">
            <v>MCV-85.7</v>
          </cell>
          <cell r="AJ66" t="str">
            <v>A/c infarct Rt long insular artery territory with Rt caudate and Rt putamen</v>
          </cell>
          <cell r="AK66" t="str">
            <v xml:space="preserve">Mild atherosclerotic changes in both common carotid arteries. Hypodense accentric plaque with mild surface irregularity at origin of Rt ICA. </v>
          </cell>
          <cell r="AS66">
            <v>1</v>
          </cell>
          <cell r="AT66">
            <v>1</v>
          </cell>
          <cell r="AU66">
            <v>2</v>
          </cell>
          <cell r="AW66">
            <v>8</v>
          </cell>
          <cell r="AZ66">
            <v>0</v>
          </cell>
          <cell r="BA66">
            <v>100</v>
          </cell>
        </row>
        <row r="67">
          <cell r="A67" t="str">
            <v>Shakina Shaikh</v>
          </cell>
          <cell r="C67">
            <v>230502482</v>
          </cell>
          <cell r="D67">
            <v>55</v>
          </cell>
          <cell r="E67">
            <v>2</v>
          </cell>
          <cell r="F67">
            <v>45064</v>
          </cell>
          <cell r="H67">
            <v>45064</v>
          </cell>
          <cell r="I67">
            <v>45069</v>
          </cell>
          <cell r="J67">
            <v>8999925278</v>
          </cell>
          <cell r="L67">
            <v>9</v>
          </cell>
          <cell r="M67">
            <v>2</v>
          </cell>
          <cell r="N67">
            <v>2</v>
          </cell>
          <cell r="O67">
            <v>2</v>
          </cell>
          <cell r="P67">
            <v>2</v>
          </cell>
          <cell r="Q67">
            <v>2</v>
          </cell>
          <cell r="R67">
            <v>2</v>
          </cell>
          <cell r="S67">
            <v>2</v>
          </cell>
          <cell r="T67">
            <v>2</v>
          </cell>
          <cell r="U67">
            <v>2</v>
          </cell>
          <cell r="W67">
            <v>12</v>
          </cell>
          <cell r="X67">
            <v>37.700000000000003</v>
          </cell>
          <cell r="Z67">
            <v>9.1300000000000008</v>
          </cell>
          <cell r="AA67">
            <v>5.8</v>
          </cell>
          <cell r="AB67">
            <v>222</v>
          </cell>
          <cell r="AC67">
            <v>154.4</v>
          </cell>
          <cell r="AD67">
            <v>44</v>
          </cell>
          <cell r="AE67">
            <v>23.6</v>
          </cell>
          <cell r="AF67">
            <v>154.4</v>
          </cell>
          <cell r="AG67">
            <v>285</v>
          </cell>
          <cell r="AH67" t="str">
            <v>MCV-88.6</v>
          </cell>
          <cell r="AJ67" t="str">
            <v>Basilar artery and V4 segments of both vertebral arteries shows atherosclerotic irregularities small eccentric hypodense laques involving of both ICA's along their posterior walls. docal areas of stenosis is seen in the lt PCA near its origin.</v>
          </cell>
          <cell r="AS67">
            <v>1</v>
          </cell>
          <cell r="AT67">
            <v>1</v>
          </cell>
          <cell r="AU67">
            <v>1</v>
          </cell>
          <cell r="AV67">
            <v>1</v>
          </cell>
          <cell r="AZ67">
            <v>3</v>
          </cell>
          <cell r="BA67">
            <v>60</v>
          </cell>
        </row>
        <row r="68">
          <cell r="A68" t="str">
            <v xml:space="preserve">Prakash Pawar </v>
          </cell>
          <cell r="C68">
            <v>230402759</v>
          </cell>
          <cell r="D68">
            <v>54</v>
          </cell>
          <cell r="E68">
            <v>1</v>
          </cell>
          <cell r="F68">
            <v>45034</v>
          </cell>
          <cell r="G68">
            <v>0.375</v>
          </cell>
          <cell r="H68">
            <v>45034</v>
          </cell>
          <cell r="I68">
            <v>45035</v>
          </cell>
          <cell r="J68">
            <v>8999744447</v>
          </cell>
          <cell r="L68">
            <v>3</v>
          </cell>
          <cell r="M68">
            <v>2</v>
          </cell>
          <cell r="N68">
            <v>1</v>
          </cell>
          <cell r="O68">
            <v>2</v>
          </cell>
          <cell r="P68">
            <v>2</v>
          </cell>
          <cell r="Q68">
            <v>2</v>
          </cell>
          <cell r="R68">
            <v>2</v>
          </cell>
          <cell r="S68">
            <v>2</v>
          </cell>
          <cell r="T68">
            <v>2</v>
          </cell>
          <cell r="U68">
            <v>2</v>
          </cell>
          <cell r="W68">
            <v>15.5</v>
          </cell>
          <cell r="X68">
            <v>45.7</v>
          </cell>
          <cell r="Z68">
            <v>13</v>
          </cell>
          <cell r="AA68">
            <v>7.6</v>
          </cell>
          <cell r="AB68">
            <v>197</v>
          </cell>
          <cell r="AC68">
            <v>140</v>
          </cell>
          <cell r="AD68">
            <v>26</v>
          </cell>
          <cell r="AE68">
            <v>31</v>
          </cell>
          <cell r="AF68">
            <v>155</v>
          </cell>
          <cell r="AG68">
            <v>213</v>
          </cell>
          <cell r="AH68" t="str">
            <v>MCV-86.9</v>
          </cell>
          <cell r="AJ68" t="str">
            <v>acute stroke in Rt MCa/PCA watershed area</v>
          </cell>
          <cell r="AK68" t="str">
            <v>thrombosis of Rt internal carotid artery. Acute NHI in rt temporo-parietal lobes, Rt centrum semiovale and Rt corona radiata</v>
          </cell>
          <cell r="AS68">
            <v>1</v>
          </cell>
          <cell r="AT68">
            <v>1</v>
          </cell>
          <cell r="AU68">
            <v>2</v>
          </cell>
          <cell r="AZ68">
            <v>0</v>
          </cell>
          <cell r="BA68">
            <v>100</v>
          </cell>
        </row>
        <row r="69">
          <cell r="A69" t="str">
            <v>Chandrakant Shinde</v>
          </cell>
          <cell r="C69">
            <v>230502894</v>
          </cell>
          <cell r="D69">
            <v>68</v>
          </cell>
          <cell r="E69">
            <v>1</v>
          </cell>
          <cell r="F69">
            <v>45067</v>
          </cell>
          <cell r="G69">
            <v>0.3125</v>
          </cell>
          <cell r="H69">
            <v>45067</v>
          </cell>
          <cell r="I69">
            <v>45068</v>
          </cell>
          <cell r="J69">
            <v>9764492766</v>
          </cell>
          <cell r="L69">
            <v>2</v>
          </cell>
          <cell r="M69">
            <v>1</v>
          </cell>
          <cell r="N69">
            <v>2</v>
          </cell>
          <cell r="O69">
            <v>2</v>
          </cell>
          <cell r="P69">
            <v>2</v>
          </cell>
          <cell r="Q69">
            <v>2</v>
          </cell>
          <cell r="R69">
            <v>2</v>
          </cell>
          <cell r="S69">
            <v>2</v>
          </cell>
          <cell r="T69">
            <v>2</v>
          </cell>
          <cell r="U69">
            <v>2</v>
          </cell>
          <cell r="V69" t="str">
            <v>Congenital gaze defect Lt eye retinopathy</v>
          </cell>
          <cell r="W69">
            <v>14.2</v>
          </cell>
          <cell r="X69">
            <v>41.6</v>
          </cell>
          <cell r="Z69">
            <v>48.94</v>
          </cell>
          <cell r="AA69">
            <v>4.8</v>
          </cell>
          <cell r="AB69">
            <v>165</v>
          </cell>
          <cell r="AC69">
            <v>119.6</v>
          </cell>
          <cell r="AD69">
            <v>34</v>
          </cell>
          <cell r="AE69">
            <v>11.4</v>
          </cell>
          <cell r="AF69">
            <v>57</v>
          </cell>
          <cell r="AG69">
            <v>148</v>
          </cell>
          <cell r="AK69" t="str">
            <v>Atherosclerotic changes involving arch of aorta origin of lt ICA and Cavernous segments of both ICA's. Calcified atherosclerotic changes in M1 segment of rt MCA causing short Segment mild stenosis. LT vertebral artery shows ostial narrowing.</v>
          </cell>
          <cell r="AS69">
            <v>1</v>
          </cell>
          <cell r="AT69">
            <v>1</v>
          </cell>
          <cell r="AU69">
            <v>2</v>
          </cell>
          <cell r="AZ69">
            <v>0</v>
          </cell>
          <cell r="BA69">
            <v>100</v>
          </cell>
        </row>
        <row r="70">
          <cell r="A70" t="str">
            <v>Vasant Zanje</v>
          </cell>
          <cell r="C70">
            <v>190105332</v>
          </cell>
          <cell r="D70">
            <v>69</v>
          </cell>
          <cell r="E70">
            <v>1</v>
          </cell>
          <cell r="F70">
            <v>45067</v>
          </cell>
          <cell r="G70">
            <v>0.66666666666666663</v>
          </cell>
          <cell r="H70">
            <v>45068</v>
          </cell>
          <cell r="I70">
            <v>45069</v>
          </cell>
          <cell r="J70">
            <v>9689841621</v>
          </cell>
          <cell r="L70">
            <v>2</v>
          </cell>
          <cell r="M70">
            <v>1</v>
          </cell>
          <cell r="N70">
            <v>1</v>
          </cell>
          <cell r="O70">
            <v>2</v>
          </cell>
          <cell r="P70">
            <v>2</v>
          </cell>
          <cell r="Q70">
            <v>2</v>
          </cell>
          <cell r="R70">
            <v>2</v>
          </cell>
          <cell r="S70">
            <v>2</v>
          </cell>
          <cell r="T70">
            <v>2</v>
          </cell>
          <cell r="U70">
            <v>2</v>
          </cell>
          <cell r="W70">
            <v>12.6</v>
          </cell>
          <cell r="X70">
            <v>38</v>
          </cell>
          <cell r="Z70">
            <v>16.25</v>
          </cell>
          <cell r="AA70">
            <v>6</v>
          </cell>
          <cell r="AB70">
            <v>197</v>
          </cell>
          <cell r="AC70">
            <v>137.4</v>
          </cell>
          <cell r="AD70">
            <v>37</v>
          </cell>
          <cell r="AE70">
            <v>22.6</v>
          </cell>
          <cell r="AF70">
            <v>113</v>
          </cell>
          <cell r="AG70">
            <v>252</v>
          </cell>
          <cell r="AH70" t="str">
            <v>MCV-82.4</v>
          </cell>
          <cell r="AK70" t="str">
            <v>Calcified atherosclerotic plaque in rt ICA, Proximately 1.5cm from the bifurcation causing mild luminal narrowing. Calcified atherosclerotic changes in B/L CCA's proximal to the bifurcation and in cavernous-petrous segments of b/l ICA's 20-30% Luminal compromise is seen involving lt carotid bulb</v>
          </cell>
          <cell r="AS70">
            <v>1</v>
          </cell>
          <cell r="AT70">
            <v>1</v>
          </cell>
          <cell r="AU70">
            <v>2</v>
          </cell>
          <cell r="AZ70">
            <v>0</v>
          </cell>
          <cell r="BA70">
            <v>100</v>
          </cell>
        </row>
        <row r="71">
          <cell r="A71" t="str">
            <v xml:space="preserve">Mrunal sawant </v>
          </cell>
          <cell r="C71">
            <v>230305332</v>
          </cell>
          <cell r="D71">
            <v>49</v>
          </cell>
          <cell r="E71">
            <v>2</v>
          </cell>
          <cell r="F71">
            <v>45013</v>
          </cell>
          <cell r="G71">
            <v>0.875</v>
          </cell>
          <cell r="H71">
            <v>45013</v>
          </cell>
          <cell r="I71">
            <v>45026</v>
          </cell>
          <cell r="J71">
            <v>7875730168</v>
          </cell>
          <cell r="L71">
            <v>16</v>
          </cell>
          <cell r="M71">
            <v>1</v>
          </cell>
          <cell r="N71">
            <v>1</v>
          </cell>
          <cell r="O71">
            <v>2</v>
          </cell>
          <cell r="P71">
            <v>2</v>
          </cell>
          <cell r="Q71">
            <v>2</v>
          </cell>
          <cell r="R71">
            <v>2</v>
          </cell>
          <cell r="S71">
            <v>2</v>
          </cell>
          <cell r="T71">
            <v>2</v>
          </cell>
          <cell r="U71">
            <v>2</v>
          </cell>
          <cell r="V71" t="str">
            <v>metabolic syndrome; hypothyroid</v>
          </cell>
          <cell r="W71">
            <v>12.8</v>
          </cell>
          <cell r="X71">
            <v>41</v>
          </cell>
          <cell r="Z71">
            <v>13</v>
          </cell>
          <cell r="AA71">
            <v>9.1999999999999993</v>
          </cell>
          <cell r="AB71">
            <v>247</v>
          </cell>
          <cell r="AC71">
            <v>193.6</v>
          </cell>
          <cell r="AD71">
            <v>40</v>
          </cell>
          <cell r="AE71">
            <v>13.4</v>
          </cell>
          <cell r="AF71">
            <v>67</v>
          </cell>
          <cell r="AG71">
            <v>149</v>
          </cell>
          <cell r="AH71" t="str">
            <v>MCV-82</v>
          </cell>
          <cell r="AJ71" t="str">
            <v xml:space="preserve">A/c infarct LT PCIC and Rt putamen and Rt periventricular region. </v>
          </cell>
          <cell r="AK71" t="str">
            <v>mild paucity of cortical branches in rt MCA</v>
          </cell>
          <cell r="AM71">
            <v>8</v>
          </cell>
          <cell r="AN71">
            <v>1</v>
          </cell>
          <cell r="AO71">
            <v>4</v>
          </cell>
          <cell r="AP71">
            <v>3</v>
          </cell>
          <cell r="AQ71">
            <v>5</v>
          </cell>
          <cell r="AS71">
            <v>1</v>
          </cell>
          <cell r="AT71">
            <v>1</v>
          </cell>
          <cell r="AU71">
            <v>1</v>
          </cell>
          <cell r="AV71">
            <v>1</v>
          </cell>
          <cell r="AW71">
            <v>8</v>
          </cell>
          <cell r="AZ71">
            <v>6</v>
          </cell>
          <cell r="BA71">
            <v>0</v>
          </cell>
        </row>
        <row r="72">
          <cell r="A72" t="str">
            <v>Ramesh Kulkarni</v>
          </cell>
          <cell r="C72">
            <v>230200264</v>
          </cell>
          <cell r="D72">
            <v>53</v>
          </cell>
          <cell r="E72">
            <v>1</v>
          </cell>
          <cell r="F72">
            <v>44953</v>
          </cell>
          <cell r="H72">
            <v>44959</v>
          </cell>
          <cell r="I72">
            <v>44960</v>
          </cell>
          <cell r="J72">
            <v>7875077954</v>
          </cell>
          <cell r="M72">
            <v>2</v>
          </cell>
          <cell r="N72">
            <v>1</v>
          </cell>
          <cell r="O72">
            <v>2</v>
          </cell>
          <cell r="P72">
            <v>2</v>
          </cell>
          <cell r="Q72">
            <v>2</v>
          </cell>
          <cell r="R72">
            <v>2</v>
          </cell>
          <cell r="S72">
            <v>2</v>
          </cell>
          <cell r="T72">
            <v>2</v>
          </cell>
          <cell r="U72">
            <v>2</v>
          </cell>
          <cell r="W72">
            <v>13</v>
          </cell>
          <cell r="X72">
            <v>39.6</v>
          </cell>
          <cell r="Z72">
            <v>10.9</v>
          </cell>
          <cell r="AA72">
            <v>6.5</v>
          </cell>
          <cell r="AB72">
            <v>191</v>
          </cell>
          <cell r="AC72">
            <v>131.80000000000001</v>
          </cell>
          <cell r="AD72">
            <v>45</v>
          </cell>
          <cell r="AE72">
            <v>14.2</v>
          </cell>
          <cell r="AF72">
            <v>71</v>
          </cell>
          <cell r="AG72">
            <v>2000</v>
          </cell>
          <cell r="AH72" t="str">
            <v>MCV-79.0</v>
          </cell>
          <cell r="AJ72" t="str">
            <v>A/c infarct Lt fronto parieto temporo occipital region</v>
          </cell>
          <cell r="AK72" t="str">
            <v xml:space="preserve">moderate narrowirng in distal segment of Rt mca. near complete thrombotic occlusion of M1 segment of lt MCA with mild peripheral enhancement and filling og vertical branches of superior and inferior devisions through collaterals. </v>
          </cell>
          <cell r="AS72">
            <v>1</v>
          </cell>
          <cell r="AT72">
            <v>1</v>
          </cell>
          <cell r="AU72">
            <v>2</v>
          </cell>
          <cell r="AZ72">
            <v>0</v>
          </cell>
          <cell r="BA72">
            <v>100</v>
          </cell>
        </row>
        <row r="73">
          <cell r="A73" t="str">
            <v>Arun shinde</v>
          </cell>
          <cell r="C73">
            <v>200400466</v>
          </cell>
          <cell r="D73">
            <v>54</v>
          </cell>
          <cell r="E73">
            <v>1</v>
          </cell>
          <cell r="F73">
            <v>44980</v>
          </cell>
          <cell r="H73">
            <v>45008</v>
          </cell>
          <cell r="I73">
            <v>45033</v>
          </cell>
          <cell r="J73">
            <v>8087047741</v>
          </cell>
          <cell r="M73">
            <v>1</v>
          </cell>
          <cell r="N73">
            <v>1</v>
          </cell>
          <cell r="O73">
            <v>2</v>
          </cell>
          <cell r="P73">
            <v>2</v>
          </cell>
          <cell r="Q73">
            <v>2</v>
          </cell>
          <cell r="R73">
            <v>2</v>
          </cell>
          <cell r="S73">
            <v>2</v>
          </cell>
          <cell r="T73">
            <v>1</v>
          </cell>
          <cell r="U73">
            <v>1</v>
          </cell>
          <cell r="V73" t="str">
            <v>Sepsis</v>
          </cell>
          <cell r="W73">
            <v>13.9</v>
          </cell>
          <cell r="X73">
            <v>43.1</v>
          </cell>
          <cell r="Z73">
            <v>26</v>
          </cell>
          <cell r="AA73">
            <v>6.3</v>
          </cell>
          <cell r="AG73">
            <v>236</v>
          </cell>
          <cell r="AH73" t="str">
            <v>MCV-95.</v>
          </cell>
          <cell r="AJ73" t="str">
            <v>Lt frontal infarct</v>
          </cell>
          <cell r="AK73" t="str">
            <v>mild narrowing with normal opacification of distal lt cca. just proximal to its bifurcation calcifies atherosclerotic plaque causing mild narowing lt iCA just distal to its bifurcation</v>
          </cell>
          <cell r="AS73">
            <v>1</v>
          </cell>
          <cell r="AT73">
            <v>1</v>
          </cell>
          <cell r="AU73">
            <v>2</v>
          </cell>
          <cell r="AZ73">
            <v>3</v>
          </cell>
          <cell r="BA73">
            <v>60</v>
          </cell>
        </row>
        <row r="74">
          <cell r="A74" t="str">
            <v>Sushma deshpande</v>
          </cell>
          <cell r="C74">
            <v>230502566</v>
          </cell>
          <cell r="D74">
            <v>74</v>
          </cell>
          <cell r="E74">
            <v>2</v>
          </cell>
          <cell r="F74">
            <v>45070</v>
          </cell>
          <cell r="G74">
            <v>0.29166666666666669</v>
          </cell>
          <cell r="H74">
            <v>45070</v>
          </cell>
          <cell r="I74">
            <v>45071</v>
          </cell>
          <cell r="J74">
            <v>7822986734</v>
          </cell>
          <cell r="K74">
            <v>9422942323</v>
          </cell>
          <cell r="M74">
            <v>2</v>
          </cell>
          <cell r="N74">
            <v>1</v>
          </cell>
          <cell r="O74">
            <v>2</v>
          </cell>
          <cell r="P74">
            <v>2</v>
          </cell>
          <cell r="Q74">
            <v>2</v>
          </cell>
          <cell r="R74">
            <v>2</v>
          </cell>
          <cell r="S74">
            <v>2</v>
          </cell>
          <cell r="T74">
            <v>2</v>
          </cell>
          <cell r="U74">
            <v>2</v>
          </cell>
          <cell r="W74">
            <v>10.3</v>
          </cell>
          <cell r="X74">
            <v>31.4</v>
          </cell>
          <cell r="Z74">
            <v>11.38</v>
          </cell>
          <cell r="AA74">
            <v>7.2</v>
          </cell>
          <cell r="AG74">
            <v>2000</v>
          </cell>
          <cell r="AH74" t="str">
            <v>MCV-83.6, TSH-11.01</v>
          </cell>
          <cell r="AJ74" t="str">
            <v>acute lacunar infarct in thalamus</v>
          </cell>
          <cell r="AK74" t="str">
            <v xml:space="preserve">significant narrowing in cavernous segment of rt ica, mild narrowing in clinoid segment of both ica. rt vertebral artery appears small in size with atherosclerotic wall irregularities. mild narrowing in proximal part of basilar artery. </v>
          </cell>
          <cell r="AS74">
            <v>1</v>
          </cell>
          <cell r="AT74">
            <v>1</v>
          </cell>
          <cell r="AU74">
            <v>2</v>
          </cell>
          <cell r="AZ74">
            <v>1</v>
          </cell>
          <cell r="BA74">
            <v>100</v>
          </cell>
        </row>
        <row r="75">
          <cell r="A75" t="str">
            <v>Pradeep chaula</v>
          </cell>
          <cell r="C75">
            <v>200103233</v>
          </cell>
          <cell r="D75">
            <v>66</v>
          </cell>
          <cell r="E75">
            <v>1</v>
          </cell>
          <cell r="F75">
            <v>45028</v>
          </cell>
          <cell r="G75">
            <v>0.85416666666666663</v>
          </cell>
          <cell r="H75">
            <v>45028</v>
          </cell>
          <cell r="I75">
            <v>45029</v>
          </cell>
          <cell r="J75">
            <v>9850068182</v>
          </cell>
          <cell r="K75">
            <v>8055509303</v>
          </cell>
          <cell r="L75">
            <v>4</v>
          </cell>
          <cell r="M75">
            <v>1</v>
          </cell>
          <cell r="N75">
            <v>2</v>
          </cell>
          <cell r="O75">
            <v>2</v>
          </cell>
          <cell r="P75">
            <v>2</v>
          </cell>
          <cell r="Q75">
            <v>2</v>
          </cell>
          <cell r="R75">
            <v>2</v>
          </cell>
          <cell r="S75">
            <v>2</v>
          </cell>
          <cell r="T75">
            <v>2</v>
          </cell>
          <cell r="U75">
            <v>1</v>
          </cell>
          <cell r="V75" t="str">
            <v>Scar epilepsy</v>
          </cell>
          <cell r="W75">
            <v>15.2</v>
          </cell>
          <cell r="X75">
            <v>43.6</v>
          </cell>
          <cell r="Z75">
            <v>14</v>
          </cell>
          <cell r="AA75">
            <v>5.5</v>
          </cell>
          <cell r="AB75">
            <v>164</v>
          </cell>
          <cell r="AC75">
            <v>106</v>
          </cell>
          <cell r="AD75">
            <v>40</v>
          </cell>
          <cell r="AE75">
            <v>17</v>
          </cell>
          <cell r="AF75">
            <v>87</v>
          </cell>
          <cell r="AG75">
            <v>222</v>
          </cell>
          <cell r="AH75" t="str">
            <v>MCV-90.0</v>
          </cell>
          <cell r="AJ75" t="str">
            <v>infarct in rt temporor parietal region and left cerebellar hemispheres</v>
          </cell>
          <cell r="AK75" t="str">
            <v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v>
          </cell>
          <cell r="AL75" t="str">
            <v xml:space="preserve">DSA- 6070% stenosis oflt va at origin; 40-50% stenosis of Lt CCa. bifurcation saccalar post stenotic dilation of lt cervical ICa near its origin and inferior division of Lt ICA is chronically occluded. </v>
          </cell>
          <cell r="AS75">
            <v>1</v>
          </cell>
          <cell r="AT75">
            <v>1</v>
          </cell>
          <cell r="AU75">
            <v>2</v>
          </cell>
          <cell r="AZ75">
            <v>1</v>
          </cell>
          <cell r="BA75">
            <v>100</v>
          </cell>
        </row>
        <row r="76">
          <cell r="A76" t="str">
            <v>Ganesh satpute</v>
          </cell>
          <cell r="C76">
            <v>230201446</v>
          </cell>
          <cell r="D76">
            <v>32</v>
          </cell>
          <cell r="E76">
            <v>1</v>
          </cell>
          <cell r="F76">
            <v>44964</v>
          </cell>
          <cell r="G76">
            <v>0.875</v>
          </cell>
          <cell r="H76">
            <v>44965</v>
          </cell>
          <cell r="I76">
            <v>44967</v>
          </cell>
          <cell r="J76">
            <v>8550995333</v>
          </cell>
          <cell r="L76">
            <v>4</v>
          </cell>
          <cell r="M76">
            <v>2</v>
          </cell>
          <cell r="N76">
            <v>2</v>
          </cell>
          <cell r="O76">
            <v>2</v>
          </cell>
          <cell r="P76">
            <v>2</v>
          </cell>
          <cell r="Q76">
            <v>2</v>
          </cell>
          <cell r="R76">
            <v>2</v>
          </cell>
          <cell r="S76">
            <v>2</v>
          </cell>
          <cell r="T76">
            <v>2</v>
          </cell>
          <cell r="U76">
            <v>2</v>
          </cell>
          <cell r="V76" t="str">
            <v>Old cvA , Hyperhomocytenemia</v>
          </cell>
          <cell r="W76">
            <v>15.2</v>
          </cell>
          <cell r="X76">
            <v>44.5</v>
          </cell>
          <cell r="Z76">
            <v>49.3</v>
          </cell>
          <cell r="AA76">
            <v>5.5</v>
          </cell>
          <cell r="AB76">
            <v>174</v>
          </cell>
          <cell r="AC76">
            <v>114</v>
          </cell>
          <cell r="AD76">
            <v>41</v>
          </cell>
          <cell r="AE76">
            <v>18.399999999999999</v>
          </cell>
          <cell r="AF76">
            <v>92</v>
          </cell>
          <cell r="AG76">
            <v>181</v>
          </cell>
          <cell r="AH76" t="str">
            <v>MCV-87.9</v>
          </cell>
          <cell r="AJ76" t="str">
            <v>stroke in rt pre ontral gyrus. area of gliosis in rt fronto parietal region and head of caudate neucleus</v>
          </cell>
          <cell r="AK76" t="str">
            <v>paucity of insular branches of rt MCA. soft plaque in rt carotid body and origib of ICA</v>
          </cell>
          <cell r="AL76" t="str">
            <v>DSa- saccular aneurysm from Rt ventrical ostriate perforates</v>
          </cell>
          <cell r="AS76">
            <v>1</v>
          </cell>
          <cell r="AT76">
            <v>1</v>
          </cell>
          <cell r="AU76">
            <v>2</v>
          </cell>
          <cell r="AZ76">
            <v>0</v>
          </cell>
          <cell r="BA76">
            <v>100</v>
          </cell>
        </row>
        <row r="77">
          <cell r="A77" t="str">
            <v>Prakash Kamble</v>
          </cell>
          <cell r="C77">
            <v>230102526</v>
          </cell>
          <cell r="D77">
            <v>65</v>
          </cell>
          <cell r="E77">
            <v>1</v>
          </cell>
          <cell r="F77">
            <v>44937</v>
          </cell>
          <cell r="H77">
            <v>44939</v>
          </cell>
          <cell r="I77">
            <v>44942</v>
          </cell>
          <cell r="J77">
            <v>8888887372</v>
          </cell>
          <cell r="L77">
            <v>3</v>
          </cell>
          <cell r="M77">
            <v>1</v>
          </cell>
          <cell r="N77">
            <v>2</v>
          </cell>
          <cell r="O77">
            <v>2</v>
          </cell>
          <cell r="P77">
            <v>2</v>
          </cell>
          <cell r="Q77">
            <v>2</v>
          </cell>
          <cell r="R77">
            <v>2</v>
          </cell>
          <cell r="S77">
            <v>2</v>
          </cell>
          <cell r="T77">
            <v>2</v>
          </cell>
          <cell r="U77">
            <v>2</v>
          </cell>
          <cell r="V77" t="str">
            <v>old Cva-Lt sided hemiparesis</v>
          </cell>
          <cell r="W77">
            <v>13.3</v>
          </cell>
          <cell r="X77">
            <v>42</v>
          </cell>
          <cell r="Z77">
            <v>7.35</v>
          </cell>
          <cell r="AB77">
            <v>167</v>
          </cell>
          <cell r="AC77">
            <v>114</v>
          </cell>
          <cell r="AD77">
            <v>33</v>
          </cell>
          <cell r="AE77">
            <v>19</v>
          </cell>
          <cell r="AF77">
            <v>98</v>
          </cell>
          <cell r="AG77">
            <v>2000</v>
          </cell>
          <cell r="AH77" t="str">
            <v>MCV-911.2</v>
          </cell>
          <cell r="AJ77" t="str">
            <v>infarct in rt MCa and ICA watershed area</v>
          </cell>
          <cell r="AK77" t="str">
            <v>eccentric hypodense hrombosis with calcified atherosclerotic plaque in rt carotid bulb and origin of rt ICA causing 90-95% stenosis.</v>
          </cell>
          <cell r="AS77">
            <v>1</v>
          </cell>
          <cell r="AT77">
            <v>2</v>
          </cell>
          <cell r="AU77">
            <v>2</v>
          </cell>
          <cell r="AZ77">
            <v>1</v>
          </cell>
          <cell r="BA77">
            <v>100</v>
          </cell>
        </row>
        <row r="78">
          <cell r="A78" t="str">
            <v>Sunanda renuse</v>
          </cell>
          <cell r="C78">
            <v>230200233</v>
          </cell>
          <cell r="D78">
            <v>57</v>
          </cell>
          <cell r="E78">
            <v>2</v>
          </cell>
          <cell r="F78">
            <v>44958</v>
          </cell>
          <cell r="G78">
            <v>0.67708333333333337</v>
          </cell>
          <cell r="H78">
            <v>44958</v>
          </cell>
          <cell r="I78">
            <v>44966</v>
          </cell>
          <cell r="J78">
            <v>8698424544</v>
          </cell>
          <cell r="L78">
            <v>14</v>
          </cell>
          <cell r="M78">
            <v>2</v>
          </cell>
          <cell r="N78">
            <v>2</v>
          </cell>
          <cell r="O78">
            <v>2</v>
          </cell>
          <cell r="P78">
            <v>2</v>
          </cell>
          <cell r="Q78">
            <v>2</v>
          </cell>
          <cell r="R78">
            <v>2</v>
          </cell>
          <cell r="S78">
            <v>2</v>
          </cell>
          <cell r="T78">
            <v>2</v>
          </cell>
          <cell r="U78">
            <v>2</v>
          </cell>
          <cell r="V78" t="str">
            <v>Hyperhomocystenemis</v>
          </cell>
          <cell r="W78">
            <v>11.7</v>
          </cell>
          <cell r="X78">
            <v>33.6</v>
          </cell>
          <cell r="Z78">
            <v>81.62</v>
          </cell>
          <cell r="AG78">
            <v>219</v>
          </cell>
          <cell r="AH78" t="str">
            <v>MCV-105.6</v>
          </cell>
          <cell r="AJ78" t="str">
            <v>Acute infarct in rt mca territory</v>
          </cell>
          <cell r="AK78" t="str">
            <v xml:space="preserve">soft atherosclerotic plaque at bifurcation of rt CCA, abrupt cutoff of superior division of m2 segment of rt MCa. </v>
          </cell>
          <cell r="AL78" t="str">
            <v>DSA- Minimal 10% stenosis Rt CCA, bifurcation extending into cervical ICA</v>
          </cell>
          <cell r="AS78">
            <v>1</v>
          </cell>
          <cell r="AT78">
            <v>2</v>
          </cell>
          <cell r="AU78">
            <v>1</v>
          </cell>
          <cell r="AV78">
            <v>1</v>
          </cell>
          <cell r="AZ78">
            <v>2</v>
          </cell>
          <cell r="BA78">
            <v>95</v>
          </cell>
        </row>
        <row r="79">
          <cell r="A79" t="str">
            <v>Maruti Bhise</v>
          </cell>
          <cell r="C79">
            <v>230204724</v>
          </cell>
          <cell r="D79">
            <v>32</v>
          </cell>
          <cell r="E79">
            <v>1</v>
          </cell>
          <cell r="F79">
            <v>44981</v>
          </cell>
          <cell r="G79">
            <v>0.375</v>
          </cell>
          <cell r="H79">
            <v>44981</v>
          </cell>
          <cell r="I79">
            <v>44988</v>
          </cell>
          <cell r="J79">
            <v>9822008662</v>
          </cell>
          <cell r="L79">
            <v>10</v>
          </cell>
          <cell r="M79">
            <v>2</v>
          </cell>
          <cell r="N79">
            <v>2</v>
          </cell>
          <cell r="O79">
            <v>2</v>
          </cell>
          <cell r="P79">
            <v>2</v>
          </cell>
          <cell r="Q79">
            <v>2</v>
          </cell>
          <cell r="R79">
            <v>2</v>
          </cell>
          <cell r="S79">
            <v>2</v>
          </cell>
          <cell r="T79">
            <v>2</v>
          </cell>
          <cell r="U79">
            <v>1</v>
          </cell>
          <cell r="W79">
            <v>14.5</v>
          </cell>
          <cell r="X79">
            <v>44.6</v>
          </cell>
          <cell r="Z79">
            <v>11.6</v>
          </cell>
          <cell r="AB79">
            <v>138</v>
          </cell>
          <cell r="AC79">
            <v>81</v>
          </cell>
          <cell r="AD79">
            <v>34</v>
          </cell>
          <cell r="AE79">
            <v>23</v>
          </cell>
          <cell r="AF79">
            <v>115</v>
          </cell>
          <cell r="AG79">
            <v>313</v>
          </cell>
          <cell r="AH79" t="str">
            <v>MCV-80.2</v>
          </cell>
          <cell r="AJ79" t="str">
            <v>a/c infarct in lt MCA territory M1 occlusion.</v>
          </cell>
          <cell r="AK79" t="str">
            <v>abrupt cut off M1 segment lt MCA s/o thrombosis. reforation of distal M2 segment with faint opacification of superior division of lt mca</v>
          </cell>
          <cell r="AS79">
            <v>2</v>
          </cell>
          <cell r="AT79">
            <v>2</v>
          </cell>
          <cell r="AW79">
            <v>2</v>
          </cell>
          <cell r="AX79">
            <v>1</v>
          </cell>
          <cell r="AZ79">
            <v>1</v>
          </cell>
          <cell r="BA79">
            <v>100</v>
          </cell>
        </row>
        <row r="80">
          <cell r="A80" t="str">
            <v>Shalini Salvi</v>
          </cell>
          <cell r="C80">
            <v>160904213</v>
          </cell>
          <cell r="D80">
            <v>71</v>
          </cell>
          <cell r="E80">
            <v>2</v>
          </cell>
          <cell r="F80">
            <v>45057</v>
          </cell>
          <cell r="H80">
            <v>45058</v>
          </cell>
          <cell r="I80">
            <v>45060</v>
          </cell>
          <cell r="J80">
            <v>9970961657</v>
          </cell>
          <cell r="L80">
            <v>6</v>
          </cell>
          <cell r="M80">
            <v>1</v>
          </cell>
          <cell r="N80">
            <v>1</v>
          </cell>
          <cell r="O80">
            <v>2</v>
          </cell>
          <cell r="P80">
            <v>2</v>
          </cell>
          <cell r="Q80">
            <v>2</v>
          </cell>
          <cell r="R80">
            <v>2</v>
          </cell>
          <cell r="S80">
            <v>2</v>
          </cell>
          <cell r="T80">
            <v>2</v>
          </cell>
          <cell r="U80">
            <v>2</v>
          </cell>
          <cell r="W80">
            <v>12.4</v>
          </cell>
          <cell r="X80">
            <v>36.6</v>
          </cell>
          <cell r="Z80">
            <v>21</v>
          </cell>
          <cell r="AA80">
            <v>8.5</v>
          </cell>
          <cell r="AB80">
            <v>206</v>
          </cell>
          <cell r="AC80">
            <v>138</v>
          </cell>
          <cell r="AD80">
            <v>46</v>
          </cell>
          <cell r="AE80">
            <v>22</v>
          </cell>
          <cell r="AF80">
            <v>110</v>
          </cell>
          <cell r="AG80">
            <v>148</v>
          </cell>
          <cell r="AH80" t="str">
            <v>wakeup stroke</v>
          </cell>
          <cell r="AJ80" t="str">
            <v>infarct in lt corona radiata, body of lt caudate nucleus and lt posterior putamen small vessel ischemic changes with large related atrophy</v>
          </cell>
          <cell r="AK80" t="str">
            <v>mild paucity of cortical branches of both MCa's. M3 segment of lt MCAis irregularities MRa study reveals no significant abnormalities</v>
          </cell>
          <cell r="AS80">
            <v>1</v>
          </cell>
          <cell r="AT80">
            <v>1</v>
          </cell>
          <cell r="AU80">
            <v>2</v>
          </cell>
          <cell r="AZ80">
            <v>1</v>
          </cell>
          <cell r="BA80">
            <v>100</v>
          </cell>
        </row>
        <row r="81">
          <cell r="A81" t="str">
            <v>Rajendra nabge</v>
          </cell>
          <cell r="C81">
            <v>230501316</v>
          </cell>
          <cell r="D81">
            <v>57</v>
          </cell>
          <cell r="E81">
            <v>1</v>
          </cell>
          <cell r="F81">
            <v>45056</v>
          </cell>
          <cell r="G81">
            <v>0.97916666666666663</v>
          </cell>
          <cell r="H81">
            <v>45056</v>
          </cell>
          <cell r="I81">
            <v>45061</v>
          </cell>
          <cell r="J81">
            <v>8983457887</v>
          </cell>
          <cell r="L81">
            <v>4</v>
          </cell>
          <cell r="M81">
            <v>1</v>
          </cell>
          <cell r="N81">
            <v>1</v>
          </cell>
          <cell r="O81">
            <v>2</v>
          </cell>
          <cell r="P81">
            <v>2</v>
          </cell>
          <cell r="Q81">
            <v>2</v>
          </cell>
          <cell r="R81">
            <v>2</v>
          </cell>
          <cell r="S81">
            <v>2</v>
          </cell>
          <cell r="T81">
            <v>2</v>
          </cell>
          <cell r="U81">
            <v>2</v>
          </cell>
          <cell r="W81">
            <v>16.600000000000001</v>
          </cell>
          <cell r="X81">
            <v>48.6</v>
          </cell>
          <cell r="Z81">
            <v>18.02</v>
          </cell>
          <cell r="AA81">
            <v>7.4</v>
          </cell>
          <cell r="AB81">
            <v>238</v>
          </cell>
          <cell r="AC81">
            <v>10.35</v>
          </cell>
          <cell r="AD81">
            <v>23</v>
          </cell>
          <cell r="AE81">
            <v>113.8</v>
          </cell>
          <cell r="AF81">
            <v>569</v>
          </cell>
          <cell r="AG81">
            <v>215</v>
          </cell>
          <cell r="AH81" t="str">
            <v>MCV-94.1</v>
          </cell>
          <cell r="AJ81" t="str">
            <v>NHI in lt lentiform nucleus and left caudate neucleus. eccentric hypodense thrombotic plaque involving lt carotid bulb and origin of lt ICA causing approx-95% thrombus externals for a length of 16.5mm</v>
          </cell>
          <cell r="AK81" t="str">
            <v xml:space="preserve">The cervical and lacerum segments of lt ICA are narrow. There is thrombosis of cavernous segment of lt ICa with reformation of supraclinois segment </v>
          </cell>
          <cell r="AS81">
            <v>1</v>
          </cell>
          <cell r="AT81">
            <v>2</v>
          </cell>
          <cell r="AU81">
            <v>1</v>
          </cell>
          <cell r="AV81">
            <v>1</v>
          </cell>
          <cell r="AZ81">
            <v>2</v>
          </cell>
          <cell r="BA81">
            <v>90</v>
          </cell>
        </row>
        <row r="82">
          <cell r="A82" t="str">
            <v>Suresh Shirolkar</v>
          </cell>
          <cell r="C82">
            <v>2108006661</v>
          </cell>
          <cell r="D82">
            <v>60</v>
          </cell>
          <cell r="E82">
            <v>1</v>
          </cell>
          <cell r="F82">
            <v>45014</v>
          </cell>
          <cell r="G82">
            <v>0.75</v>
          </cell>
          <cell r="H82">
            <v>45008</v>
          </cell>
          <cell r="I82">
            <v>45016</v>
          </cell>
          <cell r="J82">
            <v>7304449578</v>
          </cell>
          <cell r="L82">
            <v>3</v>
          </cell>
          <cell r="M82">
            <v>1</v>
          </cell>
          <cell r="N82">
            <v>1</v>
          </cell>
          <cell r="O82">
            <v>2</v>
          </cell>
          <cell r="P82">
            <v>2</v>
          </cell>
          <cell r="Q82">
            <v>2</v>
          </cell>
          <cell r="R82">
            <v>2</v>
          </cell>
          <cell r="S82">
            <v>2</v>
          </cell>
          <cell r="T82">
            <v>1</v>
          </cell>
          <cell r="U82">
            <v>2</v>
          </cell>
          <cell r="W82">
            <v>10.5</v>
          </cell>
          <cell r="X82">
            <v>34.200000000000003</v>
          </cell>
          <cell r="Z82">
            <v>14</v>
          </cell>
          <cell r="AA82">
            <v>8.1999999999999993</v>
          </cell>
          <cell r="AB82">
            <v>90</v>
          </cell>
          <cell r="AC82">
            <v>32</v>
          </cell>
          <cell r="AD82">
            <v>32</v>
          </cell>
          <cell r="AE82">
            <v>16</v>
          </cell>
          <cell r="AF82">
            <v>80</v>
          </cell>
          <cell r="AG82">
            <v>292</v>
          </cell>
          <cell r="AH82" t="str">
            <v>MCV-66.7</v>
          </cell>
          <cell r="AJ82" t="str">
            <v>infarct in lt frontal lobe, and lacunar infarct in basal ganglia</v>
          </cell>
          <cell r="AK82" t="str">
            <v>normal</v>
          </cell>
          <cell r="AS82">
            <v>1</v>
          </cell>
          <cell r="AT82">
            <v>2</v>
          </cell>
          <cell r="AU82">
            <v>1</v>
          </cell>
          <cell r="AV82">
            <v>1</v>
          </cell>
          <cell r="AZ82">
            <v>0</v>
          </cell>
          <cell r="BA82">
            <v>100</v>
          </cell>
        </row>
        <row r="83">
          <cell r="A83" t="str">
            <v>Prashant Khilare</v>
          </cell>
          <cell r="C83">
            <v>230502703</v>
          </cell>
          <cell r="D83">
            <v>47</v>
          </cell>
          <cell r="E83">
            <v>1</v>
          </cell>
          <cell r="F83">
            <v>45063</v>
          </cell>
          <cell r="G83">
            <v>0.75</v>
          </cell>
          <cell r="H83">
            <v>45065</v>
          </cell>
          <cell r="I83">
            <v>45067</v>
          </cell>
          <cell r="J83">
            <v>9637820789</v>
          </cell>
          <cell r="L83">
            <v>9</v>
          </cell>
          <cell r="M83">
            <v>2</v>
          </cell>
          <cell r="N83">
            <v>2</v>
          </cell>
          <cell r="O83">
            <v>1</v>
          </cell>
          <cell r="P83">
            <v>1</v>
          </cell>
          <cell r="Q83">
            <v>2</v>
          </cell>
          <cell r="R83">
            <v>2</v>
          </cell>
          <cell r="S83">
            <v>2</v>
          </cell>
          <cell r="T83">
            <v>2</v>
          </cell>
          <cell r="U83">
            <v>2</v>
          </cell>
          <cell r="V83" t="str">
            <v>family history of cva in both parents and brother</v>
          </cell>
          <cell r="W83">
            <v>13.7</v>
          </cell>
          <cell r="X83">
            <v>42.3</v>
          </cell>
          <cell r="Z83">
            <v>38.15</v>
          </cell>
          <cell r="AA83">
            <v>5</v>
          </cell>
          <cell r="AB83">
            <v>235</v>
          </cell>
          <cell r="AC83">
            <v>156.6</v>
          </cell>
          <cell r="AD83">
            <v>61</v>
          </cell>
          <cell r="AE83">
            <v>17.399999999999999</v>
          </cell>
          <cell r="AF83">
            <v>87</v>
          </cell>
          <cell r="AG83">
            <v>153</v>
          </cell>
          <cell r="AH83" t="str">
            <v>MCV-99.7</v>
          </cell>
          <cell r="AJ83" t="str">
            <v xml:space="preserve">NHI caudate nucleus and lentiform nucleus lt side </v>
          </cell>
          <cell r="AK83" t="str">
            <v>Hypodense area in body and head caudate nucleus and lt lentiform nucleus consistant with infarct</v>
          </cell>
          <cell r="AS83">
            <v>1</v>
          </cell>
          <cell r="AT83">
            <v>1</v>
          </cell>
          <cell r="AU83">
            <v>2</v>
          </cell>
          <cell r="AZ83">
            <v>2</v>
          </cell>
          <cell r="BA83">
            <v>95</v>
          </cell>
        </row>
        <row r="84">
          <cell r="A84" t="str">
            <v>Satish Deshmukh</v>
          </cell>
          <cell r="C84">
            <v>230404665</v>
          </cell>
          <cell r="D84">
            <v>65</v>
          </cell>
          <cell r="E84">
            <v>1</v>
          </cell>
          <cell r="F84">
            <v>45045</v>
          </cell>
          <cell r="H84">
            <v>45046</v>
          </cell>
          <cell r="I84">
            <v>45059</v>
          </cell>
          <cell r="J84">
            <v>9028568923</v>
          </cell>
          <cell r="L84">
            <v>22</v>
          </cell>
          <cell r="M84">
            <v>2</v>
          </cell>
          <cell r="N84">
            <v>1</v>
          </cell>
          <cell r="O84">
            <v>2</v>
          </cell>
          <cell r="P84">
            <v>2</v>
          </cell>
          <cell r="Q84">
            <v>2</v>
          </cell>
          <cell r="R84">
            <v>2</v>
          </cell>
          <cell r="S84">
            <v>2</v>
          </cell>
          <cell r="T84">
            <v>2</v>
          </cell>
          <cell r="U84">
            <v>2</v>
          </cell>
          <cell r="W84">
            <v>9.9</v>
          </cell>
          <cell r="X84">
            <v>29.1</v>
          </cell>
          <cell r="AA84">
            <v>10.6</v>
          </cell>
          <cell r="AH84" t="str">
            <v>MCV-90.2</v>
          </cell>
          <cell r="AJ84" t="str">
            <v xml:space="preserve">mild hemorrhagic changes in infarcts in b/l frontal, lt parieto-temporal and lt lentiform nucleus. acute nhi in posterior limbs of lt internal capsule lt mid brain lt temporallobe and rt occiital lobe. cardioembolic stroke </v>
          </cell>
          <cell r="AS84">
            <v>1</v>
          </cell>
          <cell r="AT84">
            <v>1</v>
          </cell>
          <cell r="AU84">
            <v>1</v>
          </cell>
          <cell r="AV84">
            <v>2</v>
          </cell>
          <cell r="AZ84">
            <v>6</v>
          </cell>
          <cell r="BA84">
            <v>0</v>
          </cell>
        </row>
        <row r="85">
          <cell r="A85" t="str">
            <v>Laxmi B Vennu</v>
          </cell>
          <cell r="C85">
            <v>211200884</v>
          </cell>
          <cell r="D85">
            <v>71</v>
          </cell>
          <cell r="E85">
            <v>2</v>
          </cell>
          <cell r="F85">
            <v>45096</v>
          </cell>
          <cell r="G85">
            <v>0.47916666666666669</v>
          </cell>
          <cell r="H85">
            <v>45096</v>
          </cell>
          <cell r="I85">
            <v>45099</v>
          </cell>
          <cell r="J85">
            <v>9975621030</v>
          </cell>
          <cell r="L85">
            <v>3</v>
          </cell>
          <cell r="M85">
            <v>1</v>
          </cell>
          <cell r="N85">
            <v>2</v>
          </cell>
          <cell r="O85">
            <v>2</v>
          </cell>
          <cell r="P85">
            <v>2</v>
          </cell>
          <cell r="Q85">
            <v>2</v>
          </cell>
          <cell r="R85">
            <v>2</v>
          </cell>
          <cell r="S85">
            <v>2</v>
          </cell>
          <cell r="T85">
            <v>2</v>
          </cell>
          <cell r="U85">
            <v>2</v>
          </cell>
          <cell r="W85">
            <v>11.3</v>
          </cell>
          <cell r="X85">
            <v>34.4</v>
          </cell>
          <cell r="Z85">
            <v>14.31</v>
          </cell>
          <cell r="AA85">
            <v>5.5</v>
          </cell>
          <cell r="AG85">
            <v>1686</v>
          </cell>
          <cell r="AH85" t="str">
            <v>MCV-76.3, DSA- 60-70% stenosis of Rt CCA bifurcation; extending into right ICA and 80-90% stenosis of lt CCA bifurcation extending into lt ICA</v>
          </cell>
          <cell r="AJ85" t="str">
            <v>Acute infarct in left frontal lobe</v>
          </cell>
          <cell r="AK85" t="str">
            <v>B/L sided ICA stenosis. Dense calcified plaque in lt carotid bifurcation intending to origin of lt ICA causing severe stenosis. Eccentric calcified plaque in rt ICA origin causing severe stenosis. Small calcified plaques in cavernous and supraclinoid segments of both legs.</v>
          </cell>
          <cell r="AS85">
            <v>1</v>
          </cell>
          <cell r="AT85">
            <v>1</v>
          </cell>
          <cell r="AU85">
            <v>1</v>
          </cell>
          <cell r="AV85">
            <v>1</v>
          </cell>
          <cell r="AZ85">
            <v>3</v>
          </cell>
          <cell r="BA85">
            <v>70</v>
          </cell>
        </row>
        <row r="86">
          <cell r="A86" t="str">
            <v>Utkarsh B Pawar</v>
          </cell>
          <cell r="C86">
            <v>160801663</v>
          </cell>
          <cell r="D86">
            <v>54</v>
          </cell>
          <cell r="E86">
            <v>1</v>
          </cell>
          <cell r="H86">
            <v>45022</v>
          </cell>
          <cell r="I86">
            <v>45040</v>
          </cell>
          <cell r="J86">
            <v>9011184310</v>
          </cell>
          <cell r="L86">
            <v>11</v>
          </cell>
          <cell r="M86">
            <v>1</v>
          </cell>
          <cell r="N86">
            <v>2</v>
          </cell>
          <cell r="O86">
            <v>1</v>
          </cell>
          <cell r="P86">
            <v>1</v>
          </cell>
          <cell r="Q86">
            <v>2</v>
          </cell>
          <cell r="R86">
            <v>2</v>
          </cell>
          <cell r="S86">
            <v>2</v>
          </cell>
          <cell r="T86">
            <v>2</v>
          </cell>
          <cell r="U86">
            <v>2</v>
          </cell>
          <cell r="V86" t="str">
            <v>H/O of ? CVA in 2016, H/O old CVA to father</v>
          </cell>
          <cell r="W86">
            <v>11.9</v>
          </cell>
          <cell r="X86">
            <v>40</v>
          </cell>
          <cell r="Z86">
            <v>86.69</v>
          </cell>
          <cell r="AA86">
            <v>5.6</v>
          </cell>
          <cell r="AB86">
            <v>144</v>
          </cell>
          <cell r="AC86">
            <v>70.599999999999994</v>
          </cell>
          <cell r="AD86">
            <v>27</v>
          </cell>
          <cell r="AF86">
            <v>232</v>
          </cell>
          <cell r="AG86">
            <v>148</v>
          </cell>
          <cell r="AJ86" t="str">
            <v>Lt FTPO region</v>
          </cell>
          <cell r="AK86" t="str">
            <v>Centrum semiovale and corona radiata, Lt MCA m1 stenosis, mild paucity in lt MCA, Lt ICA plaque 20% carotid bulb compaonent</v>
          </cell>
          <cell r="AM86">
            <v>10</v>
          </cell>
          <cell r="AN86">
            <v>1</v>
          </cell>
          <cell r="AO86">
            <v>3</v>
          </cell>
          <cell r="AP86">
            <v>3</v>
          </cell>
          <cell r="AQ86">
            <v>5</v>
          </cell>
          <cell r="AS86">
            <v>1</v>
          </cell>
          <cell r="AT86">
            <v>1</v>
          </cell>
          <cell r="AU86">
            <v>1</v>
          </cell>
          <cell r="AV86">
            <v>2</v>
          </cell>
        </row>
        <row r="87">
          <cell r="A87" t="str">
            <v xml:space="preserve">Vaishali Mahajan </v>
          </cell>
          <cell r="C87">
            <v>230101845</v>
          </cell>
          <cell r="D87">
            <v>50</v>
          </cell>
          <cell r="E87">
            <v>2</v>
          </cell>
          <cell r="H87">
            <v>45036</v>
          </cell>
          <cell r="I87">
            <v>45040</v>
          </cell>
          <cell r="J87">
            <v>7620076491</v>
          </cell>
          <cell r="L87">
            <v>9</v>
          </cell>
          <cell r="M87">
            <v>1</v>
          </cell>
          <cell r="N87">
            <v>1</v>
          </cell>
          <cell r="O87">
            <v>2</v>
          </cell>
          <cell r="P87">
            <v>2</v>
          </cell>
          <cell r="Q87">
            <v>2</v>
          </cell>
          <cell r="R87">
            <v>2</v>
          </cell>
          <cell r="S87">
            <v>2</v>
          </cell>
          <cell r="T87">
            <v>2</v>
          </cell>
          <cell r="U87">
            <v>2</v>
          </cell>
          <cell r="V87" t="str">
            <v>Old stroke in Jan 2023, Hyper thyroidism</v>
          </cell>
          <cell r="W87">
            <v>13.6</v>
          </cell>
          <cell r="X87">
            <v>39.9</v>
          </cell>
          <cell r="Z87">
            <v>3.65</v>
          </cell>
          <cell r="AA87">
            <v>8.5</v>
          </cell>
          <cell r="AG87">
            <v>797</v>
          </cell>
          <cell r="AH87" t="str">
            <v>MCV- 82.0</v>
          </cell>
          <cell r="AJ87" t="str">
            <v>a/c NHI in rt frontal. parietal, basal ganglia and in the anterior temporal lobe. causing compression of sulcal spaces and rt lateral ventricle, midline shift to the lt and rt uncal herniation in noted</v>
          </cell>
          <cell r="AK87" t="str">
            <v xml:space="preserve">Rt m1 MCA occlusion and terminal ICA occlusion </v>
          </cell>
          <cell r="AM87">
            <v>3</v>
          </cell>
          <cell r="AN87">
            <v>2</v>
          </cell>
          <cell r="AO87">
            <v>2</v>
          </cell>
          <cell r="AP87">
            <v>2</v>
          </cell>
          <cell r="AQ87">
            <v>4</v>
          </cell>
          <cell r="AS87">
            <v>1</v>
          </cell>
          <cell r="AT87">
            <v>1</v>
          </cell>
          <cell r="AU87">
            <v>2</v>
          </cell>
        </row>
        <row r="88">
          <cell r="A88" t="str">
            <v>Gade manda Balu</v>
          </cell>
          <cell r="C88">
            <v>230402134</v>
          </cell>
          <cell r="D88">
            <v>58</v>
          </cell>
          <cell r="E88">
            <v>2</v>
          </cell>
          <cell r="H88">
            <v>45029</v>
          </cell>
          <cell r="I88">
            <v>45031</v>
          </cell>
          <cell r="J88">
            <v>9922230446</v>
          </cell>
          <cell r="L88">
            <v>7</v>
          </cell>
          <cell r="M88">
            <v>1</v>
          </cell>
          <cell r="N88">
            <v>2</v>
          </cell>
          <cell r="O88">
            <v>2</v>
          </cell>
          <cell r="P88">
            <v>2</v>
          </cell>
          <cell r="Q88">
            <v>1</v>
          </cell>
          <cell r="R88">
            <v>2</v>
          </cell>
          <cell r="S88">
            <v>2</v>
          </cell>
          <cell r="T88">
            <v>2</v>
          </cell>
          <cell r="U88">
            <v>2</v>
          </cell>
          <cell r="W88">
            <v>12</v>
          </cell>
          <cell r="X88">
            <v>36.1</v>
          </cell>
          <cell r="Z88">
            <v>11.88</v>
          </cell>
          <cell r="AA88">
            <v>6</v>
          </cell>
          <cell r="AB88">
            <v>184</v>
          </cell>
          <cell r="AC88">
            <v>118.6</v>
          </cell>
          <cell r="AD88">
            <v>49</v>
          </cell>
          <cell r="AE88">
            <v>16.399999999999999</v>
          </cell>
          <cell r="AF88">
            <v>82</v>
          </cell>
          <cell r="AG88">
            <v>2000</v>
          </cell>
          <cell r="AH88" t="str">
            <v>MCV-77.5</v>
          </cell>
          <cell r="AJ88" t="str">
            <v>Lt MCA-PCA watershed infarct</v>
          </cell>
          <cell r="AK88" t="str">
            <v>Lt M2 occlusion</v>
          </cell>
          <cell r="AM88">
            <v>10</v>
          </cell>
          <cell r="AN88">
            <v>1</v>
          </cell>
          <cell r="AO88">
            <v>3</v>
          </cell>
          <cell r="AP88">
            <v>3</v>
          </cell>
          <cell r="AQ88">
            <v>5</v>
          </cell>
          <cell r="AS88">
            <v>1</v>
          </cell>
          <cell r="AT88">
            <v>1</v>
          </cell>
          <cell r="AU88">
            <v>2</v>
          </cell>
        </row>
        <row r="89">
          <cell r="A89" t="str">
            <v>Kantilal pawar</v>
          </cell>
          <cell r="C89">
            <v>230401135</v>
          </cell>
          <cell r="D89">
            <v>67</v>
          </cell>
          <cell r="E89">
            <v>1</v>
          </cell>
          <cell r="H89">
            <v>45023</v>
          </cell>
          <cell r="I89">
            <v>45038</v>
          </cell>
          <cell r="J89">
            <v>8796302931</v>
          </cell>
          <cell r="L89">
            <v>21</v>
          </cell>
          <cell r="M89">
            <v>1</v>
          </cell>
          <cell r="N89">
            <v>1</v>
          </cell>
          <cell r="O89">
            <v>2</v>
          </cell>
          <cell r="P89">
            <v>2</v>
          </cell>
          <cell r="Q89">
            <v>2</v>
          </cell>
          <cell r="R89">
            <v>2</v>
          </cell>
          <cell r="S89">
            <v>2</v>
          </cell>
          <cell r="T89">
            <v>2</v>
          </cell>
          <cell r="U89">
            <v>2</v>
          </cell>
          <cell r="W89">
            <v>15.6</v>
          </cell>
          <cell r="X89">
            <v>46</v>
          </cell>
          <cell r="Z89">
            <v>19</v>
          </cell>
          <cell r="AA89">
            <v>9.9</v>
          </cell>
          <cell r="AB89">
            <v>145</v>
          </cell>
          <cell r="AC89">
            <v>104</v>
          </cell>
          <cell r="AD89">
            <v>27</v>
          </cell>
          <cell r="AE89">
            <v>13</v>
          </cell>
          <cell r="AF89">
            <v>66</v>
          </cell>
          <cell r="AG89">
            <v>2000</v>
          </cell>
          <cell r="AJ89" t="str">
            <v>Rt MCA infarct</v>
          </cell>
          <cell r="AK89" t="str">
            <v>Rt M1 occlusion</v>
          </cell>
          <cell r="AM89">
            <v>6</v>
          </cell>
          <cell r="AN89">
            <v>2</v>
          </cell>
          <cell r="AO89">
            <v>2</v>
          </cell>
          <cell r="AP89">
            <v>1</v>
          </cell>
          <cell r="AQ89">
            <v>3</v>
          </cell>
          <cell r="AS89">
            <v>1</v>
          </cell>
          <cell r="AT89">
            <v>1</v>
          </cell>
          <cell r="AU89">
            <v>2</v>
          </cell>
          <cell r="AX89">
            <v>1</v>
          </cell>
        </row>
        <row r="90">
          <cell r="A90" t="str">
            <v>Awali Rajendra</v>
          </cell>
          <cell r="C90">
            <v>170303850</v>
          </cell>
          <cell r="D90">
            <v>59</v>
          </cell>
          <cell r="E90">
            <v>1</v>
          </cell>
          <cell r="H90">
            <v>45031</v>
          </cell>
          <cell r="I90">
            <v>45033</v>
          </cell>
          <cell r="J90">
            <v>9850842260</v>
          </cell>
          <cell r="L90">
            <v>5</v>
          </cell>
          <cell r="M90">
            <v>2</v>
          </cell>
          <cell r="N90">
            <v>1</v>
          </cell>
          <cell r="O90">
            <v>1</v>
          </cell>
          <cell r="P90">
            <v>1</v>
          </cell>
          <cell r="Q90">
            <v>1</v>
          </cell>
          <cell r="R90">
            <v>2</v>
          </cell>
          <cell r="S90">
            <v>2</v>
          </cell>
          <cell r="T90">
            <v>2</v>
          </cell>
          <cell r="U90">
            <v>2</v>
          </cell>
          <cell r="W90">
            <v>15.4</v>
          </cell>
          <cell r="X90">
            <v>45</v>
          </cell>
          <cell r="Z90">
            <v>9.3800000000000008</v>
          </cell>
          <cell r="AA90">
            <v>9.1999999999999993</v>
          </cell>
          <cell r="AB90">
            <v>158</v>
          </cell>
          <cell r="AC90">
            <v>65.400000000000006</v>
          </cell>
          <cell r="AD90">
            <v>23</v>
          </cell>
          <cell r="AE90">
            <v>69.599999999999994</v>
          </cell>
          <cell r="AF90">
            <v>348</v>
          </cell>
          <cell r="AG90">
            <v>177</v>
          </cell>
          <cell r="AJ90" t="str">
            <v xml:space="preserve">Lt periventricular and lft lentiform nucleus infarct </v>
          </cell>
          <cell r="AK90" t="str">
            <v>mild irregularity in M1 segment of lt MCA short segment narrowing of superior devision of M2 segment of Lt MCA with distal reformation</v>
          </cell>
          <cell r="AM90">
            <v>10</v>
          </cell>
          <cell r="AN90">
            <v>1</v>
          </cell>
          <cell r="AO90">
            <v>4</v>
          </cell>
          <cell r="AP90">
            <v>3</v>
          </cell>
          <cell r="AQ90">
            <v>5</v>
          </cell>
          <cell r="AS90">
            <v>1</v>
          </cell>
          <cell r="AT90">
            <v>1</v>
          </cell>
          <cell r="AU90">
            <v>2</v>
          </cell>
          <cell r="AZ90">
            <v>1</v>
          </cell>
          <cell r="BA90">
            <v>80</v>
          </cell>
        </row>
        <row r="91">
          <cell r="A91" t="str">
            <v>Nathu Shelar</v>
          </cell>
          <cell r="C91">
            <v>230402432</v>
          </cell>
          <cell r="D91">
            <v>70</v>
          </cell>
          <cell r="E91">
            <v>1</v>
          </cell>
          <cell r="H91">
            <v>45032</v>
          </cell>
          <cell r="I91">
            <v>45036</v>
          </cell>
          <cell r="J91">
            <v>9405432189</v>
          </cell>
          <cell r="L91">
            <v>2</v>
          </cell>
          <cell r="M91">
            <v>1</v>
          </cell>
          <cell r="N91">
            <v>1</v>
          </cell>
          <cell r="O91">
            <v>1</v>
          </cell>
          <cell r="P91">
            <v>1</v>
          </cell>
          <cell r="Q91">
            <v>1</v>
          </cell>
          <cell r="R91">
            <v>2</v>
          </cell>
          <cell r="S91">
            <v>2</v>
          </cell>
          <cell r="T91">
            <v>2</v>
          </cell>
          <cell r="U91">
            <v>2</v>
          </cell>
          <cell r="W91">
            <v>11.2</v>
          </cell>
          <cell r="X91">
            <v>34.9</v>
          </cell>
          <cell r="Z91">
            <v>71</v>
          </cell>
          <cell r="AA91">
            <v>44</v>
          </cell>
          <cell r="AB91">
            <v>5.8</v>
          </cell>
          <cell r="AC91">
            <v>80.2</v>
          </cell>
          <cell r="AD91">
            <v>32</v>
          </cell>
          <cell r="AE91">
            <v>12.8</v>
          </cell>
          <cell r="AF91">
            <v>64</v>
          </cell>
          <cell r="AG91">
            <v>148</v>
          </cell>
          <cell r="AJ91" t="str">
            <v>Chronic infarct in rt corona radiata, Rt periventricular region and rt lentiform nucleus</v>
          </cell>
          <cell r="AM91">
            <v>9</v>
          </cell>
          <cell r="AN91">
            <v>1</v>
          </cell>
          <cell r="AO91">
            <v>3</v>
          </cell>
          <cell r="AP91">
            <v>3</v>
          </cell>
          <cell r="AQ91">
            <v>5</v>
          </cell>
          <cell r="AS91">
            <v>1</v>
          </cell>
          <cell r="AT91">
            <v>1</v>
          </cell>
          <cell r="AU91">
            <v>2</v>
          </cell>
        </row>
        <row r="92">
          <cell r="A92" t="str">
            <v>Geeta Sapre</v>
          </cell>
          <cell r="C92">
            <v>230601720</v>
          </cell>
          <cell r="D92">
            <v>60</v>
          </cell>
          <cell r="E92">
            <v>2</v>
          </cell>
          <cell r="F92">
            <v>45083</v>
          </cell>
          <cell r="G92">
            <v>0.33333333333333331</v>
          </cell>
          <cell r="H92">
            <v>45084</v>
          </cell>
          <cell r="I92">
            <v>45086</v>
          </cell>
          <cell r="J92">
            <v>8380033818</v>
          </cell>
          <cell r="M92">
            <v>1</v>
          </cell>
          <cell r="N92">
            <v>1</v>
          </cell>
          <cell r="O92">
            <v>2</v>
          </cell>
          <cell r="P92">
            <v>2</v>
          </cell>
          <cell r="Q92">
            <v>2</v>
          </cell>
          <cell r="R92">
            <v>2</v>
          </cell>
          <cell r="S92">
            <v>2</v>
          </cell>
          <cell r="T92">
            <v>2</v>
          </cell>
          <cell r="U92">
            <v>2</v>
          </cell>
          <cell r="V92" t="str">
            <v>Asthma 7-8yrs</v>
          </cell>
          <cell r="W92">
            <v>12.3</v>
          </cell>
          <cell r="X92">
            <v>37.200000000000003</v>
          </cell>
          <cell r="Z92">
            <v>14.08</v>
          </cell>
          <cell r="AA92">
            <v>6</v>
          </cell>
          <cell r="AG92">
            <v>2000</v>
          </cell>
          <cell r="AK92" t="str">
            <v>Hypodensity in the lt FP lobe. posterior lib of internal capsule and corona radiata is consistent with infarct. a large bleed is noted. surrounding of cerebral edema with midline shift towards t and mild lt medial uncal herniation</v>
          </cell>
          <cell r="AS92">
            <v>1</v>
          </cell>
          <cell r="AT92">
            <v>1</v>
          </cell>
          <cell r="AU92">
            <v>1</v>
          </cell>
          <cell r="AV92">
            <v>2</v>
          </cell>
          <cell r="AZ92">
            <v>2</v>
          </cell>
          <cell r="BA92">
            <v>85</v>
          </cell>
        </row>
        <row r="93">
          <cell r="A93" t="str">
            <v>Mangal Marathe</v>
          </cell>
          <cell r="C93">
            <v>230400216</v>
          </cell>
          <cell r="D93">
            <v>50</v>
          </cell>
          <cell r="E93">
            <v>2</v>
          </cell>
          <cell r="F93">
            <v>45016</v>
          </cell>
          <cell r="G93">
            <v>0.75</v>
          </cell>
          <cell r="H93">
            <v>45017</v>
          </cell>
          <cell r="I93">
            <v>45027</v>
          </cell>
          <cell r="J93">
            <v>7741876906</v>
          </cell>
          <cell r="L93">
            <v>19</v>
          </cell>
          <cell r="M93">
            <v>1</v>
          </cell>
          <cell r="N93">
            <v>2</v>
          </cell>
          <cell r="O93">
            <v>2</v>
          </cell>
          <cell r="P93">
            <v>2</v>
          </cell>
          <cell r="Q93">
            <v>2</v>
          </cell>
          <cell r="R93">
            <v>2</v>
          </cell>
          <cell r="S93">
            <v>2</v>
          </cell>
          <cell r="T93">
            <v>2</v>
          </cell>
          <cell r="U93">
            <v>2</v>
          </cell>
          <cell r="W93">
            <v>8.4</v>
          </cell>
          <cell r="X93">
            <v>28</v>
          </cell>
          <cell r="Z93">
            <v>5.88</v>
          </cell>
          <cell r="AA93">
            <v>7.4</v>
          </cell>
          <cell r="AB93">
            <v>257</v>
          </cell>
          <cell r="AC93">
            <v>182</v>
          </cell>
          <cell r="AD93">
            <v>51</v>
          </cell>
          <cell r="AE93">
            <v>23</v>
          </cell>
          <cell r="AF93">
            <v>116</v>
          </cell>
          <cell r="AG93">
            <v>413</v>
          </cell>
          <cell r="AJ93" t="str">
            <v>Large area of hypoateneuation with loss of grey white differeniation in Rt FTP lobe and Rt GC region consistent with rt MCA infarct. Hyperdense rt MCA sigh+. midline shift of 6.4mm and mild rt medial uncal herniation</v>
          </cell>
          <cell r="AM93">
            <v>4</v>
          </cell>
          <cell r="AS93">
            <v>1</v>
          </cell>
          <cell r="AT93">
            <v>1</v>
          </cell>
          <cell r="AU93">
            <v>2</v>
          </cell>
        </row>
        <row r="94">
          <cell r="A94" t="str">
            <v>Suresh adhyapak</v>
          </cell>
          <cell r="C94">
            <v>201200469</v>
          </cell>
          <cell r="D94">
            <v>73</v>
          </cell>
          <cell r="E94">
            <v>1</v>
          </cell>
          <cell r="F94">
            <v>45063</v>
          </cell>
          <cell r="H94">
            <v>45065</v>
          </cell>
          <cell r="I94">
            <v>45075</v>
          </cell>
          <cell r="J94">
            <v>9822495454</v>
          </cell>
          <cell r="L94">
            <v>6</v>
          </cell>
          <cell r="M94">
            <v>1</v>
          </cell>
          <cell r="N94">
            <v>1</v>
          </cell>
          <cell r="O94">
            <v>2</v>
          </cell>
          <cell r="P94">
            <v>2</v>
          </cell>
          <cell r="Q94">
            <v>2</v>
          </cell>
          <cell r="R94">
            <v>2</v>
          </cell>
          <cell r="S94">
            <v>2</v>
          </cell>
          <cell r="T94">
            <v>2</v>
          </cell>
          <cell r="U94">
            <v>2</v>
          </cell>
          <cell r="W94">
            <v>13.5</v>
          </cell>
          <cell r="X94">
            <v>40</v>
          </cell>
          <cell r="Z94">
            <v>16.170000000000002</v>
          </cell>
          <cell r="AA94">
            <v>7</v>
          </cell>
          <cell r="AG94">
            <v>215</v>
          </cell>
          <cell r="AH94" t="str">
            <v>MCV-84.6</v>
          </cell>
          <cell r="AJ94" t="str">
            <v>A/c NHI in lft temporal lobe</v>
          </cell>
          <cell r="AK94" t="str">
            <v xml:space="preserve">calcified atheroscelrotic plaques in cavernous segments of b/l ICAcalcified atherosclerotic plaques in V4 segments B/L vertebral ICA. B/L ICA and Basilar artery appear ectatic. B/L M1 segments appear irregular and narrow in caliber(lt&gt;rt) </v>
          </cell>
          <cell r="AS94">
            <v>1</v>
          </cell>
          <cell r="AT94">
            <v>1</v>
          </cell>
          <cell r="AU94">
            <v>2</v>
          </cell>
        </row>
        <row r="95">
          <cell r="A95" t="str">
            <v>Arvind Pawar</v>
          </cell>
          <cell r="C95">
            <v>230400708</v>
          </cell>
          <cell r="D95">
            <v>77</v>
          </cell>
          <cell r="E95">
            <v>1</v>
          </cell>
          <cell r="H95">
            <v>45020</v>
          </cell>
          <cell r="I95">
            <v>45022</v>
          </cell>
          <cell r="J95">
            <v>9881475548</v>
          </cell>
          <cell r="L95">
            <v>6</v>
          </cell>
          <cell r="M95">
            <v>2</v>
          </cell>
          <cell r="N95">
            <v>2</v>
          </cell>
          <cell r="O95">
            <v>2</v>
          </cell>
          <cell r="P95">
            <v>1</v>
          </cell>
          <cell r="Q95">
            <v>2</v>
          </cell>
          <cell r="R95">
            <v>2</v>
          </cell>
          <cell r="S95">
            <v>2</v>
          </cell>
          <cell r="T95">
            <v>2</v>
          </cell>
          <cell r="U95">
            <v>2</v>
          </cell>
          <cell r="W95">
            <v>11.5</v>
          </cell>
          <cell r="X95">
            <v>36.1</v>
          </cell>
          <cell r="Z95">
            <v>19</v>
          </cell>
          <cell r="AA95">
            <v>5.9</v>
          </cell>
          <cell r="AB95">
            <v>160</v>
          </cell>
          <cell r="AC95">
            <v>109</v>
          </cell>
          <cell r="AD95">
            <v>37</v>
          </cell>
          <cell r="AE95">
            <v>13</v>
          </cell>
          <cell r="AF95">
            <v>68</v>
          </cell>
          <cell r="AG95">
            <v>179</v>
          </cell>
          <cell r="AH95" t="str">
            <v>MCV-81.1</v>
          </cell>
          <cell r="AJ95" t="str">
            <v>A/c infarct b/l frontal lobes and anterior part of body of corpus callosum on rt ACA territory</v>
          </cell>
          <cell r="AK95" t="str">
            <v>non occluding non calcified atherosclerotic changes B/L CCA, B/L carotid bulbs, cavernous segments of B/L ICA. lt vertebral artery 40% luminal narrowing</v>
          </cell>
          <cell r="AM95">
            <v>9</v>
          </cell>
          <cell r="AN95">
            <v>1</v>
          </cell>
          <cell r="AO95">
            <v>3</v>
          </cell>
          <cell r="AP95">
            <v>3</v>
          </cell>
          <cell r="AQ95">
            <v>5</v>
          </cell>
          <cell r="AS95">
            <v>1</v>
          </cell>
          <cell r="AT95">
            <v>1</v>
          </cell>
          <cell r="AU95">
            <v>2</v>
          </cell>
        </row>
        <row r="96">
          <cell r="A96" t="str">
            <v>Rajendra Awale</v>
          </cell>
          <cell r="C96">
            <v>170303850</v>
          </cell>
          <cell r="D96">
            <v>59</v>
          </cell>
          <cell r="E96">
            <v>1</v>
          </cell>
          <cell r="H96">
            <v>45031</v>
          </cell>
          <cell r="I96">
            <v>45033</v>
          </cell>
          <cell r="J96">
            <v>9850842260</v>
          </cell>
          <cell r="L96">
            <v>3</v>
          </cell>
          <cell r="M96">
            <v>2</v>
          </cell>
          <cell r="N96">
            <v>1</v>
          </cell>
          <cell r="O96">
            <v>2</v>
          </cell>
          <cell r="P96">
            <v>2</v>
          </cell>
          <cell r="Q96">
            <v>2</v>
          </cell>
          <cell r="R96">
            <v>2</v>
          </cell>
          <cell r="S96">
            <v>2</v>
          </cell>
          <cell r="T96">
            <v>2</v>
          </cell>
          <cell r="U96">
            <v>2</v>
          </cell>
          <cell r="W96">
            <v>15.4</v>
          </cell>
          <cell r="X96">
            <v>45</v>
          </cell>
          <cell r="Z96">
            <v>9.7799999999999994</v>
          </cell>
          <cell r="AA96">
            <v>9.1999999999999993</v>
          </cell>
          <cell r="AB96">
            <v>158</v>
          </cell>
          <cell r="AC96">
            <v>65.400000000000006</v>
          </cell>
          <cell r="AD96">
            <v>23</v>
          </cell>
          <cell r="AE96">
            <v>69.599999999999994</v>
          </cell>
          <cell r="AF96">
            <v>348</v>
          </cell>
          <cell r="AG96">
            <v>177</v>
          </cell>
          <cell r="AH96" t="str">
            <v>MCV-90.0</v>
          </cell>
          <cell r="AJ96" t="str">
            <v>Lt periventriculsr and lt lentiform nucleus</v>
          </cell>
          <cell r="AK96" t="str">
            <v>mild irregular m1 segment lt mca short segment narrowing of superior devision of m2 lt mca</v>
          </cell>
          <cell r="AS96">
            <v>1</v>
          </cell>
          <cell r="AT96">
            <v>1</v>
          </cell>
          <cell r="AU96">
            <v>2</v>
          </cell>
        </row>
        <row r="97">
          <cell r="A97" t="str">
            <v>Jamuna Pawar</v>
          </cell>
          <cell r="C97">
            <v>230403674</v>
          </cell>
          <cell r="D97">
            <v>92</v>
          </cell>
          <cell r="E97">
            <v>2</v>
          </cell>
          <cell r="F97">
            <v>45040</v>
          </cell>
          <cell r="G97">
            <v>0.91666666666666663</v>
          </cell>
          <cell r="H97">
            <v>45040</v>
          </cell>
          <cell r="I97">
            <v>45042</v>
          </cell>
          <cell r="J97">
            <v>9922520979</v>
          </cell>
          <cell r="L97">
            <v>24</v>
          </cell>
          <cell r="M97">
            <v>1</v>
          </cell>
          <cell r="N97">
            <v>2</v>
          </cell>
          <cell r="O97">
            <v>2</v>
          </cell>
          <cell r="P97">
            <v>2</v>
          </cell>
          <cell r="Q97">
            <v>1</v>
          </cell>
          <cell r="R97">
            <v>2</v>
          </cell>
          <cell r="S97">
            <v>2</v>
          </cell>
          <cell r="T97">
            <v>2</v>
          </cell>
          <cell r="U97">
            <v>2</v>
          </cell>
          <cell r="W97">
            <v>11.8</v>
          </cell>
          <cell r="X97">
            <v>35.4</v>
          </cell>
          <cell r="Z97">
            <v>15.25</v>
          </cell>
          <cell r="AG97">
            <v>148</v>
          </cell>
          <cell r="AJ97" t="str">
            <v xml:space="preserve">Lt posterior limb internal capsule infarct and lt caudate nucleus infarct </v>
          </cell>
          <cell r="AS97">
            <v>1</v>
          </cell>
          <cell r="AT97">
            <v>1</v>
          </cell>
          <cell r="AU97">
            <v>2</v>
          </cell>
        </row>
        <row r="98">
          <cell r="A98" t="str">
            <v>Vikas Kamble</v>
          </cell>
          <cell r="C98">
            <v>230401055</v>
          </cell>
          <cell r="D98">
            <v>42</v>
          </cell>
          <cell r="E98">
            <v>1</v>
          </cell>
          <cell r="F98">
            <v>45020</v>
          </cell>
          <cell r="H98">
            <v>45022</v>
          </cell>
          <cell r="I98">
            <v>45027</v>
          </cell>
          <cell r="J98">
            <v>9763374227</v>
          </cell>
          <cell r="L98">
            <v>1</v>
          </cell>
          <cell r="M98">
            <v>2</v>
          </cell>
          <cell r="N98">
            <v>1</v>
          </cell>
          <cell r="O98">
            <v>1</v>
          </cell>
          <cell r="P98">
            <v>1</v>
          </cell>
          <cell r="Q98">
            <v>2</v>
          </cell>
          <cell r="R98">
            <v>2</v>
          </cell>
          <cell r="S98">
            <v>2</v>
          </cell>
          <cell r="T98">
            <v>2</v>
          </cell>
          <cell r="U98">
            <v>2</v>
          </cell>
          <cell r="V98" t="str">
            <v>Hyperhomocyestenemia, Father had Stroke</v>
          </cell>
          <cell r="W98">
            <v>14.2</v>
          </cell>
          <cell r="X98">
            <v>40.700000000000003</v>
          </cell>
          <cell r="Z98">
            <v>31</v>
          </cell>
          <cell r="AA98">
            <v>8.4</v>
          </cell>
          <cell r="AB98">
            <v>159</v>
          </cell>
          <cell r="AC98">
            <v>110</v>
          </cell>
          <cell r="AD98">
            <v>24</v>
          </cell>
          <cell r="AE98">
            <v>24.4</v>
          </cell>
          <cell r="AF98">
            <v>122</v>
          </cell>
          <cell r="AG98">
            <v>148</v>
          </cell>
          <cell r="AJ98" t="str">
            <v xml:space="preserve">NHI Lt mca pca watershed territory </v>
          </cell>
          <cell r="AK98" t="str">
            <v>Line or hypodense filing defect in origin of lt ICA thin hyper internse crescent seen along wall of proximal lt ica s/o intramural hematoma possible dissection</v>
          </cell>
          <cell r="AS98">
            <v>1</v>
          </cell>
          <cell r="AT98">
            <v>1</v>
          </cell>
          <cell r="AU98">
            <v>2</v>
          </cell>
        </row>
        <row r="99">
          <cell r="A99" t="str">
            <v>Sitabai salunke</v>
          </cell>
          <cell r="C99">
            <v>230503001</v>
          </cell>
          <cell r="D99">
            <v>77</v>
          </cell>
          <cell r="E99">
            <v>2</v>
          </cell>
          <cell r="H99">
            <v>45068</v>
          </cell>
          <cell r="I99">
            <v>45070</v>
          </cell>
          <cell r="J99">
            <v>7722077659</v>
          </cell>
          <cell r="L99">
            <v>6</v>
          </cell>
          <cell r="M99">
            <v>2</v>
          </cell>
          <cell r="N99">
            <v>2</v>
          </cell>
          <cell r="O99">
            <v>2</v>
          </cell>
          <cell r="P99">
            <v>2</v>
          </cell>
          <cell r="Q99">
            <v>2</v>
          </cell>
          <cell r="R99">
            <v>2</v>
          </cell>
          <cell r="S99">
            <v>2</v>
          </cell>
          <cell r="T99">
            <v>2</v>
          </cell>
          <cell r="U99">
            <v>2</v>
          </cell>
          <cell r="W99">
            <v>11.7</v>
          </cell>
          <cell r="X99">
            <v>35.299999999999997</v>
          </cell>
          <cell r="Z99">
            <v>12.81</v>
          </cell>
          <cell r="AA99">
            <v>5.2</v>
          </cell>
          <cell r="AB99">
            <v>239</v>
          </cell>
          <cell r="AC99">
            <v>168</v>
          </cell>
          <cell r="AD99">
            <v>57</v>
          </cell>
          <cell r="AE99">
            <v>14</v>
          </cell>
          <cell r="AF99">
            <v>70</v>
          </cell>
          <cell r="AG99">
            <v>449</v>
          </cell>
          <cell r="AJ99" t="str">
            <v>Acute NHI in Lt MCA territory infarct PCas both mild narrowing</v>
          </cell>
          <cell r="AS99">
            <v>1</v>
          </cell>
          <cell r="AT99">
            <v>1</v>
          </cell>
          <cell r="AU99">
            <v>2</v>
          </cell>
        </row>
        <row r="100">
          <cell r="A100" t="str">
            <v>sangita Narayankar</v>
          </cell>
          <cell r="C100">
            <v>230305197</v>
          </cell>
          <cell r="D100">
            <v>30</v>
          </cell>
          <cell r="E100">
            <v>2</v>
          </cell>
          <cell r="H100">
            <v>45023</v>
          </cell>
          <cell r="J100">
            <v>9356207400</v>
          </cell>
          <cell r="L100">
            <v>4</v>
          </cell>
          <cell r="M100">
            <v>2</v>
          </cell>
          <cell r="N100">
            <v>2</v>
          </cell>
          <cell r="O100">
            <v>2</v>
          </cell>
          <cell r="P100">
            <v>2</v>
          </cell>
          <cell r="Q100">
            <v>2</v>
          </cell>
          <cell r="R100">
            <v>2</v>
          </cell>
          <cell r="S100">
            <v>2</v>
          </cell>
          <cell r="T100">
            <v>2</v>
          </cell>
          <cell r="U100">
            <v>2</v>
          </cell>
          <cell r="V100" t="str">
            <v>Father had stroke</v>
          </cell>
          <cell r="W100">
            <v>9.1999999999999993</v>
          </cell>
          <cell r="X100">
            <v>30.1</v>
          </cell>
          <cell r="Z100">
            <v>20.59</v>
          </cell>
          <cell r="AA100">
            <v>5.4</v>
          </cell>
          <cell r="AB100">
            <v>142</v>
          </cell>
          <cell r="AC100">
            <v>93.8</v>
          </cell>
          <cell r="AD100">
            <v>3.4</v>
          </cell>
          <cell r="AE100">
            <v>18.2</v>
          </cell>
          <cell r="AF100">
            <v>71</v>
          </cell>
          <cell r="AG100">
            <v>168</v>
          </cell>
          <cell r="AH100" t="str">
            <v>MCV-87.1</v>
          </cell>
          <cell r="AJ100" t="str">
            <v xml:space="preserve">Lt MCA-PCA watershed infarct </v>
          </cell>
          <cell r="AM100">
            <v>10</v>
          </cell>
          <cell r="AN100">
            <v>1</v>
          </cell>
          <cell r="AO100">
            <v>3</v>
          </cell>
          <cell r="AP100">
            <v>3</v>
          </cell>
          <cell r="AQ100">
            <v>5</v>
          </cell>
          <cell r="AS100">
            <v>1</v>
          </cell>
          <cell r="AT100">
            <v>1</v>
          </cell>
          <cell r="AU100">
            <v>2</v>
          </cell>
        </row>
        <row r="101">
          <cell r="A101" t="str">
            <v>Chandrakant Bhalerao</v>
          </cell>
          <cell r="C101">
            <v>230500449</v>
          </cell>
          <cell r="D101">
            <v>53</v>
          </cell>
          <cell r="E101">
            <v>1</v>
          </cell>
          <cell r="H101">
            <v>45049</v>
          </cell>
          <cell r="I101">
            <v>45059</v>
          </cell>
          <cell r="J101">
            <v>7350803749</v>
          </cell>
          <cell r="L101">
            <v>8</v>
          </cell>
          <cell r="M101">
            <v>2</v>
          </cell>
          <cell r="N101">
            <v>2</v>
          </cell>
          <cell r="O101">
            <v>1</v>
          </cell>
          <cell r="P101">
            <v>2</v>
          </cell>
          <cell r="Q101">
            <v>1</v>
          </cell>
          <cell r="R101">
            <v>2</v>
          </cell>
          <cell r="S101">
            <v>2</v>
          </cell>
          <cell r="T101">
            <v>2</v>
          </cell>
          <cell r="U101">
            <v>2</v>
          </cell>
          <cell r="W101">
            <v>15.1</v>
          </cell>
          <cell r="X101">
            <v>45.7</v>
          </cell>
          <cell r="Z101">
            <v>49.29</v>
          </cell>
          <cell r="AA101">
            <v>10.1</v>
          </cell>
          <cell r="AB101">
            <v>157</v>
          </cell>
          <cell r="AC101">
            <v>113.6</v>
          </cell>
          <cell r="AD101">
            <v>34</v>
          </cell>
          <cell r="AE101">
            <v>9.4</v>
          </cell>
          <cell r="AF101">
            <v>34</v>
          </cell>
          <cell r="AG101">
            <v>148</v>
          </cell>
          <cell r="AJ101" t="str">
            <v>Large acute infarct i lt MCa territory with small area of hemorrhagic transformation. Complete occlusion with smooth tapering of the lt ICA approx 2.8cm from its origin with reformation of supraclinoid segment. abrupt cut off of distal M1 segment of lt MCA approx. 1.5cm from its origin with poor opacificataionof disal segment. there is paucity of the cortical branches of the lef mca</v>
          </cell>
          <cell r="AS101">
            <v>1</v>
          </cell>
          <cell r="AT101">
            <v>1</v>
          </cell>
          <cell r="AU101">
            <v>1</v>
          </cell>
          <cell r="AV101">
            <v>2</v>
          </cell>
          <cell r="AZ101">
            <v>1</v>
          </cell>
          <cell r="BA101">
            <v>90</v>
          </cell>
        </row>
        <row r="102">
          <cell r="A102" t="str">
            <v>Mukund Govind Yeole</v>
          </cell>
          <cell r="C102">
            <v>210410982</v>
          </cell>
          <cell r="D102">
            <v>73</v>
          </cell>
          <cell r="E102">
            <v>1</v>
          </cell>
          <cell r="F102">
            <v>45006</v>
          </cell>
          <cell r="H102">
            <v>45008</v>
          </cell>
          <cell r="I102">
            <v>45012</v>
          </cell>
          <cell r="J102">
            <v>8805455466</v>
          </cell>
          <cell r="M102">
            <v>1</v>
          </cell>
          <cell r="N102">
            <v>2</v>
          </cell>
          <cell r="O102">
            <v>2</v>
          </cell>
          <cell r="P102">
            <v>2</v>
          </cell>
          <cell r="Q102">
            <v>2</v>
          </cell>
          <cell r="R102">
            <v>2</v>
          </cell>
          <cell r="S102">
            <v>2</v>
          </cell>
          <cell r="T102">
            <v>2</v>
          </cell>
          <cell r="U102">
            <v>2</v>
          </cell>
          <cell r="W102">
            <v>13.7</v>
          </cell>
          <cell r="X102">
            <v>42</v>
          </cell>
          <cell r="Z102">
            <v>23</v>
          </cell>
          <cell r="AA102">
            <v>6.4</v>
          </cell>
          <cell r="AB102">
            <v>199</v>
          </cell>
          <cell r="AC102">
            <v>146</v>
          </cell>
          <cell r="AD102">
            <v>37</v>
          </cell>
          <cell r="AE102">
            <v>15.2</v>
          </cell>
          <cell r="AF102">
            <v>76</v>
          </cell>
          <cell r="AG102">
            <v>121</v>
          </cell>
          <cell r="AH102" t="str">
            <v>MCV- 100.7</v>
          </cell>
          <cell r="AJ102" t="str">
            <v>Lt MCA PCA watershed infarct</v>
          </cell>
          <cell r="AK102" t="str">
            <v xml:space="preserve">Lt CCa, ICa stenosis, Calcified atherosclerotic plaque origin of rt innumerate and lt CCA and C5 segment of both ICA. Subtle paucity of insular branches of of the left MCA. </v>
          </cell>
          <cell r="AS102">
            <v>1</v>
          </cell>
          <cell r="AT102">
            <v>1</v>
          </cell>
          <cell r="AU102">
            <v>2</v>
          </cell>
        </row>
        <row r="103">
          <cell r="A103" t="str">
            <v>Govind Kapse</v>
          </cell>
          <cell r="C103">
            <v>171000107</v>
          </cell>
          <cell r="D103">
            <v>56</v>
          </cell>
          <cell r="E103">
            <v>1</v>
          </cell>
          <cell r="F103">
            <v>44989</v>
          </cell>
          <cell r="H103">
            <v>44989</v>
          </cell>
          <cell r="I103">
            <v>44993</v>
          </cell>
          <cell r="J103">
            <v>9011496111</v>
          </cell>
          <cell r="L103">
            <v>13</v>
          </cell>
          <cell r="M103">
            <v>1</v>
          </cell>
          <cell r="N103">
            <v>1</v>
          </cell>
          <cell r="O103">
            <v>1</v>
          </cell>
          <cell r="P103">
            <v>2</v>
          </cell>
          <cell r="Q103">
            <v>1</v>
          </cell>
          <cell r="R103">
            <v>2</v>
          </cell>
          <cell r="S103">
            <v>2</v>
          </cell>
          <cell r="T103">
            <v>2</v>
          </cell>
          <cell r="U103">
            <v>2</v>
          </cell>
          <cell r="W103">
            <v>16.399999999999999</v>
          </cell>
          <cell r="X103">
            <v>48.7</v>
          </cell>
          <cell r="Z103">
            <v>23.15</v>
          </cell>
          <cell r="AA103">
            <v>7.9</v>
          </cell>
          <cell r="AG103">
            <v>182</v>
          </cell>
          <cell r="AH103" t="str">
            <v>MCV-101.9</v>
          </cell>
          <cell r="AJ103" t="str">
            <v>Small area of restricted diffusion in postero-superior part of right thalamus and posterior genu of the internal capsule suggestive of right thalamo-capsular infarct.</v>
          </cell>
          <cell r="AK103" t="str">
            <v>A hypodense area in the right peri-ventricular region and posterior limb of right internal capsule consistent with infarct. No hemorrhagic changes are seen.</v>
          </cell>
          <cell r="AS103">
            <v>1</v>
          </cell>
          <cell r="AT103">
            <v>1</v>
          </cell>
          <cell r="AU103">
            <v>1</v>
          </cell>
          <cell r="AV103">
            <v>1</v>
          </cell>
          <cell r="AZ103">
            <v>1</v>
          </cell>
          <cell r="BA103">
            <v>85</v>
          </cell>
        </row>
        <row r="104">
          <cell r="A104" t="str">
            <v>Manik Namdar</v>
          </cell>
          <cell r="C104">
            <v>230205341</v>
          </cell>
          <cell r="D104">
            <v>58</v>
          </cell>
          <cell r="E104">
            <v>1</v>
          </cell>
          <cell r="F104">
            <v>44980</v>
          </cell>
          <cell r="H104">
            <v>44984</v>
          </cell>
          <cell r="I104">
            <v>44988</v>
          </cell>
          <cell r="J104">
            <v>9673959376</v>
          </cell>
          <cell r="L104">
            <v>7</v>
          </cell>
          <cell r="M104">
            <v>2</v>
          </cell>
          <cell r="N104">
            <v>2</v>
          </cell>
          <cell r="O104">
            <v>1</v>
          </cell>
          <cell r="P104">
            <v>2</v>
          </cell>
          <cell r="Q104">
            <v>2</v>
          </cell>
          <cell r="R104">
            <v>2</v>
          </cell>
          <cell r="S104">
            <v>2</v>
          </cell>
          <cell r="T104">
            <v>2</v>
          </cell>
          <cell r="U104">
            <v>2</v>
          </cell>
          <cell r="W104">
            <v>15.4</v>
          </cell>
          <cell r="X104">
            <v>45.8</v>
          </cell>
          <cell r="Z104">
            <v>15.67</v>
          </cell>
          <cell r="AA104">
            <v>5.6</v>
          </cell>
          <cell r="AG104">
            <v>2000</v>
          </cell>
          <cell r="AH104" t="str">
            <v>MCV-99.8</v>
          </cell>
          <cell r="AJ104" t="str">
            <v xml:space="preserve">Acute non hemorrhagic infarct in right fronto-parieto-temporo-occipital lobes. </v>
          </cell>
          <cell r="AK104" t="str">
            <v xml:space="preserve">Calcified atherosclerotic changes in supraclinoid segments of bilateral ICA with mild focal narrowing on right. There is good distal run off. </v>
          </cell>
          <cell r="AS104">
            <v>1</v>
          </cell>
          <cell r="AT104">
            <v>1</v>
          </cell>
          <cell r="AU104">
            <v>2</v>
          </cell>
          <cell r="AZ104">
            <v>4</v>
          </cell>
          <cell r="BA104">
            <v>65</v>
          </cell>
        </row>
        <row r="105">
          <cell r="A105" t="str">
            <v>Shankar Sondkar</v>
          </cell>
          <cell r="C105">
            <v>230500806</v>
          </cell>
          <cell r="D105">
            <v>67</v>
          </cell>
          <cell r="E105">
            <v>1</v>
          </cell>
          <cell r="F105">
            <v>45044</v>
          </cell>
          <cell r="H105">
            <v>45051</v>
          </cell>
          <cell r="I105">
            <v>45052</v>
          </cell>
          <cell r="J105">
            <v>9765047875</v>
          </cell>
          <cell r="L105">
            <v>7</v>
          </cell>
          <cell r="M105">
            <v>1</v>
          </cell>
          <cell r="N105">
            <v>1</v>
          </cell>
          <cell r="O105">
            <v>2</v>
          </cell>
          <cell r="P105">
            <v>2</v>
          </cell>
          <cell r="Q105">
            <v>1</v>
          </cell>
          <cell r="R105">
            <v>2</v>
          </cell>
          <cell r="S105">
            <v>2</v>
          </cell>
          <cell r="T105">
            <v>2</v>
          </cell>
          <cell r="U105">
            <v>2</v>
          </cell>
          <cell r="V105" t="str">
            <v>H/O stroke</v>
          </cell>
          <cell r="W105">
            <v>12.9</v>
          </cell>
          <cell r="X105">
            <v>40.1</v>
          </cell>
          <cell r="Z105">
            <v>4.7699999999999996</v>
          </cell>
          <cell r="AA105">
            <v>10.4</v>
          </cell>
          <cell r="AB105">
            <v>202</v>
          </cell>
          <cell r="AC105">
            <v>111</v>
          </cell>
          <cell r="AD105">
            <v>32</v>
          </cell>
          <cell r="AE105">
            <v>58.8</v>
          </cell>
          <cell r="AF105">
            <v>294</v>
          </cell>
          <cell r="AG105">
            <v>770</v>
          </cell>
          <cell r="AH105" t="str">
            <v>MCV-78.3</v>
          </cell>
          <cell r="AJ105" t="str">
            <v>Acute non hemorrhagic infarct in right parieto-temporal region. Chronic lacunar infarct in right centrum semiovale.</v>
          </cell>
          <cell r="AK105" t="str">
            <v>Known acute non hemorrhagic infarct in right parieto-temporal region. No obvious hemorrhagic transformation is noted.Eccentric hypodense plaque at right carotid bulb without any significant luminal compromise.The Brain Angiography study is otherwise unremarkable.</v>
          </cell>
          <cell r="AZ105">
            <v>1</v>
          </cell>
          <cell r="BA105">
            <v>100</v>
          </cell>
        </row>
        <row r="106">
          <cell r="A106" t="str">
            <v>Shanta Vishal Sose</v>
          </cell>
          <cell r="C106">
            <v>180201236</v>
          </cell>
          <cell r="D106">
            <v>64</v>
          </cell>
          <cell r="E106">
            <v>2</v>
          </cell>
          <cell r="F106">
            <v>44932</v>
          </cell>
          <cell r="G106">
            <v>0.45833333333333331</v>
          </cell>
          <cell r="H106">
            <v>44934</v>
          </cell>
          <cell r="I106">
            <v>44938</v>
          </cell>
          <cell r="J106">
            <v>8208450620</v>
          </cell>
          <cell r="L106">
            <v>7</v>
          </cell>
          <cell r="M106">
            <v>1</v>
          </cell>
          <cell r="N106">
            <v>1</v>
          </cell>
          <cell r="O106">
            <v>2</v>
          </cell>
          <cell r="P106">
            <v>2</v>
          </cell>
          <cell r="Q106">
            <v>2</v>
          </cell>
          <cell r="R106">
            <v>2</v>
          </cell>
          <cell r="S106">
            <v>2</v>
          </cell>
          <cell r="T106">
            <v>1</v>
          </cell>
          <cell r="U106">
            <v>2</v>
          </cell>
          <cell r="W106">
            <v>9.6999999999999993</v>
          </cell>
          <cell r="X106">
            <v>31.7</v>
          </cell>
          <cell r="Z106">
            <v>29.9</v>
          </cell>
          <cell r="AA106">
            <v>11.2</v>
          </cell>
          <cell r="AG106">
            <v>260</v>
          </cell>
          <cell r="AH106" t="str">
            <v>MCV-84.7</v>
          </cell>
          <cell r="AJ106" t="str">
            <v>Acute non hemorrhagic infarcts in left fronto-parieto-occipital regions, left centrum semiovale and left corona radiata. These are likely to be watershed embolic infarcts.</v>
          </cell>
          <cell r="AK106" t="str">
            <v>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v>
          </cell>
          <cell r="AZ106">
            <v>4</v>
          </cell>
          <cell r="BA106">
            <v>50</v>
          </cell>
        </row>
        <row r="107">
          <cell r="A107" t="str">
            <v>Anjali raje</v>
          </cell>
          <cell r="C107">
            <v>230404175</v>
          </cell>
          <cell r="D107">
            <v>63</v>
          </cell>
          <cell r="E107">
            <v>2</v>
          </cell>
          <cell r="F107">
            <v>45043</v>
          </cell>
          <cell r="G107">
            <v>0.16666666666666666</v>
          </cell>
          <cell r="H107">
            <v>45043</v>
          </cell>
          <cell r="I107">
            <v>45050</v>
          </cell>
          <cell r="M107">
            <v>1</v>
          </cell>
          <cell r="N107">
            <v>1</v>
          </cell>
          <cell r="O107">
            <v>2</v>
          </cell>
          <cell r="P107">
            <v>2</v>
          </cell>
          <cell r="Q107">
            <v>2</v>
          </cell>
          <cell r="R107">
            <v>2</v>
          </cell>
          <cell r="S107">
            <v>2</v>
          </cell>
          <cell r="T107">
            <v>2</v>
          </cell>
          <cell r="U107">
            <v>2</v>
          </cell>
          <cell r="W107">
            <v>11</v>
          </cell>
          <cell r="X107">
            <v>34</v>
          </cell>
          <cell r="Z107">
            <v>10.199999999999999</v>
          </cell>
          <cell r="AA107">
            <v>9.1999999999999993</v>
          </cell>
          <cell r="AB107">
            <v>184</v>
          </cell>
          <cell r="AC107">
            <v>103</v>
          </cell>
          <cell r="AD107">
            <v>34</v>
          </cell>
          <cell r="AE107">
            <v>46.8</v>
          </cell>
          <cell r="AF107">
            <v>234</v>
          </cell>
          <cell r="AG107">
            <v>148</v>
          </cell>
          <cell r="AH107" t="str">
            <v>MCV-78.0</v>
          </cell>
          <cell r="AJ107" t="str">
            <v xml:space="preserve">Acute non hemorrhagic infarcts in left occipital regions, left basal ganglia, left centrum semiovale and corona radiata. Hyperdense left MCA suggestive of thrombosis. </v>
          </cell>
          <cell r="AK107" t="str">
            <v>Left MCA thrombosis beyond proximal M1 segment.</v>
          </cell>
          <cell r="AS107">
            <v>1</v>
          </cell>
          <cell r="AT107">
            <v>1</v>
          </cell>
          <cell r="AU107">
            <v>1</v>
          </cell>
          <cell r="AV107">
            <v>1</v>
          </cell>
          <cell r="AX107">
            <v>1</v>
          </cell>
          <cell r="AZ107">
            <v>6</v>
          </cell>
          <cell r="BA107">
            <v>0</v>
          </cell>
        </row>
        <row r="108">
          <cell r="A108" t="str">
            <v>Rajendra Pawar</v>
          </cell>
          <cell r="C108">
            <v>230205732</v>
          </cell>
          <cell r="D108">
            <v>70</v>
          </cell>
          <cell r="E108">
            <v>1</v>
          </cell>
          <cell r="H108">
            <v>44983</v>
          </cell>
          <cell r="I108">
            <v>44999</v>
          </cell>
          <cell r="J108">
            <v>8007525266</v>
          </cell>
          <cell r="M108">
            <v>1</v>
          </cell>
          <cell r="N108">
            <v>1</v>
          </cell>
          <cell r="O108">
            <v>2</v>
          </cell>
          <cell r="P108">
            <v>2</v>
          </cell>
          <cell r="Q108">
            <v>2</v>
          </cell>
          <cell r="R108">
            <v>2</v>
          </cell>
          <cell r="S108">
            <v>2</v>
          </cell>
          <cell r="T108">
            <v>2</v>
          </cell>
          <cell r="U108">
            <v>2</v>
          </cell>
          <cell r="V108" t="str">
            <v>Rt vertibular schwannoma, Seizure disorder</v>
          </cell>
          <cell r="W108">
            <v>14.2</v>
          </cell>
          <cell r="Z108">
            <v>21</v>
          </cell>
          <cell r="AG108">
            <v>2000</v>
          </cell>
          <cell r="AJ108" t="str">
            <v xml:space="preserve">A/c infarct lt fronto parietal cortex and white matter </v>
          </cell>
          <cell r="AK108" t="str">
            <v>atherosclerotic calcifications petrocavernous segments of both ICA. 70-80% luminal compromise of Rt carotid bulb approx 85-95% luminal compromise lt carotid bulb and origin of lt ICa</v>
          </cell>
          <cell r="AS108">
            <v>1</v>
          </cell>
          <cell r="AT108">
            <v>1</v>
          </cell>
          <cell r="AU108">
            <v>2</v>
          </cell>
        </row>
        <row r="109">
          <cell r="A109" t="str">
            <v>Vandana Bahirat</v>
          </cell>
          <cell r="C109">
            <v>141002331</v>
          </cell>
          <cell r="D109">
            <v>43</v>
          </cell>
          <cell r="E109">
            <v>2</v>
          </cell>
          <cell r="F109">
            <v>45003</v>
          </cell>
          <cell r="G109">
            <v>0.29166666666666669</v>
          </cell>
          <cell r="H109">
            <v>45003</v>
          </cell>
          <cell r="I109">
            <v>45006</v>
          </cell>
          <cell r="J109">
            <v>8999976013</v>
          </cell>
          <cell r="M109">
            <v>2</v>
          </cell>
          <cell r="N109">
            <v>2</v>
          </cell>
          <cell r="O109">
            <v>2</v>
          </cell>
          <cell r="P109">
            <v>2</v>
          </cell>
          <cell r="Q109">
            <v>2</v>
          </cell>
          <cell r="R109">
            <v>2</v>
          </cell>
          <cell r="S109">
            <v>2</v>
          </cell>
          <cell r="T109">
            <v>2</v>
          </cell>
          <cell r="U109">
            <v>2</v>
          </cell>
          <cell r="V109" t="str">
            <v>TIA 2 yrs back, Anemia</v>
          </cell>
          <cell r="W109">
            <v>7.7</v>
          </cell>
          <cell r="X109">
            <v>26.2</v>
          </cell>
          <cell r="Z109">
            <v>8.82</v>
          </cell>
          <cell r="AA109">
            <v>5.0999999999999996</v>
          </cell>
          <cell r="AG109">
            <v>183</v>
          </cell>
          <cell r="AH109" t="str">
            <v>MCV-62.7</v>
          </cell>
          <cell r="AJ109" t="str">
            <v xml:space="preserve">Acute non hemorrhagic infarct in right frontal lobe. </v>
          </cell>
          <cell r="AK109" t="str">
            <v>Small hypodense area in right pre-central region consistent with infarct. No hemorrhage is seen.CT brain angiography study reveals no significant abnormality.</v>
          </cell>
          <cell r="AS109">
            <v>1</v>
          </cell>
          <cell r="AT109">
            <v>1</v>
          </cell>
          <cell r="AU109">
            <v>2</v>
          </cell>
          <cell r="AZ109">
            <v>1</v>
          </cell>
          <cell r="BA109">
            <v>100</v>
          </cell>
        </row>
        <row r="110">
          <cell r="A110" t="str">
            <v>Pravin Ingale</v>
          </cell>
          <cell r="C110">
            <v>131205306</v>
          </cell>
          <cell r="D110">
            <v>55</v>
          </cell>
          <cell r="E110">
            <v>1</v>
          </cell>
          <cell r="F110">
            <v>45091</v>
          </cell>
          <cell r="G110">
            <v>0.70833333333333337</v>
          </cell>
          <cell r="H110">
            <v>45092</v>
          </cell>
          <cell r="I110">
            <v>45097</v>
          </cell>
          <cell r="J110">
            <v>7506213289</v>
          </cell>
          <cell r="L110">
            <v>8</v>
          </cell>
          <cell r="M110">
            <v>1</v>
          </cell>
          <cell r="N110">
            <v>2</v>
          </cell>
          <cell r="O110">
            <v>1</v>
          </cell>
          <cell r="P110">
            <v>2</v>
          </cell>
          <cell r="Q110">
            <v>2</v>
          </cell>
          <cell r="R110">
            <v>2</v>
          </cell>
          <cell r="S110">
            <v>2</v>
          </cell>
          <cell r="T110">
            <v>1</v>
          </cell>
          <cell r="U110">
            <v>2</v>
          </cell>
          <cell r="V110" t="str">
            <v>H/O of old stroke in 2020</v>
          </cell>
          <cell r="W110">
            <v>15.2</v>
          </cell>
          <cell r="X110">
            <v>46.1</v>
          </cell>
          <cell r="Z110">
            <v>24.49</v>
          </cell>
          <cell r="AB110">
            <v>125</v>
          </cell>
          <cell r="AC110">
            <v>89</v>
          </cell>
          <cell r="AD110">
            <v>45</v>
          </cell>
          <cell r="AE110">
            <v>10.8</v>
          </cell>
          <cell r="AF110">
            <v>54</v>
          </cell>
          <cell r="AG110">
            <v>2000</v>
          </cell>
          <cell r="AH110" t="str">
            <v>MCV- 72.3</v>
          </cell>
          <cell r="AJ110" t="str">
            <v>Lt Motor cortex fronto temporal infarct</v>
          </cell>
          <cell r="AK110" t="str">
            <v>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v>
          </cell>
          <cell r="AS110">
            <v>1</v>
          </cell>
          <cell r="AT110">
            <v>2</v>
          </cell>
          <cell r="AU110">
            <v>2</v>
          </cell>
          <cell r="AZ110">
            <v>0</v>
          </cell>
          <cell r="BA110">
            <v>100</v>
          </cell>
        </row>
        <row r="111">
          <cell r="A111" t="str">
            <v>Madhavi Kiradat</v>
          </cell>
          <cell r="C111">
            <v>230603763</v>
          </cell>
          <cell r="D111">
            <v>44</v>
          </cell>
          <cell r="E111">
            <v>2</v>
          </cell>
          <cell r="F111">
            <v>45074</v>
          </cell>
          <cell r="G111">
            <v>0.72916666666666663</v>
          </cell>
          <cell r="H111">
            <v>45090</v>
          </cell>
          <cell r="I111">
            <v>45093</v>
          </cell>
          <cell r="J111">
            <v>9372311404</v>
          </cell>
          <cell r="L111">
            <v>3</v>
          </cell>
          <cell r="M111">
            <v>2</v>
          </cell>
          <cell r="N111">
            <v>1</v>
          </cell>
          <cell r="O111">
            <v>2</v>
          </cell>
          <cell r="P111">
            <v>2</v>
          </cell>
          <cell r="Q111">
            <v>2</v>
          </cell>
          <cell r="R111">
            <v>2</v>
          </cell>
          <cell r="S111">
            <v>2</v>
          </cell>
          <cell r="T111">
            <v>2</v>
          </cell>
          <cell r="U111">
            <v>2</v>
          </cell>
          <cell r="V111" t="str">
            <v>H/O cva to brother, Recurrent stroke</v>
          </cell>
          <cell r="W111">
            <v>13.1</v>
          </cell>
          <cell r="X111">
            <v>38.799999999999997</v>
          </cell>
          <cell r="Z111">
            <v>16.5</v>
          </cell>
          <cell r="AA111">
            <v>13.9</v>
          </cell>
          <cell r="AB111">
            <v>166</v>
          </cell>
          <cell r="AC111">
            <v>101</v>
          </cell>
          <cell r="AD111">
            <v>25</v>
          </cell>
          <cell r="AE111">
            <v>39</v>
          </cell>
          <cell r="AF111">
            <v>198</v>
          </cell>
          <cell r="AG111">
            <v>206</v>
          </cell>
          <cell r="AH111" t="str">
            <v>MCv- 79.4</v>
          </cell>
          <cell r="AJ111" t="str">
            <v>Acute non-hemorrhagic infarcts in the right parietal lobe and right centrum semi ovale.</v>
          </cell>
          <cell r="AK111" t="str">
            <v xml:space="preserve">Stenosis in the supra-clinoid segment of right ICA. Diffuse narrowing of right M1 and M2 portions of right MCA. Good collaterals are noted. Right A1 is hypoplastic. </v>
          </cell>
          <cell r="AR111" t="str">
            <v>Narrowing in supra-clinoid segment of right ICA. Narrowing of M1 and M2 segments of right MCA.A1 segment of right ACA not visualised ? hypoplastic.Focal narrowing of right intracranial vertebral artery.</v>
          </cell>
          <cell r="AS111">
            <v>1</v>
          </cell>
          <cell r="AT111">
            <v>1</v>
          </cell>
          <cell r="AU111">
            <v>2</v>
          </cell>
          <cell r="AW111">
            <v>1</v>
          </cell>
          <cell r="AZ111">
            <v>1</v>
          </cell>
          <cell r="BA111">
            <v>100</v>
          </cell>
        </row>
        <row r="112">
          <cell r="A112" t="str">
            <v>Sheetal Wakankar</v>
          </cell>
          <cell r="C112">
            <v>230602030</v>
          </cell>
          <cell r="D112">
            <v>44</v>
          </cell>
          <cell r="E112">
            <v>2</v>
          </cell>
          <cell r="H112">
            <v>45085</v>
          </cell>
          <cell r="I112">
            <v>45090</v>
          </cell>
          <cell r="J112">
            <v>9822050659</v>
          </cell>
          <cell r="L112">
            <v>1</v>
          </cell>
          <cell r="M112">
            <v>1</v>
          </cell>
          <cell r="N112">
            <v>1</v>
          </cell>
          <cell r="O112">
            <v>2</v>
          </cell>
          <cell r="P112">
            <v>2</v>
          </cell>
          <cell r="Q112">
            <v>2</v>
          </cell>
          <cell r="R112">
            <v>2</v>
          </cell>
          <cell r="S112">
            <v>2</v>
          </cell>
          <cell r="T112">
            <v>2</v>
          </cell>
          <cell r="U112">
            <v>2</v>
          </cell>
          <cell r="V112" t="str">
            <v>NIHSS- 1-10 (capsular warning sign)</v>
          </cell>
          <cell r="W112">
            <v>12.5</v>
          </cell>
          <cell r="X112">
            <v>37.5</v>
          </cell>
          <cell r="Z112">
            <v>34.270000000000003</v>
          </cell>
          <cell r="AA112">
            <v>5.8</v>
          </cell>
          <cell r="AB112">
            <v>175</v>
          </cell>
          <cell r="AC112">
            <v>116.2</v>
          </cell>
          <cell r="AD112">
            <v>25</v>
          </cell>
          <cell r="AE112">
            <v>29.8</v>
          </cell>
          <cell r="AF112">
            <v>149</v>
          </cell>
          <cell r="AG112">
            <v>173</v>
          </cell>
          <cell r="AH112" t="str">
            <v>MCV-93.6</v>
          </cell>
          <cell r="AJ112" t="str">
            <v>Acute non hemorrhagic infarcts in left lateral thalamus and periventricular white matter</v>
          </cell>
          <cell r="AK112" t="str">
            <v>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v>
          </cell>
          <cell r="AS112">
            <v>1</v>
          </cell>
          <cell r="AT112">
            <v>1</v>
          </cell>
          <cell r="AU112">
            <v>2</v>
          </cell>
        </row>
        <row r="113">
          <cell r="A113" t="str">
            <v>Sadashiv Sanas</v>
          </cell>
          <cell r="C113">
            <v>150606327</v>
          </cell>
          <cell r="D113">
            <v>72</v>
          </cell>
          <cell r="E113">
            <v>1</v>
          </cell>
          <cell r="F113">
            <v>45003</v>
          </cell>
          <cell r="G113">
            <v>0.70833333333333337</v>
          </cell>
          <cell r="H113">
            <v>45003</v>
          </cell>
          <cell r="I113">
            <v>45005</v>
          </cell>
          <cell r="J113">
            <v>9545509971</v>
          </cell>
          <cell r="M113">
            <v>1</v>
          </cell>
          <cell r="N113">
            <v>1</v>
          </cell>
          <cell r="O113">
            <v>2</v>
          </cell>
          <cell r="P113">
            <v>2</v>
          </cell>
          <cell r="Q113">
            <v>2</v>
          </cell>
          <cell r="R113">
            <v>2</v>
          </cell>
          <cell r="S113">
            <v>2</v>
          </cell>
          <cell r="T113">
            <v>2</v>
          </cell>
          <cell r="U113">
            <v>2</v>
          </cell>
          <cell r="V113" t="str">
            <v>Old stroke</v>
          </cell>
          <cell r="W113">
            <v>14.6</v>
          </cell>
          <cell r="X113">
            <v>42</v>
          </cell>
          <cell r="Z113">
            <v>15.4</v>
          </cell>
          <cell r="AA113">
            <v>11.8</v>
          </cell>
          <cell r="AB113">
            <v>208</v>
          </cell>
          <cell r="AC113">
            <v>135</v>
          </cell>
          <cell r="AD113">
            <v>42</v>
          </cell>
          <cell r="AE113">
            <v>30</v>
          </cell>
          <cell r="AF113">
            <v>153</v>
          </cell>
          <cell r="AG113">
            <v>196</v>
          </cell>
          <cell r="AH113" t="str">
            <v>MCV-85.2</v>
          </cell>
          <cell r="AJ113" t="str">
            <v>Acute non-hemorrhagic cerebral infarcts in right high fronto-parietal region. Chronic lacunar infarct in left corona radiata.</v>
          </cell>
          <cell r="AK113" t="str">
            <v>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v>
          </cell>
          <cell r="AS113">
            <v>1</v>
          </cell>
          <cell r="AT113">
            <v>1</v>
          </cell>
          <cell r="AU113">
            <v>2</v>
          </cell>
        </row>
        <row r="114">
          <cell r="A114" t="str">
            <v>Aditya Pawar</v>
          </cell>
          <cell r="C114">
            <v>230201880</v>
          </cell>
          <cell r="D114">
            <v>20</v>
          </cell>
          <cell r="E114">
            <v>1</v>
          </cell>
          <cell r="F114">
            <v>44968</v>
          </cell>
          <cell r="H114">
            <v>44969</v>
          </cell>
          <cell r="I114">
            <v>44972</v>
          </cell>
          <cell r="J114">
            <v>7841076095</v>
          </cell>
          <cell r="K114">
            <v>8530815139</v>
          </cell>
          <cell r="V114" t="str">
            <v>Hyperhomocystenemia</v>
          </cell>
          <cell r="W114">
            <v>14.3</v>
          </cell>
          <cell r="Z114">
            <v>100.82</v>
          </cell>
          <cell r="AB114">
            <v>172</v>
          </cell>
          <cell r="AC114">
            <v>184</v>
          </cell>
          <cell r="AD114">
            <v>42</v>
          </cell>
          <cell r="AE114">
            <v>29</v>
          </cell>
          <cell r="AF114">
            <v>149</v>
          </cell>
          <cell r="AG114">
            <v>148</v>
          </cell>
          <cell r="AH114" t="str">
            <v>DSA- No stenosis/occlusion, Dural venous sinus Negative, Rt vertebral artery is hypoplastic and lft vertebral artery is dominant</v>
          </cell>
          <cell r="AJ114" t="str">
            <v>Acute NHI long insulat artery, Rt corona Radiata</v>
          </cell>
          <cell r="AS114">
            <v>1</v>
          </cell>
          <cell r="AU114">
            <v>2</v>
          </cell>
          <cell r="AZ114">
            <v>0</v>
          </cell>
          <cell r="BA114">
            <v>100</v>
          </cell>
        </row>
        <row r="115">
          <cell r="A115" t="str">
            <v>Madhuri Kulkarni</v>
          </cell>
          <cell r="C115">
            <v>160904101</v>
          </cell>
          <cell r="D115">
            <v>55</v>
          </cell>
          <cell r="E115">
            <v>1</v>
          </cell>
          <cell r="H115">
            <v>45111</v>
          </cell>
          <cell r="I115">
            <v>45115</v>
          </cell>
          <cell r="J115">
            <v>9595660842</v>
          </cell>
          <cell r="M115">
            <v>2</v>
          </cell>
          <cell r="N115">
            <v>2</v>
          </cell>
          <cell r="O115">
            <v>2</v>
          </cell>
          <cell r="P115">
            <v>2</v>
          </cell>
          <cell r="Q115">
            <v>2</v>
          </cell>
          <cell r="R115">
            <v>2</v>
          </cell>
          <cell r="S115">
            <v>2</v>
          </cell>
          <cell r="T115">
            <v>1</v>
          </cell>
          <cell r="U115">
            <v>2</v>
          </cell>
          <cell r="V115" t="str">
            <v>Gauty arthritis, Superior Vein thrombosis</v>
          </cell>
          <cell r="W115">
            <v>12.9</v>
          </cell>
          <cell r="X115">
            <v>39.1</v>
          </cell>
          <cell r="Y115">
            <v>88.4</v>
          </cell>
          <cell r="Z115">
            <v>11.33</v>
          </cell>
          <cell r="AB115">
            <v>201</v>
          </cell>
          <cell r="AC115">
            <v>116</v>
          </cell>
          <cell r="AD115">
            <v>61</v>
          </cell>
          <cell r="AE115">
            <v>24</v>
          </cell>
          <cell r="AF115">
            <v>120</v>
          </cell>
          <cell r="AG115">
            <v>1392</v>
          </cell>
          <cell r="AJ115" t="str">
            <v>Acute NHI in rt frontal parietal and temporal cortex and white matter. diffuse cerebral edema in the form of effacement of sulcal spaces and B/L lateral ventricles</v>
          </cell>
          <cell r="AS115">
            <v>1</v>
          </cell>
          <cell r="AT115">
            <v>1</v>
          </cell>
          <cell r="AU115">
            <v>2</v>
          </cell>
          <cell r="AZ115">
            <v>6</v>
          </cell>
          <cell r="BA115">
            <v>0</v>
          </cell>
        </row>
        <row r="116">
          <cell r="A116" t="str">
            <v>Madhavi Kiradat</v>
          </cell>
          <cell r="C116">
            <v>151007079</v>
          </cell>
          <cell r="D116">
            <v>44</v>
          </cell>
          <cell r="E116">
            <v>2</v>
          </cell>
          <cell r="F116">
            <v>45119</v>
          </cell>
          <cell r="G116">
            <v>0.375</v>
          </cell>
          <cell r="H116">
            <v>45124</v>
          </cell>
          <cell r="I116">
            <v>45125</v>
          </cell>
          <cell r="J116">
            <v>9372311404</v>
          </cell>
          <cell r="L116">
            <v>2</v>
          </cell>
          <cell r="M116">
            <v>1</v>
          </cell>
          <cell r="N116">
            <v>1</v>
          </cell>
          <cell r="O116">
            <v>2</v>
          </cell>
          <cell r="P116">
            <v>2</v>
          </cell>
          <cell r="Q116">
            <v>2</v>
          </cell>
          <cell r="R116">
            <v>2</v>
          </cell>
          <cell r="S116">
            <v>2</v>
          </cell>
          <cell r="T116">
            <v>2</v>
          </cell>
          <cell r="U116">
            <v>2</v>
          </cell>
          <cell r="V116" t="str">
            <v>Recurrent stroke past 15 days</v>
          </cell>
          <cell r="W116">
            <v>12.7</v>
          </cell>
          <cell r="X116">
            <v>39.5</v>
          </cell>
          <cell r="Y116">
            <v>81.900000000000006</v>
          </cell>
          <cell r="Z116">
            <v>5.82</v>
          </cell>
          <cell r="AA116">
            <v>9.6999999999999993</v>
          </cell>
          <cell r="AB116">
            <v>136</v>
          </cell>
          <cell r="AC116">
            <v>76</v>
          </cell>
          <cell r="AD116">
            <v>27</v>
          </cell>
          <cell r="AE116">
            <v>33</v>
          </cell>
          <cell r="AF116">
            <v>165</v>
          </cell>
          <cell r="AG116">
            <v>2000</v>
          </cell>
          <cell r="AJ116" t="str">
            <v>Acute NHI in Rt frontal lobe, rt parietal Lobe, Rt centrum semiovale and Rt corona radiata, acute lacunar infarct in rt caudate nucleus and Rt periventricular white matter</v>
          </cell>
          <cell r="AK116" t="str">
            <v>Rt ICA supralinoid narrowing</v>
          </cell>
          <cell r="AS116">
            <v>1</v>
          </cell>
          <cell r="AT116">
            <v>1</v>
          </cell>
          <cell r="AU116">
            <v>2</v>
          </cell>
          <cell r="AZ116">
            <v>0</v>
          </cell>
          <cell r="BA116">
            <v>100</v>
          </cell>
        </row>
        <row r="117">
          <cell r="A117" t="str">
            <v>Kishor Lunawal</v>
          </cell>
          <cell r="C117">
            <v>230700732</v>
          </cell>
          <cell r="D117">
            <v>53</v>
          </cell>
          <cell r="E117">
            <v>1</v>
          </cell>
          <cell r="H117">
            <v>45113</v>
          </cell>
          <cell r="I117">
            <v>45117</v>
          </cell>
          <cell r="J117">
            <v>7870011688</v>
          </cell>
          <cell r="K117">
            <v>9272419999</v>
          </cell>
          <cell r="L117">
            <v>0</v>
          </cell>
          <cell r="M117">
            <v>1</v>
          </cell>
          <cell r="N117">
            <v>1</v>
          </cell>
          <cell r="O117">
            <v>2</v>
          </cell>
          <cell r="P117">
            <v>2</v>
          </cell>
          <cell r="Q117">
            <v>2</v>
          </cell>
          <cell r="R117">
            <v>2</v>
          </cell>
          <cell r="S117">
            <v>2</v>
          </cell>
          <cell r="T117">
            <v>2</v>
          </cell>
          <cell r="U117">
            <v>2</v>
          </cell>
          <cell r="W117">
            <v>14.4</v>
          </cell>
          <cell r="X117">
            <v>41.9</v>
          </cell>
          <cell r="Y117">
            <v>87.3</v>
          </cell>
          <cell r="Z117">
            <v>8.66</v>
          </cell>
          <cell r="AB117">
            <v>173</v>
          </cell>
          <cell r="AC117">
            <v>125.8</v>
          </cell>
          <cell r="AD117">
            <v>35</v>
          </cell>
          <cell r="AF117">
            <v>61</v>
          </cell>
          <cell r="AG117">
            <v>716</v>
          </cell>
          <cell r="AJ117" t="str">
            <v>Chronic lacunar infarct in rt corona radita and rt centrum semiovale</v>
          </cell>
          <cell r="AK117" t="str">
            <v xml:space="preserve">multiple NHI in rt fronto parieto occipital lobes, Narrow calibes of Rt MCA and ACA, Mild narrowing at origin of rt vertebral artery V4 segment of Rt vertebral artery. </v>
          </cell>
          <cell r="AS117">
            <v>1</v>
          </cell>
          <cell r="AT117">
            <v>1</v>
          </cell>
          <cell r="AU117">
            <v>2</v>
          </cell>
          <cell r="AZ117">
            <v>1</v>
          </cell>
          <cell r="BA117">
            <v>100</v>
          </cell>
        </row>
        <row r="118">
          <cell r="A118" t="str">
            <v>Balasaheb Jadhav</v>
          </cell>
          <cell r="C118">
            <v>230704454</v>
          </cell>
          <cell r="D118">
            <v>45</v>
          </cell>
          <cell r="E118">
            <v>1</v>
          </cell>
          <cell r="F118">
            <v>45135</v>
          </cell>
          <cell r="G118">
            <v>0.47916666666666669</v>
          </cell>
          <cell r="H118">
            <v>45135</v>
          </cell>
          <cell r="I118">
            <v>45136</v>
          </cell>
          <cell r="J118">
            <v>7888249757</v>
          </cell>
          <cell r="L118">
            <v>4</v>
          </cell>
          <cell r="M118">
            <v>2</v>
          </cell>
          <cell r="N118">
            <v>2</v>
          </cell>
          <cell r="O118">
            <v>2</v>
          </cell>
          <cell r="P118">
            <v>2</v>
          </cell>
          <cell r="Q118">
            <v>2</v>
          </cell>
          <cell r="R118">
            <v>2</v>
          </cell>
          <cell r="S118">
            <v>2</v>
          </cell>
          <cell r="T118">
            <v>2</v>
          </cell>
          <cell r="U118">
            <v>2</v>
          </cell>
          <cell r="W118">
            <v>14.2</v>
          </cell>
          <cell r="X118">
            <v>42.6</v>
          </cell>
          <cell r="Y118">
            <v>88.2</v>
          </cell>
          <cell r="Z118">
            <v>14.52</v>
          </cell>
          <cell r="AA118">
            <v>6.5</v>
          </cell>
          <cell r="AB118">
            <v>216</v>
          </cell>
          <cell r="AC118">
            <v>123.2</v>
          </cell>
          <cell r="AD118">
            <v>40</v>
          </cell>
          <cell r="AE118">
            <v>52.8</v>
          </cell>
          <cell r="AF118">
            <v>264</v>
          </cell>
          <cell r="AJ118" t="str">
            <v>NHI in fronto-parietal region and lt centrum semiovale</v>
          </cell>
          <cell r="AK118" t="str">
            <v>normal</v>
          </cell>
          <cell r="AS118">
            <v>1</v>
          </cell>
          <cell r="AT118">
            <v>1</v>
          </cell>
          <cell r="AU118">
            <v>2</v>
          </cell>
          <cell r="AZ118">
            <v>1</v>
          </cell>
          <cell r="BA118">
            <v>100</v>
          </cell>
        </row>
        <row r="119">
          <cell r="A119" t="str">
            <v>Vitthal More</v>
          </cell>
          <cell r="C119">
            <v>230607917</v>
          </cell>
          <cell r="D119">
            <v>88</v>
          </cell>
          <cell r="E119">
            <v>1</v>
          </cell>
          <cell r="H119">
            <v>45103</v>
          </cell>
          <cell r="I119">
            <v>45105</v>
          </cell>
          <cell r="J119">
            <v>9423567145</v>
          </cell>
          <cell r="L119">
            <v>5</v>
          </cell>
          <cell r="M119">
            <v>1</v>
          </cell>
          <cell r="N119">
            <v>1</v>
          </cell>
          <cell r="O119">
            <v>2</v>
          </cell>
          <cell r="P119">
            <v>2</v>
          </cell>
          <cell r="Q119">
            <v>2</v>
          </cell>
          <cell r="R119">
            <v>2</v>
          </cell>
          <cell r="S119">
            <v>2</v>
          </cell>
          <cell r="T119">
            <v>2</v>
          </cell>
          <cell r="U119">
            <v>2</v>
          </cell>
          <cell r="V119" t="str">
            <v xml:space="preserve">Suspected Cardioembolic </v>
          </cell>
          <cell r="W119">
            <v>14.2</v>
          </cell>
          <cell r="X119">
            <v>44.3</v>
          </cell>
          <cell r="Y119">
            <v>78.599999999999994</v>
          </cell>
          <cell r="Z119">
            <v>17</v>
          </cell>
          <cell r="AA119">
            <v>9.5</v>
          </cell>
          <cell r="AB119">
            <v>146</v>
          </cell>
          <cell r="AC119">
            <v>84</v>
          </cell>
          <cell r="AD119">
            <v>37</v>
          </cell>
          <cell r="AE119">
            <v>24</v>
          </cell>
          <cell r="AF119">
            <v>123</v>
          </cell>
          <cell r="AG119">
            <v>270</v>
          </cell>
          <cell r="AJ119" t="str">
            <v>Acute infarct Rt fronto-parietal region, Rt centrum semiovale and corona radiata and Rt occipital region</v>
          </cell>
          <cell r="AK119" t="str">
            <v>calcifies atherosclerotic changes in cavernous supraclinoid segments and B/L ICAs and LT vertebral artery, Irregular narrowing involvinf supraclinoid segment of RT ICA</v>
          </cell>
          <cell r="AS119">
            <v>1</v>
          </cell>
          <cell r="AT119">
            <v>1</v>
          </cell>
          <cell r="AZ119">
            <v>0</v>
          </cell>
          <cell r="BA119">
            <v>100</v>
          </cell>
        </row>
        <row r="120">
          <cell r="A120" t="str">
            <v>Balasaheb Dhotre</v>
          </cell>
          <cell r="C120">
            <v>230608012</v>
          </cell>
          <cell r="D120">
            <v>73</v>
          </cell>
          <cell r="F120">
            <v>45104</v>
          </cell>
          <cell r="G120">
            <v>0.45833333333333331</v>
          </cell>
          <cell r="H120">
            <v>45104</v>
          </cell>
          <cell r="I120">
            <v>45108</v>
          </cell>
          <cell r="J120">
            <v>8805487706</v>
          </cell>
          <cell r="L120">
            <v>6</v>
          </cell>
          <cell r="M120">
            <v>1</v>
          </cell>
          <cell r="N120">
            <v>2</v>
          </cell>
          <cell r="O120">
            <v>2</v>
          </cell>
          <cell r="P120">
            <v>2</v>
          </cell>
          <cell r="Q120">
            <v>2</v>
          </cell>
          <cell r="R120">
            <v>2</v>
          </cell>
          <cell r="S120">
            <v>2</v>
          </cell>
          <cell r="T120">
            <v>1</v>
          </cell>
          <cell r="U120">
            <v>2</v>
          </cell>
          <cell r="V120" t="str">
            <v>fall 3 days back</v>
          </cell>
          <cell r="W120">
            <v>11.5</v>
          </cell>
          <cell r="X120">
            <v>34.700000000000003</v>
          </cell>
          <cell r="Y120">
            <v>73.3</v>
          </cell>
          <cell r="Z120">
            <v>27.71</v>
          </cell>
          <cell r="AG120">
            <v>154</v>
          </cell>
          <cell r="AH120" t="str">
            <v>DSA- RT ICA 95% stenosis</v>
          </cell>
          <cell r="AK120" t="str">
            <v>Acute infarct in Rt ICa shows complete occlusion. Multiple calcified plaques at bifurcation and involving the distal CCA</v>
          </cell>
          <cell r="AS120">
            <v>1</v>
          </cell>
          <cell r="AT120">
            <v>2</v>
          </cell>
          <cell r="AU120">
            <v>1</v>
          </cell>
          <cell r="AV120">
            <v>1</v>
          </cell>
          <cell r="AZ120">
            <v>2</v>
          </cell>
          <cell r="BA120">
            <v>90</v>
          </cell>
        </row>
        <row r="121">
          <cell r="A121" t="str">
            <v>Shankar Kurale</v>
          </cell>
          <cell r="C121">
            <v>130403752</v>
          </cell>
          <cell r="D121">
            <v>75</v>
          </cell>
          <cell r="E121">
            <v>1</v>
          </cell>
          <cell r="F121">
            <v>45125</v>
          </cell>
          <cell r="G121">
            <v>0.66666666666666663</v>
          </cell>
          <cell r="H121">
            <v>45125</v>
          </cell>
          <cell r="I121">
            <v>45132</v>
          </cell>
          <cell r="J121">
            <v>8421492004</v>
          </cell>
          <cell r="M121">
            <v>2</v>
          </cell>
          <cell r="N121">
            <v>2</v>
          </cell>
          <cell r="O121">
            <v>1</v>
          </cell>
          <cell r="P121">
            <v>1</v>
          </cell>
          <cell r="Q121">
            <v>1</v>
          </cell>
          <cell r="R121">
            <v>2</v>
          </cell>
          <cell r="S121">
            <v>2</v>
          </cell>
          <cell r="T121">
            <v>2</v>
          </cell>
          <cell r="U121">
            <v>2</v>
          </cell>
          <cell r="V121" t="str">
            <v xml:space="preserve">RTA 1 yr back, lt blurhole and SDH under evaluation </v>
          </cell>
          <cell r="W121">
            <v>13</v>
          </cell>
          <cell r="X121">
            <v>39.6</v>
          </cell>
          <cell r="Y121">
            <v>89.2</v>
          </cell>
          <cell r="Z121">
            <v>39.6</v>
          </cell>
          <cell r="AA121">
            <v>5.7</v>
          </cell>
          <cell r="AG121">
            <v>401</v>
          </cell>
          <cell r="AH121" t="str">
            <v>operated SDH</v>
          </cell>
          <cell r="AJ121" t="str">
            <v>Acute NHI in the posterios limb of rt internla capsule</v>
          </cell>
          <cell r="AK121" t="str">
            <v>subacute chronic subdural hemorrhage along lt fronto-parieto-temporal convexcity with mass effect and midline shift. Chronic lacunar in B/L basa ganglia. Chronic small vessel ischemic change with age related atrophy</v>
          </cell>
          <cell r="AZ121">
            <v>1</v>
          </cell>
          <cell r="BA121">
            <v>100</v>
          </cell>
        </row>
        <row r="122">
          <cell r="A122" t="str">
            <v xml:space="preserve">Ajit Shah </v>
          </cell>
          <cell r="C122">
            <v>230602023</v>
          </cell>
          <cell r="D122">
            <v>73</v>
          </cell>
          <cell r="E122">
            <v>1</v>
          </cell>
          <cell r="H122">
            <v>45085</v>
          </cell>
          <cell r="I122">
            <v>45086</v>
          </cell>
          <cell r="J122">
            <v>7506372648</v>
          </cell>
          <cell r="L122">
            <v>0</v>
          </cell>
          <cell r="M122">
            <v>1</v>
          </cell>
          <cell r="N122">
            <v>2</v>
          </cell>
          <cell r="O122">
            <v>2</v>
          </cell>
          <cell r="P122">
            <v>2</v>
          </cell>
          <cell r="Q122">
            <v>2</v>
          </cell>
          <cell r="R122">
            <v>2</v>
          </cell>
          <cell r="S122">
            <v>1</v>
          </cell>
          <cell r="T122">
            <v>2</v>
          </cell>
          <cell r="U122">
            <v>2</v>
          </cell>
          <cell r="W122">
            <v>143</v>
          </cell>
          <cell r="AJ122" t="str">
            <v>Acute NHI in rt temporal lobe, head of rt caudate nucleus and rt middle frontal gyrus, superior temporal gyrus and inferior parietal lobe</v>
          </cell>
          <cell r="AK122" t="str">
            <v>few calcified atherosclerotic plaques. Hypodense area in Rt temporal lobe</v>
          </cell>
          <cell r="AS122">
            <v>1</v>
          </cell>
          <cell r="AT122">
            <v>1</v>
          </cell>
          <cell r="AU122">
            <v>2</v>
          </cell>
          <cell r="AZ122">
            <v>0</v>
          </cell>
          <cell r="BA122">
            <v>100</v>
          </cell>
        </row>
        <row r="123">
          <cell r="A123" t="str">
            <v>Madhukar Kumavat</v>
          </cell>
          <cell r="C123">
            <v>230700099</v>
          </cell>
          <cell r="D123">
            <v>63</v>
          </cell>
          <cell r="E123">
            <v>1</v>
          </cell>
          <cell r="H123">
            <v>45108</v>
          </cell>
          <cell r="I123">
            <v>45117</v>
          </cell>
          <cell r="W123">
            <v>9.8000000000000007</v>
          </cell>
          <cell r="X123">
            <v>47</v>
          </cell>
          <cell r="Y123">
            <v>85.9</v>
          </cell>
          <cell r="Z123">
            <v>7.63</v>
          </cell>
          <cell r="AA123">
            <v>7</v>
          </cell>
          <cell r="AG123">
            <v>1777</v>
          </cell>
          <cell r="AJ123" t="str">
            <v>Acute NHI in B/L fronto-parital-ventricular white matter, Old lacunar infarct in Bos, B/L thalamic, Lt frontal periventricular white matter and cingulate gyrus</v>
          </cell>
          <cell r="AS123">
            <v>1</v>
          </cell>
          <cell r="AT123">
            <v>1</v>
          </cell>
          <cell r="AU123">
            <v>2</v>
          </cell>
          <cell r="AZ123">
            <v>6</v>
          </cell>
          <cell r="BA123">
            <v>0</v>
          </cell>
        </row>
        <row r="124">
          <cell r="A124" t="str">
            <v>Lahu Lokhande</v>
          </cell>
          <cell r="C124">
            <v>230000052023</v>
          </cell>
          <cell r="D124">
            <v>48</v>
          </cell>
          <cell r="E124">
            <v>1</v>
          </cell>
          <cell r="F124">
            <v>45213</v>
          </cell>
          <cell r="G124">
            <v>0.52083333333333337</v>
          </cell>
          <cell r="H124">
            <v>45216</v>
          </cell>
          <cell r="I124">
            <v>45205</v>
          </cell>
          <cell r="J124">
            <v>7517711010</v>
          </cell>
          <cell r="L124">
            <v>8</v>
          </cell>
          <cell r="M124">
            <v>2</v>
          </cell>
          <cell r="N124">
            <v>2</v>
          </cell>
          <cell r="O124">
            <v>1</v>
          </cell>
          <cell r="P124">
            <v>1</v>
          </cell>
          <cell r="Q124">
            <v>2</v>
          </cell>
          <cell r="R124">
            <v>2</v>
          </cell>
          <cell r="S124">
            <v>2</v>
          </cell>
          <cell r="T124">
            <v>2</v>
          </cell>
          <cell r="U124">
            <v>2</v>
          </cell>
          <cell r="W124">
            <v>13.8</v>
          </cell>
          <cell r="X124">
            <v>40.4</v>
          </cell>
          <cell r="Y124">
            <v>98.8</v>
          </cell>
          <cell r="Z124">
            <v>11.07</v>
          </cell>
          <cell r="AB124">
            <v>141</v>
          </cell>
          <cell r="AD124">
            <v>45</v>
          </cell>
          <cell r="AG124">
            <v>2000</v>
          </cell>
          <cell r="AJ124" t="str">
            <v>large subacute infarct involving the left MCA territory. Midline shift 4.5mm to the right, Minimal cerebral edema in form of effacement of cortical sulcal spaces of left fronto-temporo-parietal lobes</v>
          </cell>
          <cell r="AM124">
            <v>5</v>
          </cell>
          <cell r="AN124">
            <v>2</v>
          </cell>
          <cell r="AO124">
            <v>3</v>
          </cell>
          <cell r="AP124">
            <v>3</v>
          </cell>
          <cell r="AQ124">
            <v>5</v>
          </cell>
          <cell r="AS124">
            <v>1</v>
          </cell>
          <cell r="AT124">
            <v>1</v>
          </cell>
          <cell r="AU124">
            <v>2</v>
          </cell>
          <cell r="AZ124">
            <v>4</v>
          </cell>
          <cell r="BA124">
            <v>65</v>
          </cell>
        </row>
        <row r="125">
          <cell r="A125" t="str">
            <v>Mahadev Pandit</v>
          </cell>
          <cell r="C125">
            <v>230000048837</v>
          </cell>
          <cell r="D125">
            <v>47</v>
          </cell>
          <cell r="E125">
            <v>1</v>
          </cell>
          <cell r="F125">
            <v>45208</v>
          </cell>
          <cell r="G125">
            <v>0.35416666666666669</v>
          </cell>
          <cell r="H125">
            <v>45208</v>
          </cell>
          <cell r="I125">
            <v>45211</v>
          </cell>
          <cell r="J125">
            <v>932283864</v>
          </cell>
          <cell r="K125">
            <v>7378323273</v>
          </cell>
          <cell r="L125">
            <v>8</v>
          </cell>
          <cell r="M125">
            <v>1</v>
          </cell>
          <cell r="N125">
            <v>2</v>
          </cell>
          <cell r="O125">
            <v>2</v>
          </cell>
          <cell r="P125">
            <v>2</v>
          </cell>
          <cell r="Q125">
            <v>1</v>
          </cell>
          <cell r="R125">
            <v>2</v>
          </cell>
          <cell r="S125">
            <v>2</v>
          </cell>
          <cell r="T125">
            <v>2</v>
          </cell>
          <cell r="U125">
            <v>2</v>
          </cell>
          <cell r="V125" t="str">
            <v>H/o Stroke in 2023-left hemiparesis</v>
          </cell>
          <cell r="W125">
            <v>13.2</v>
          </cell>
          <cell r="Z125">
            <v>7.61</v>
          </cell>
          <cell r="AB125">
            <v>182</v>
          </cell>
          <cell r="AC125">
            <v>126.6</v>
          </cell>
          <cell r="AD125">
            <v>41</v>
          </cell>
          <cell r="AE125">
            <v>14.4</v>
          </cell>
          <cell r="AF125">
            <v>72</v>
          </cell>
          <cell r="AG125">
            <v>735</v>
          </cell>
          <cell r="AJ125" t="str">
            <v>Acute NHI in posterior limb of lt hemorrhagic infarct in rt temporal lobe with rt vein of lobe thrombosis</v>
          </cell>
          <cell r="AK125" t="str">
            <v>normal</v>
          </cell>
          <cell r="AM125">
            <v>10</v>
          </cell>
          <cell r="AN125">
            <v>1</v>
          </cell>
          <cell r="AO125">
            <v>5</v>
          </cell>
          <cell r="AP125">
            <v>3</v>
          </cell>
          <cell r="AQ125">
            <v>5</v>
          </cell>
          <cell r="AS125">
            <v>1</v>
          </cell>
          <cell r="AT125">
            <v>1</v>
          </cell>
          <cell r="AU125">
            <v>1</v>
          </cell>
          <cell r="AV125">
            <v>1</v>
          </cell>
          <cell r="AZ125">
            <v>0</v>
          </cell>
          <cell r="BA125">
            <v>100</v>
          </cell>
        </row>
        <row r="126">
          <cell r="A126" t="str">
            <v xml:space="preserve">Shivaji Mandhare </v>
          </cell>
          <cell r="C126">
            <v>230000050252</v>
          </cell>
          <cell r="D126">
            <v>77</v>
          </cell>
          <cell r="E126">
            <v>1</v>
          </cell>
          <cell r="F126">
            <v>45211</v>
          </cell>
          <cell r="G126">
            <v>0.4375</v>
          </cell>
          <cell r="H126">
            <v>45212</v>
          </cell>
          <cell r="I126">
            <v>45213</v>
          </cell>
          <cell r="J126">
            <v>9923564607</v>
          </cell>
          <cell r="L126">
            <v>20</v>
          </cell>
          <cell r="M126">
            <v>2</v>
          </cell>
          <cell r="N126">
            <v>2</v>
          </cell>
          <cell r="O126">
            <v>2</v>
          </cell>
          <cell r="P126">
            <v>2</v>
          </cell>
          <cell r="Q126">
            <v>1</v>
          </cell>
          <cell r="R126">
            <v>2</v>
          </cell>
          <cell r="S126">
            <v>2</v>
          </cell>
          <cell r="T126">
            <v>2</v>
          </cell>
          <cell r="U126">
            <v>2</v>
          </cell>
          <cell r="V126" t="str">
            <v>Atrial flutter- CHAD VASC-4</v>
          </cell>
          <cell r="W126">
            <v>14.6</v>
          </cell>
          <cell r="Z126">
            <v>3.68</v>
          </cell>
          <cell r="AB126">
            <v>171</v>
          </cell>
          <cell r="AC126">
            <v>119</v>
          </cell>
          <cell r="AD126">
            <v>41</v>
          </cell>
          <cell r="AE126">
            <v>11</v>
          </cell>
          <cell r="AF126">
            <v>35</v>
          </cell>
          <cell r="AJ126" t="str">
            <v>Large Volume acute infarct in lt MCA territory and watershed area. Old ischemic changes</v>
          </cell>
          <cell r="AM126">
            <v>0</v>
          </cell>
          <cell r="AN126">
            <v>2</v>
          </cell>
          <cell r="AO126">
            <v>4</v>
          </cell>
          <cell r="AP126">
            <v>3</v>
          </cell>
          <cell r="AQ126">
            <v>4</v>
          </cell>
          <cell r="AZ126">
            <v>6</v>
          </cell>
          <cell r="BA126">
            <v>0</v>
          </cell>
        </row>
        <row r="127">
          <cell r="A127" t="str">
            <v>Bhagwat Subhash</v>
          </cell>
          <cell r="C127">
            <v>231002507</v>
          </cell>
          <cell r="D127">
            <v>55</v>
          </cell>
          <cell r="E127">
            <v>2</v>
          </cell>
          <cell r="F127">
            <v>45219</v>
          </cell>
          <cell r="G127">
            <v>0.54166666666666663</v>
          </cell>
          <cell r="H127">
            <v>45219</v>
          </cell>
          <cell r="I127">
            <v>45228</v>
          </cell>
          <cell r="J127">
            <v>7498754557</v>
          </cell>
          <cell r="K127">
            <v>8888410178</v>
          </cell>
          <cell r="L127">
            <v>8</v>
          </cell>
          <cell r="M127">
            <v>1</v>
          </cell>
          <cell r="N127">
            <v>1</v>
          </cell>
          <cell r="O127">
            <v>2</v>
          </cell>
          <cell r="P127">
            <v>2</v>
          </cell>
          <cell r="Q127">
            <v>2</v>
          </cell>
          <cell r="R127">
            <v>2</v>
          </cell>
          <cell r="S127">
            <v>2</v>
          </cell>
          <cell r="T127">
            <v>2</v>
          </cell>
          <cell r="U127">
            <v>2</v>
          </cell>
          <cell r="W127">
            <v>10.4</v>
          </cell>
          <cell r="X127">
            <v>32.4</v>
          </cell>
          <cell r="Y127">
            <v>83.5</v>
          </cell>
          <cell r="Z127">
            <v>16.39</v>
          </cell>
          <cell r="AA127">
            <v>7.3</v>
          </cell>
          <cell r="AB127">
            <v>186</v>
          </cell>
          <cell r="AC127">
            <v>130.19999999999999</v>
          </cell>
          <cell r="AD127">
            <v>34</v>
          </cell>
          <cell r="AE127">
            <v>21.8</v>
          </cell>
          <cell r="AF127">
            <v>109</v>
          </cell>
          <cell r="AG127">
            <v>148</v>
          </cell>
          <cell r="AJ127" t="str">
            <v>Lt ACA MCA watershed infarct in posterior wall, Tiny left internal and posterior watershed infarct</v>
          </cell>
          <cell r="AK127" t="str">
            <v xml:space="preserve">Lt ICA lerated plaque with 90-50% stenosis, Rt ICA 50% stenosis </v>
          </cell>
          <cell r="AM127">
            <v>10</v>
          </cell>
          <cell r="AN127">
            <v>1</v>
          </cell>
          <cell r="AO127">
            <v>3</v>
          </cell>
          <cell r="AP127">
            <v>3</v>
          </cell>
          <cell r="AQ127">
            <v>5</v>
          </cell>
          <cell r="AS127">
            <v>1</v>
          </cell>
          <cell r="AT127">
            <v>1</v>
          </cell>
          <cell r="AU127">
            <v>2</v>
          </cell>
          <cell r="AZ127">
            <v>0</v>
          </cell>
          <cell r="BA127">
            <v>100</v>
          </cell>
        </row>
        <row r="128">
          <cell r="A128" t="str">
            <v>Smita dhepe</v>
          </cell>
          <cell r="C128">
            <v>230000052006</v>
          </cell>
          <cell r="D128">
            <v>47</v>
          </cell>
          <cell r="E128">
            <v>2</v>
          </cell>
          <cell r="F128">
            <v>45216</v>
          </cell>
          <cell r="G128">
            <v>0.45833333333333331</v>
          </cell>
          <cell r="H128">
            <v>45216</v>
          </cell>
          <cell r="I128">
            <v>45217</v>
          </cell>
          <cell r="J128">
            <v>9175019937</v>
          </cell>
          <cell r="K128">
            <v>9175702520</v>
          </cell>
          <cell r="L128">
            <v>5</v>
          </cell>
          <cell r="M128">
            <v>1</v>
          </cell>
          <cell r="N128">
            <v>2</v>
          </cell>
          <cell r="O128">
            <v>2</v>
          </cell>
          <cell r="P128">
            <v>2</v>
          </cell>
          <cell r="Q128">
            <v>2</v>
          </cell>
          <cell r="R128">
            <v>2</v>
          </cell>
          <cell r="S128">
            <v>2</v>
          </cell>
          <cell r="T128">
            <v>2</v>
          </cell>
          <cell r="U128">
            <v>2</v>
          </cell>
          <cell r="W128">
            <v>14.6</v>
          </cell>
          <cell r="X128">
            <v>46.2</v>
          </cell>
          <cell r="Y128">
            <v>83.9</v>
          </cell>
          <cell r="Z128">
            <v>15.88</v>
          </cell>
          <cell r="AA128">
            <v>6</v>
          </cell>
          <cell r="AB128">
            <v>246</v>
          </cell>
          <cell r="AC128">
            <v>141.4</v>
          </cell>
          <cell r="AD128">
            <v>48</v>
          </cell>
          <cell r="AE128">
            <v>56.6</v>
          </cell>
          <cell r="AF128">
            <v>283</v>
          </cell>
          <cell r="AG128">
            <v>179</v>
          </cell>
          <cell r="AJ128" t="str">
            <v xml:space="preserve">NHI in Lt periventricular region and posterior limb of LT internal capsule </v>
          </cell>
          <cell r="AK128" t="str">
            <v>normal</v>
          </cell>
          <cell r="AM128">
            <v>10</v>
          </cell>
          <cell r="AN128">
            <v>1</v>
          </cell>
          <cell r="AO128">
            <v>5</v>
          </cell>
          <cell r="AP128">
            <v>3</v>
          </cell>
          <cell r="AQ128">
            <v>5</v>
          </cell>
          <cell r="AS128">
            <v>1</v>
          </cell>
          <cell r="AT128">
            <v>1</v>
          </cell>
          <cell r="AU128">
            <v>2</v>
          </cell>
          <cell r="AZ128">
            <v>0</v>
          </cell>
          <cell r="BA128">
            <v>100</v>
          </cell>
        </row>
        <row r="129">
          <cell r="A129" t="str">
            <v>Pradeep Shah</v>
          </cell>
          <cell r="C129">
            <v>230000052642</v>
          </cell>
          <cell r="D129">
            <v>68</v>
          </cell>
          <cell r="E129">
            <v>1</v>
          </cell>
          <cell r="F129">
            <v>45217</v>
          </cell>
          <cell r="H129">
            <v>45217</v>
          </cell>
          <cell r="I129">
            <v>45218</v>
          </cell>
          <cell r="J129">
            <v>9284723898</v>
          </cell>
          <cell r="K129">
            <v>8806064862</v>
          </cell>
          <cell r="L129">
            <v>6</v>
          </cell>
          <cell r="M129">
            <v>1</v>
          </cell>
          <cell r="N129">
            <v>2</v>
          </cell>
          <cell r="O129">
            <v>2</v>
          </cell>
          <cell r="P129">
            <v>2</v>
          </cell>
          <cell r="Q129">
            <v>2</v>
          </cell>
          <cell r="R129">
            <v>2</v>
          </cell>
          <cell r="S129">
            <v>2</v>
          </cell>
          <cell r="T129">
            <v>2</v>
          </cell>
          <cell r="U129">
            <v>2</v>
          </cell>
          <cell r="V129" t="str">
            <v>Past H/O stroke -Old rt PCA infarct</v>
          </cell>
          <cell r="W129">
            <v>16</v>
          </cell>
          <cell r="X129">
            <v>48</v>
          </cell>
          <cell r="Y129">
            <v>93.1</v>
          </cell>
          <cell r="Z129">
            <v>63.86</v>
          </cell>
          <cell r="AA129">
            <v>6.3</v>
          </cell>
          <cell r="AB129">
            <v>134</v>
          </cell>
          <cell r="AC129">
            <v>86.6</v>
          </cell>
          <cell r="AD129">
            <v>38</v>
          </cell>
          <cell r="AE129">
            <v>12.4</v>
          </cell>
          <cell r="AF129">
            <v>62</v>
          </cell>
          <cell r="AG129">
            <v>148</v>
          </cell>
          <cell r="AH129" t="str">
            <v>outside scan</v>
          </cell>
          <cell r="AJ129" t="str">
            <v>NHI involving lt frontal periventricular white matter showing restricted diffusion.</v>
          </cell>
          <cell r="AK129" t="str">
            <v>diffuse ischemic changes in white matter Bilaterally. Rt occipital gliosis with hemosidering staining. Rt basal ganglia shows old infarct with hemosiderin staining. Multiple petechial hemorrhages</v>
          </cell>
          <cell r="AM129">
            <v>10</v>
          </cell>
          <cell r="AN129">
            <v>1</v>
          </cell>
          <cell r="AS129">
            <v>1</v>
          </cell>
          <cell r="AT129">
            <v>1</v>
          </cell>
          <cell r="AU129">
            <v>2</v>
          </cell>
          <cell r="AZ129">
            <v>1</v>
          </cell>
          <cell r="BA129">
            <v>100</v>
          </cell>
        </row>
        <row r="130">
          <cell r="A130" t="str">
            <v>Audumbar Jadhav</v>
          </cell>
          <cell r="C130">
            <v>231000030</v>
          </cell>
          <cell r="D130">
            <v>40</v>
          </cell>
          <cell r="E130">
            <v>1</v>
          </cell>
          <cell r="F130">
            <v>45200</v>
          </cell>
          <cell r="G130">
            <v>0.36458333333333331</v>
          </cell>
          <cell r="H130">
            <v>45200</v>
          </cell>
          <cell r="I130">
            <v>45204</v>
          </cell>
          <cell r="J130">
            <v>9623021212</v>
          </cell>
          <cell r="L130">
            <v>10</v>
          </cell>
          <cell r="M130">
            <v>2</v>
          </cell>
          <cell r="N130">
            <v>2</v>
          </cell>
          <cell r="O130">
            <v>2</v>
          </cell>
          <cell r="P130">
            <v>2</v>
          </cell>
          <cell r="Q130">
            <v>2</v>
          </cell>
          <cell r="R130">
            <v>2</v>
          </cell>
          <cell r="S130">
            <v>2</v>
          </cell>
          <cell r="T130">
            <v>2</v>
          </cell>
          <cell r="U130">
            <v>2</v>
          </cell>
          <cell r="W130">
            <v>15.2</v>
          </cell>
          <cell r="X130">
            <v>46</v>
          </cell>
          <cell r="Y130">
            <v>96</v>
          </cell>
          <cell r="Z130">
            <v>14.32</v>
          </cell>
          <cell r="AA130">
            <v>5.5</v>
          </cell>
          <cell r="AB130">
            <v>175</v>
          </cell>
          <cell r="AC130">
            <v>120</v>
          </cell>
          <cell r="AD130">
            <v>29</v>
          </cell>
          <cell r="AE130">
            <v>25</v>
          </cell>
          <cell r="AF130">
            <v>126</v>
          </cell>
          <cell r="AG130">
            <v>148</v>
          </cell>
          <cell r="AJ130" t="str">
            <v xml:space="preserve">Rt MCA superior division infarct </v>
          </cell>
          <cell r="AK130" t="str">
            <v>Rt MCA superior devision thrombosis</v>
          </cell>
          <cell r="AM130">
            <v>10</v>
          </cell>
          <cell r="AN130">
            <v>1</v>
          </cell>
          <cell r="AO130">
            <v>5</v>
          </cell>
          <cell r="AP130">
            <v>3</v>
          </cell>
          <cell r="AQ130">
            <v>5</v>
          </cell>
          <cell r="AS130">
            <v>1</v>
          </cell>
          <cell r="AT130">
            <v>1</v>
          </cell>
          <cell r="AU130">
            <v>1</v>
          </cell>
          <cell r="AV130">
            <v>1</v>
          </cell>
          <cell r="AZ130">
            <v>0</v>
          </cell>
          <cell r="BA130">
            <v>100</v>
          </cell>
        </row>
        <row r="131">
          <cell r="A131" t="str">
            <v xml:space="preserve">Prakash Marne </v>
          </cell>
          <cell r="C131">
            <v>23000005509</v>
          </cell>
          <cell r="D131">
            <v>51</v>
          </cell>
          <cell r="E131">
            <v>1</v>
          </cell>
          <cell r="F131">
            <v>45226</v>
          </cell>
          <cell r="G131">
            <v>0.27083333333333331</v>
          </cell>
          <cell r="H131">
            <v>45226</v>
          </cell>
          <cell r="I131">
            <v>45230</v>
          </cell>
          <cell r="J131">
            <v>9551709709</v>
          </cell>
          <cell r="L131">
            <v>5</v>
          </cell>
          <cell r="M131">
            <v>1</v>
          </cell>
          <cell r="N131">
            <v>2</v>
          </cell>
          <cell r="O131">
            <v>1</v>
          </cell>
          <cell r="P131">
            <v>2</v>
          </cell>
          <cell r="Q131">
            <v>2</v>
          </cell>
          <cell r="R131">
            <v>2</v>
          </cell>
          <cell r="S131">
            <v>2</v>
          </cell>
          <cell r="T131">
            <v>1</v>
          </cell>
          <cell r="U131">
            <v>2</v>
          </cell>
          <cell r="W131">
            <v>16.8</v>
          </cell>
          <cell r="X131">
            <v>51.8</v>
          </cell>
          <cell r="Y131">
            <v>89.6</v>
          </cell>
          <cell r="Z131">
            <v>20.36</v>
          </cell>
          <cell r="AA131">
            <v>5.4</v>
          </cell>
          <cell r="AB131">
            <v>164</v>
          </cell>
          <cell r="AC131">
            <v>106.2</v>
          </cell>
          <cell r="AD131">
            <v>40</v>
          </cell>
          <cell r="AE131">
            <v>17.8</v>
          </cell>
          <cell r="AF131">
            <v>89</v>
          </cell>
          <cell r="AG131">
            <v>312</v>
          </cell>
          <cell r="AJ131" t="str">
            <v>Subacute hypodensitis with loss of grey white matter differentitation in the lt frontal region consistant with known infarct. No hemorrhagic trnaformation of infarct noted</v>
          </cell>
          <cell r="AK131" t="str">
            <v>normal</v>
          </cell>
          <cell r="AM131">
            <v>10</v>
          </cell>
          <cell r="AN131">
            <v>1</v>
          </cell>
          <cell r="AO131">
            <v>5</v>
          </cell>
          <cell r="AP131">
            <v>3</v>
          </cell>
          <cell r="AQ131">
            <v>5</v>
          </cell>
          <cell r="AS131">
            <v>1</v>
          </cell>
          <cell r="AT131">
            <v>1</v>
          </cell>
          <cell r="AU131">
            <v>1</v>
          </cell>
          <cell r="AV131">
            <v>1</v>
          </cell>
          <cell r="AZ131">
            <v>0</v>
          </cell>
          <cell r="BA131">
            <v>100</v>
          </cell>
        </row>
        <row r="132">
          <cell r="A132" t="str">
            <v xml:space="preserve">Jaydeep Panchal </v>
          </cell>
          <cell r="C132">
            <v>230000053358</v>
          </cell>
          <cell r="D132">
            <v>30</v>
          </cell>
          <cell r="E132">
            <v>1</v>
          </cell>
          <cell r="F132">
            <v>45220</v>
          </cell>
          <cell r="G132">
            <v>0.1875</v>
          </cell>
          <cell r="H132">
            <v>45220</v>
          </cell>
          <cell r="I132">
            <v>45220</v>
          </cell>
          <cell r="J132">
            <v>8805207125</v>
          </cell>
          <cell r="L132">
            <v>9</v>
          </cell>
          <cell r="M132">
            <v>2</v>
          </cell>
          <cell r="N132">
            <v>2</v>
          </cell>
          <cell r="O132">
            <v>1</v>
          </cell>
          <cell r="P132">
            <v>1</v>
          </cell>
          <cell r="Q132">
            <v>2</v>
          </cell>
          <cell r="R132">
            <v>2</v>
          </cell>
          <cell r="S132">
            <v>2</v>
          </cell>
          <cell r="T132">
            <v>2</v>
          </cell>
          <cell r="U132">
            <v>2</v>
          </cell>
          <cell r="V132" t="str">
            <v xml:space="preserve">Old stroke MCA infarct on imaging </v>
          </cell>
          <cell r="AJ132" t="str">
            <v>acute NHI in rt thalamus, globus pallidus caudate nucleus and anterior limb of internal capsule</v>
          </cell>
          <cell r="AK132" t="str">
            <v>Rt M1 occlusion</v>
          </cell>
          <cell r="AL132" t="str">
            <v>patient went DAMA same day</v>
          </cell>
          <cell r="AM132">
            <v>10</v>
          </cell>
          <cell r="AN132">
            <v>2</v>
          </cell>
          <cell r="AO132">
            <v>2</v>
          </cell>
          <cell r="AP132">
            <v>2</v>
          </cell>
          <cell r="AQ132">
            <v>4</v>
          </cell>
          <cell r="AS132">
            <v>1</v>
          </cell>
          <cell r="AT132">
            <v>2</v>
          </cell>
          <cell r="AU132">
            <v>1</v>
          </cell>
          <cell r="AV132">
            <v>1</v>
          </cell>
          <cell r="AZ132">
            <v>0</v>
          </cell>
          <cell r="BA132">
            <v>95</v>
          </cell>
        </row>
        <row r="133">
          <cell r="A133" t="str">
            <v xml:space="preserve">Laxmibai More </v>
          </cell>
          <cell r="C133">
            <v>230000045371</v>
          </cell>
          <cell r="D133">
            <v>60</v>
          </cell>
          <cell r="E133">
            <v>2</v>
          </cell>
          <cell r="F133">
            <v>45195</v>
          </cell>
          <cell r="G133">
            <v>0.875</v>
          </cell>
          <cell r="H133">
            <v>45196</v>
          </cell>
          <cell r="I133">
            <v>45197</v>
          </cell>
          <cell r="L133">
            <v>8</v>
          </cell>
          <cell r="M133">
            <v>1</v>
          </cell>
          <cell r="N133">
            <v>1</v>
          </cell>
          <cell r="O133">
            <v>2</v>
          </cell>
          <cell r="P133">
            <v>2</v>
          </cell>
          <cell r="Q133">
            <v>1</v>
          </cell>
          <cell r="R133">
            <v>2</v>
          </cell>
          <cell r="S133">
            <v>2</v>
          </cell>
          <cell r="T133">
            <v>2</v>
          </cell>
          <cell r="U133">
            <v>2</v>
          </cell>
          <cell r="W133">
            <v>10.1</v>
          </cell>
          <cell r="AA133">
            <v>8.1999999999999993</v>
          </cell>
          <cell r="AB133">
            <v>176</v>
          </cell>
          <cell r="AC133">
            <v>112.6</v>
          </cell>
          <cell r="AD133">
            <v>41</v>
          </cell>
          <cell r="AE133">
            <v>22.4</v>
          </cell>
          <cell r="AF133">
            <v>112</v>
          </cell>
          <cell r="AG133">
            <v>148</v>
          </cell>
          <cell r="AJ133" t="str">
            <v>Lt posterior limb of internal capsule and lt centrum semiovale</v>
          </cell>
          <cell r="AM133">
            <v>9</v>
          </cell>
          <cell r="AN133">
            <v>1</v>
          </cell>
          <cell r="AO133">
            <v>3</v>
          </cell>
          <cell r="AP133">
            <v>3</v>
          </cell>
          <cell r="AQ133">
            <v>5</v>
          </cell>
          <cell r="AS133">
            <v>1</v>
          </cell>
          <cell r="AT133">
            <v>1</v>
          </cell>
          <cell r="AU133">
            <v>2</v>
          </cell>
          <cell r="AZ133">
            <v>2</v>
          </cell>
          <cell r="BA133">
            <v>90</v>
          </cell>
        </row>
        <row r="134">
          <cell r="A134" t="str">
            <v xml:space="preserve">Seema Dalvi </v>
          </cell>
          <cell r="C134">
            <v>230000056198</v>
          </cell>
          <cell r="D134">
            <v>45</v>
          </cell>
          <cell r="E134">
            <v>2</v>
          </cell>
          <cell r="F134">
            <v>45229</v>
          </cell>
          <cell r="G134">
            <v>0.33333333333333331</v>
          </cell>
          <cell r="H134">
            <v>45229</v>
          </cell>
          <cell r="I134">
            <v>45253</v>
          </cell>
          <cell r="J134">
            <v>9960643811</v>
          </cell>
          <cell r="K134">
            <v>8888434416</v>
          </cell>
          <cell r="L134">
            <v>17</v>
          </cell>
          <cell r="V134" t="str">
            <v>past H/O gestational HT</v>
          </cell>
          <cell r="W134">
            <v>7.7</v>
          </cell>
          <cell r="X134">
            <v>27.3</v>
          </cell>
          <cell r="Y134">
            <v>53.4</v>
          </cell>
          <cell r="Z134">
            <v>8.66</v>
          </cell>
          <cell r="AA134">
            <v>9.9</v>
          </cell>
          <cell r="AB134">
            <v>197</v>
          </cell>
          <cell r="AC134">
            <v>139.80000000000001</v>
          </cell>
          <cell r="AD134">
            <v>33</v>
          </cell>
          <cell r="AE134">
            <v>24.2</v>
          </cell>
          <cell r="AF134">
            <v>121</v>
          </cell>
          <cell r="AG134">
            <v>2000</v>
          </cell>
          <cell r="AJ134" t="str">
            <v>Lt MCA-PCA watershed inafrct</v>
          </cell>
          <cell r="AK134" t="str">
            <v xml:space="preserve">Lt ICA plaque with thrombus&gt;90% occlusion </v>
          </cell>
          <cell r="AM134">
            <v>7</v>
          </cell>
          <cell r="AN134">
            <v>1</v>
          </cell>
          <cell r="AO134">
            <v>3</v>
          </cell>
          <cell r="AP134">
            <v>3</v>
          </cell>
          <cell r="AQ134">
            <v>4</v>
          </cell>
          <cell r="AS134">
            <v>1</v>
          </cell>
          <cell r="AU134">
            <v>2</v>
          </cell>
          <cell r="AY134">
            <v>1</v>
          </cell>
          <cell r="AZ134">
            <v>4</v>
          </cell>
          <cell r="BA134">
            <v>15</v>
          </cell>
        </row>
        <row r="135">
          <cell r="A135" t="str">
            <v xml:space="preserve">Hosen Amzeed </v>
          </cell>
          <cell r="C135">
            <v>230000040929</v>
          </cell>
          <cell r="D135">
            <v>61</v>
          </cell>
          <cell r="E135">
            <v>1</v>
          </cell>
          <cell r="F135">
            <v>45215</v>
          </cell>
          <cell r="G135">
            <v>0.9375</v>
          </cell>
          <cell r="H135">
            <v>45216</v>
          </cell>
          <cell r="I135">
            <v>45217</v>
          </cell>
          <cell r="J135">
            <v>8999331312</v>
          </cell>
          <cell r="L135">
            <v>1</v>
          </cell>
          <cell r="M135">
            <v>1</v>
          </cell>
          <cell r="N135">
            <v>2</v>
          </cell>
          <cell r="O135">
            <v>1</v>
          </cell>
          <cell r="P135">
            <v>1</v>
          </cell>
          <cell r="Q135">
            <v>2</v>
          </cell>
          <cell r="R135">
            <v>2</v>
          </cell>
          <cell r="S135">
            <v>2</v>
          </cell>
          <cell r="T135">
            <v>1</v>
          </cell>
          <cell r="U135">
            <v>2</v>
          </cell>
          <cell r="V135" t="str">
            <v>Past H/O of stroke - Old Rt MCA/PCA watershed infarct, COPD</v>
          </cell>
          <cell r="W135">
            <v>10.7</v>
          </cell>
          <cell r="X135">
            <v>33</v>
          </cell>
          <cell r="Y135">
            <v>81.7</v>
          </cell>
          <cell r="Z135">
            <v>11.65</v>
          </cell>
          <cell r="AA135">
            <v>11.1</v>
          </cell>
          <cell r="AB135">
            <v>133</v>
          </cell>
          <cell r="AC135">
            <v>75.599999999999994</v>
          </cell>
          <cell r="AD135">
            <v>36</v>
          </cell>
          <cell r="AE135">
            <v>21.4</v>
          </cell>
          <cell r="AF135">
            <v>107</v>
          </cell>
          <cell r="AG135">
            <v>406</v>
          </cell>
          <cell r="AJ135" t="str">
            <v>Rt MCA/ACA watershed infarct</v>
          </cell>
          <cell r="AK135" t="str">
            <v>A/c NHI in the cortical amd subcortical white matter</v>
          </cell>
          <cell r="AM135">
            <v>9</v>
          </cell>
          <cell r="AN135">
            <v>1</v>
          </cell>
          <cell r="AO135">
            <v>5</v>
          </cell>
          <cell r="AP135">
            <v>3</v>
          </cell>
          <cell r="AQ135">
            <v>5</v>
          </cell>
          <cell r="AS135">
            <v>1</v>
          </cell>
          <cell r="AT135">
            <v>1</v>
          </cell>
          <cell r="AU135">
            <v>2</v>
          </cell>
          <cell r="AZ135">
            <v>0</v>
          </cell>
          <cell r="BA135">
            <v>100</v>
          </cell>
        </row>
        <row r="136">
          <cell r="A136" t="str">
            <v xml:space="preserve">Subhadra Shilimkar </v>
          </cell>
          <cell r="C136">
            <v>130904484</v>
          </cell>
          <cell r="D136">
            <v>74</v>
          </cell>
          <cell r="E136">
            <v>2</v>
          </cell>
          <cell r="F136">
            <v>45151</v>
          </cell>
          <cell r="G136">
            <v>0.89583333333333337</v>
          </cell>
          <cell r="H136">
            <v>45152</v>
          </cell>
          <cell r="I136">
            <v>45163</v>
          </cell>
          <cell r="J136">
            <v>8275694855</v>
          </cell>
          <cell r="L136">
            <v>20</v>
          </cell>
          <cell r="M136">
            <v>1</v>
          </cell>
          <cell r="N136">
            <v>1</v>
          </cell>
          <cell r="O136">
            <v>2</v>
          </cell>
          <cell r="P136">
            <v>2</v>
          </cell>
          <cell r="Q136">
            <v>1</v>
          </cell>
          <cell r="R136">
            <v>2</v>
          </cell>
          <cell r="S136">
            <v>2</v>
          </cell>
          <cell r="T136">
            <v>2</v>
          </cell>
          <cell r="U136">
            <v>2</v>
          </cell>
          <cell r="V136" t="str">
            <v>old stroke in april 2023 lt frontal infarct, mrs 0</v>
          </cell>
          <cell r="W136">
            <v>9.8000000000000007</v>
          </cell>
          <cell r="X136">
            <v>85</v>
          </cell>
          <cell r="Y136">
            <v>29.7</v>
          </cell>
          <cell r="Z136">
            <v>10.99</v>
          </cell>
          <cell r="AA136">
            <v>6.6</v>
          </cell>
          <cell r="AB136">
            <v>153</v>
          </cell>
          <cell r="AC136">
            <v>93</v>
          </cell>
          <cell r="AD136">
            <v>42</v>
          </cell>
          <cell r="AE136">
            <v>17.8</v>
          </cell>
          <cell r="AF136">
            <v>89</v>
          </cell>
          <cell r="AG136">
            <v>2000</v>
          </cell>
          <cell r="AJ136" t="str">
            <v>a/c infarct lt MCA territory</v>
          </cell>
          <cell r="AK136" t="str">
            <v xml:space="preserve">complete occlusion inferior devision M2 of Lt MCA </v>
          </cell>
          <cell r="AM136">
            <v>9</v>
          </cell>
          <cell r="AN136">
            <v>1</v>
          </cell>
          <cell r="AO136">
            <v>5</v>
          </cell>
          <cell r="AP136">
            <v>3</v>
          </cell>
          <cell r="AQ136">
            <v>5</v>
          </cell>
          <cell r="AS136">
            <v>1</v>
          </cell>
          <cell r="AT136">
            <v>1</v>
          </cell>
          <cell r="AU136">
            <v>2</v>
          </cell>
          <cell r="AZ136">
            <v>6</v>
          </cell>
          <cell r="BA136">
            <v>0</v>
          </cell>
        </row>
        <row r="137">
          <cell r="A137" t="str">
            <v>Krushnadev Patil</v>
          </cell>
          <cell r="C137">
            <v>230000045604</v>
          </cell>
          <cell r="D137">
            <v>83</v>
          </cell>
          <cell r="E137">
            <v>1</v>
          </cell>
          <cell r="F137">
            <v>45196</v>
          </cell>
          <cell r="G137">
            <v>0.25</v>
          </cell>
          <cell r="H137">
            <v>45197</v>
          </cell>
          <cell r="I137">
            <v>45210</v>
          </cell>
          <cell r="J137">
            <v>7798907861</v>
          </cell>
          <cell r="L137">
            <v>7</v>
          </cell>
          <cell r="M137">
            <v>2</v>
          </cell>
          <cell r="N137">
            <v>2</v>
          </cell>
          <cell r="O137">
            <v>2</v>
          </cell>
          <cell r="P137">
            <v>2</v>
          </cell>
          <cell r="Q137">
            <v>2</v>
          </cell>
          <cell r="R137">
            <v>2</v>
          </cell>
          <cell r="S137">
            <v>2</v>
          </cell>
          <cell r="T137">
            <v>2</v>
          </cell>
          <cell r="U137">
            <v>2</v>
          </cell>
          <cell r="V137" t="str">
            <v>H/O stroke in 2022 mRS-3</v>
          </cell>
          <cell r="W137">
            <v>13.7</v>
          </cell>
          <cell r="X137">
            <v>40.9</v>
          </cell>
          <cell r="Y137">
            <v>91.5</v>
          </cell>
          <cell r="AB137">
            <v>145</v>
          </cell>
          <cell r="AC137">
            <v>101.4</v>
          </cell>
          <cell r="AD137">
            <v>35</v>
          </cell>
          <cell r="AE137">
            <v>8.6</v>
          </cell>
          <cell r="AF137">
            <v>43</v>
          </cell>
          <cell r="AJ137" t="str">
            <v xml:space="preserve">acute nhi in lt frontal lobe and lt GC region, chronic microhemorrhages in B/L frontal-parieto-occipital region, both thalami, brainstem and rt cerebellar hemisphere. </v>
          </cell>
          <cell r="AK137" t="str">
            <v>Hypodense areaas in lt frontal lobe and lt GC region consistent with infarct old infarct with gliosis in the lt hight frontal lobe. Tiny intimal calcification in arch of ICA's without significant stenosis.</v>
          </cell>
          <cell r="AM137">
            <v>7</v>
          </cell>
          <cell r="AN137">
            <v>1</v>
          </cell>
          <cell r="AO137">
            <v>5</v>
          </cell>
          <cell r="AP137">
            <v>3</v>
          </cell>
          <cell r="AQ137">
            <v>5</v>
          </cell>
          <cell r="AS137">
            <v>1</v>
          </cell>
          <cell r="AT137">
            <v>1</v>
          </cell>
          <cell r="AU137">
            <v>2</v>
          </cell>
          <cell r="AZ137">
            <v>5</v>
          </cell>
          <cell r="BA137">
            <v>5</v>
          </cell>
        </row>
        <row r="138">
          <cell r="A138" t="str">
            <v>Santosh nande</v>
          </cell>
          <cell r="C138">
            <v>200900562</v>
          </cell>
          <cell r="D138">
            <v>55</v>
          </cell>
          <cell r="E138">
            <v>1</v>
          </cell>
          <cell r="F138">
            <v>45180</v>
          </cell>
          <cell r="G138">
            <v>0.27083333333333331</v>
          </cell>
          <cell r="H138">
            <v>45180</v>
          </cell>
          <cell r="I138">
            <v>45204</v>
          </cell>
          <cell r="J138">
            <v>9890854804</v>
          </cell>
          <cell r="L138">
            <v>8</v>
          </cell>
          <cell r="M138">
            <v>1</v>
          </cell>
          <cell r="N138">
            <v>1</v>
          </cell>
          <cell r="O138">
            <v>2</v>
          </cell>
          <cell r="P138">
            <v>2</v>
          </cell>
          <cell r="Q138">
            <v>2</v>
          </cell>
          <cell r="R138">
            <v>2</v>
          </cell>
          <cell r="S138">
            <v>2</v>
          </cell>
          <cell r="T138">
            <v>1</v>
          </cell>
          <cell r="U138">
            <v>2</v>
          </cell>
          <cell r="W138">
            <v>13.2</v>
          </cell>
          <cell r="X138">
            <v>39.4</v>
          </cell>
          <cell r="Y138">
            <v>81.400000000000006</v>
          </cell>
          <cell r="Z138">
            <v>10.9</v>
          </cell>
          <cell r="AA138">
            <v>8.5</v>
          </cell>
          <cell r="AB138">
            <v>96</v>
          </cell>
          <cell r="AC138">
            <v>42.6</v>
          </cell>
          <cell r="AD138">
            <v>33</v>
          </cell>
          <cell r="AE138">
            <v>20.399999999999999</v>
          </cell>
          <cell r="AF138">
            <v>102</v>
          </cell>
          <cell r="AG138">
            <v>213</v>
          </cell>
          <cell r="AJ138" t="str">
            <v>Infarct in rt ftp lobes, Rt centrum semiovale and Rt corona radiata. Rt MCA is poorly opacified from the circle of wills. Mild narrowing in the M1 segment of Rt MCA with marked paucity of cortical branches of rt MCA</v>
          </cell>
          <cell r="AK138" t="str">
            <v>A/C rt M1 occlusion Rt ICA thrombosis cervical, Rt ICA Dissection, Rt MCA appears Narrow</v>
          </cell>
          <cell r="AM138">
            <v>8</v>
          </cell>
          <cell r="AN138">
            <v>1</v>
          </cell>
          <cell r="AO138">
            <v>3</v>
          </cell>
          <cell r="AP138">
            <v>2</v>
          </cell>
          <cell r="AQ138">
            <v>4</v>
          </cell>
          <cell r="AS138">
            <v>1</v>
          </cell>
          <cell r="AT138">
            <v>2</v>
          </cell>
          <cell r="AU138">
            <v>2</v>
          </cell>
          <cell r="AY138">
            <v>1</v>
          </cell>
          <cell r="AZ138">
            <v>4</v>
          </cell>
          <cell r="BA138">
            <v>45</v>
          </cell>
        </row>
        <row r="139">
          <cell r="A139" t="str">
            <v>Ramdas Darwatkar</v>
          </cell>
          <cell r="C139">
            <v>230903211</v>
          </cell>
          <cell r="D139">
            <v>57</v>
          </cell>
          <cell r="E139">
            <v>1</v>
          </cell>
          <cell r="F139">
            <v>45189</v>
          </cell>
          <cell r="G139">
            <v>0.41666666666666669</v>
          </cell>
          <cell r="H139">
            <v>45189</v>
          </cell>
          <cell r="I139">
            <v>45198</v>
          </cell>
          <cell r="L139">
            <v>1</v>
          </cell>
          <cell r="M139">
            <v>1</v>
          </cell>
          <cell r="N139">
            <v>1</v>
          </cell>
          <cell r="O139">
            <v>2</v>
          </cell>
          <cell r="P139">
            <v>2</v>
          </cell>
          <cell r="Q139">
            <v>2</v>
          </cell>
          <cell r="R139">
            <v>2</v>
          </cell>
          <cell r="S139">
            <v>2</v>
          </cell>
          <cell r="T139">
            <v>2</v>
          </cell>
          <cell r="U139">
            <v>2</v>
          </cell>
          <cell r="W139">
            <v>12.3</v>
          </cell>
          <cell r="Z139">
            <v>77.17</v>
          </cell>
          <cell r="AA139">
            <v>8.6</v>
          </cell>
          <cell r="AB139">
            <v>180</v>
          </cell>
          <cell r="AC139">
            <v>64.8</v>
          </cell>
          <cell r="AD139">
            <v>25</v>
          </cell>
          <cell r="AE139">
            <v>90.2</v>
          </cell>
          <cell r="AF139">
            <v>451</v>
          </cell>
          <cell r="AJ139" t="str">
            <v>Lt PCA-MCA watershed infarct</v>
          </cell>
          <cell r="AK139" t="str">
            <v>Lt CCA thrombus causing left MCA 60% stenosis. Lt MCA normal</v>
          </cell>
          <cell r="AM139">
            <v>10</v>
          </cell>
          <cell r="AN139">
            <v>1</v>
          </cell>
          <cell r="AO139">
            <v>4</v>
          </cell>
          <cell r="AP139">
            <v>3</v>
          </cell>
          <cell r="AQ139">
            <v>5</v>
          </cell>
          <cell r="AS139">
            <v>1</v>
          </cell>
          <cell r="AT139">
            <v>1</v>
          </cell>
          <cell r="AU139">
            <v>2</v>
          </cell>
          <cell r="AZ139">
            <v>0</v>
          </cell>
          <cell r="BA139">
            <v>100</v>
          </cell>
        </row>
        <row r="140">
          <cell r="A140" t="str">
            <v>Ashok choudhari</v>
          </cell>
          <cell r="C140">
            <v>211003182</v>
          </cell>
          <cell r="D140">
            <v>61</v>
          </cell>
          <cell r="E140">
            <v>1</v>
          </cell>
          <cell r="F140">
            <v>45181</v>
          </cell>
          <cell r="G140">
            <v>0.79166666666666663</v>
          </cell>
          <cell r="H140">
            <v>45181</v>
          </cell>
          <cell r="J140">
            <v>9767601653</v>
          </cell>
          <cell r="L140">
            <v>1</v>
          </cell>
          <cell r="M140">
            <v>1</v>
          </cell>
          <cell r="N140">
            <v>2</v>
          </cell>
          <cell r="O140">
            <v>1</v>
          </cell>
          <cell r="P140">
            <v>2</v>
          </cell>
          <cell r="Q140">
            <v>2</v>
          </cell>
          <cell r="R140">
            <v>2</v>
          </cell>
          <cell r="S140">
            <v>2</v>
          </cell>
          <cell r="T140">
            <v>1</v>
          </cell>
          <cell r="U140">
            <v>2</v>
          </cell>
          <cell r="V140" t="str">
            <v>old cva 3yrs back-thrombolysed, on warfarin 3mg od</v>
          </cell>
          <cell r="W140">
            <v>12.2</v>
          </cell>
          <cell r="X140">
            <v>377</v>
          </cell>
          <cell r="Y140">
            <v>79.7</v>
          </cell>
          <cell r="Z140">
            <v>10.33</v>
          </cell>
          <cell r="AA140">
            <v>6.7</v>
          </cell>
          <cell r="AB140">
            <v>207</v>
          </cell>
          <cell r="AC140">
            <v>124</v>
          </cell>
          <cell r="AD140">
            <v>47</v>
          </cell>
          <cell r="AF140">
            <v>180</v>
          </cell>
          <cell r="AG140">
            <v>453</v>
          </cell>
          <cell r="AJ140" t="str">
            <v xml:space="preserve">acute nhi in left precentral gyrus complete signal loss of rt ICA from its origin up till the terminal segment </v>
          </cell>
          <cell r="AK140" t="str">
            <v>pending</v>
          </cell>
          <cell r="AM140">
            <v>9</v>
          </cell>
          <cell r="AN140">
            <v>1</v>
          </cell>
          <cell r="AO140">
            <v>3</v>
          </cell>
          <cell r="AP140">
            <v>3</v>
          </cell>
          <cell r="AQ140">
            <v>5</v>
          </cell>
          <cell r="AZ140">
            <v>0</v>
          </cell>
          <cell r="BA140">
            <v>100</v>
          </cell>
        </row>
        <row r="141">
          <cell r="A141" t="str">
            <v xml:space="preserve">Hira salve </v>
          </cell>
          <cell r="C141">
            <v>230802743</v>
          </cell>
          <cell r="D141">
            <v>82</v>
          </cell>
          <cell r="E141">
            <v>1</v>
          </cell>
          <cell r="F141">
            <v>45156</v>
          </cell>
          <cell r="G141">
            <v>0.58333333333333337</v>
          </cell>
          <cell r="H141">
            <v>45157</v>
          </cell>
          <cell r="I141">
            <v>45161</v>
          </cell>
          <cell r="J141">
            <v>9881509004</v>
          </cell>
          <cell r="L141">
            <v>13</v>
          </cell>
          <cell r="M141">
            <v>1</v>
          </cell>
          <cell r="N141">
            <v>2</v>
          </cell>
          <cell r="O141">
            <v>1</v>
          </cell>
          <cell r="P141">
            <v>2</v>
          </cell>
          <cell r="Q141">
            <v>1</v>
          </cell>
          <cell r="R141">
            <v>2</v>
          </cell>
          <cell r="S141">
            <v>2</v>
          </cell>
          <cell r="T141">
            <v>2</v>
          </cell>
          <cell r="U141">
            <v>2</v>
          </cell>
          <cell r="W141">
            <v>17.8</v>
          </cell>
          <cell r="X141">
            <v>51.9</v>
          </cell>
          <cell r="Y141">
            <v>89.8</v>
          </cell>
          <cell r="Z141">
            <v>34.979999999999997</v>
          </cell>
          <cell r="AA141">
            <v>7.7</v>
          </cell>
          <cell r="AB141">
            <v>139</v>
          </cell>
          <cell r="AC141">
            <v>88</v>
          </cell>
          <cell r="AD141">
            <v>35</v>
          </cell>
          <cell r="AF141">
            <v>80</v>
          </cell>
          <cell r="AG141">
            <v>149</v>
          </cell>
          <cell r="AK141" t="str">
            <v>Focal stenosis extending for a length of 4.1mm, M1 segment of Rt MCA. Paucity of cortical branches of Rt mca. Calcified atherosclerotic plaques in cavernous and supra clinoid segment of both ICA. Multiple small atherosclerotic plaques in RT mca, RT ICA causing 60-70% narrowing</v>
          </cell>
          <cell r="AM141">
            <v>7</v>
          </cell>
          <cell r="AN141">
            <v>2</v>
          </cell>
          <cell r="AO141">
            <v>3</v>
          </cell>
          <cell r="AP141">
            <v>2</v>
          </cell>
          <cell r="AQ141">
            <v>4</v>
          </cell>
          <cell r="AS141">
            <v>1</v>
          </cell>
          <cell r="AZ141">
            <v>2</v>
          </cell>
          <cell r="BA141">
            <v>85</v>
          </cell>
        </row>
        <row r="142">
          <cell r="A142" t="str">
            <v xml:space="preserve">sainath vakode </v>
          </cell>
          <cell r="C142">
            <v>230803603</v>
          </cell>
          <cell r="D142">
            <v>33</v>
          </cell>
          <cell r="E142">
            <v>1</v>
          </cell>
          <cell r="F142">
            <v>45161</v>
          </cell>
          <cell r="G142">
            <v>0.9375</v>
          </cell>
          <cell r="H142">
            <v>45161</v>
          </cell>
          <cell r="I142">
            <v>45167</v>
          </cell>
          <cell r="J142">
            <v>9637311461</v>
          </cell>
          <cell r="L142">
            <v>9</v>
          </cell>
          <cell r="M142">
            <v>1</v>
          </cell>
          <cell r="N142">
            <v>2</v>
          </cell>
          <cell r="O142">
            <v>1</v>
          </cell>
          <cell r="P142">
            <v>1</v>
          </cell>
          <cell r="Q142">
            <v>2</v>
          </cell>
          <cell r="R142">
            <v>2</v>
          </cell>
          <cell r="S142">
            <v>2</v>
          </cell>
          <cell r="T142">
            <v>1</v>
          </cell>
          <cell r="U142">
            <v>2</v>
          </cell>
          <cell r="V142" t="str">
            <v>thrombolysed with streptokinase 10 yrs ago</v>
          </cell>
          <cell r="W142">
            <v>15.9</v>
          </cell>
          <cell r="X142">
            <v>49.5</v>
          </cell>
          <cell r="Y142">
            <v>90</v>
          </cell>
          <cell r="Z142">
            <v>39.44</v>
          </cell>
          <cell r="AA142">
            <v>5.9</v>
          </cell>
          <cell r="AB142">
            <v>167</v>
          </cell>
          <cell r="AC142">
            <v>107</v>
          </cell>
          <cell r="AD142">
            <v>31</v>
          </cell>
          <cell r="AF142">
            <v>142</v>
          </cell>
          <cell r="AG142">
            <v>207</v>
          </cell>
          <cell r="AM142">
            <v>10</v>
          </cell>
          <cell r="AN142">
            <v>1</v>
          </cell>
          <cell r="AO142">
            <v>3</v>
          </cell>
          <cell r="AP142">
            <v>3</v>
          </cell>
          <cell r="AQ142">
            <v>4</v>
          </cell>
          <cell r="AS142">
            <v>1</v>
          </cell>
          <cell r="AU142">
            <v>1</v>
          </cell>
          <cell r="AV142">
            <v>2</v>
          </cell>
          <cell r="AZ142">
            <v>1</v>
          </cell>
          <cell r="BA142">
            <v>95</v>
          </cell>
        </row>
        <row r="143">
          <cell r="A143" t="str">
            <v>Shinde Shivram</v>
          </cell>
          <cell r="C143">
            <v>230000052463</v>
          </cell>
          <cell r="D143">
            <v>77</v>
          </cell>
          <cell r="E143">
            <v>1</v>
          </cell>
          <cell r="F143">
            <v>45217</v>
          </cell>
          <cell r="G143">
            <v>8.3333333333333329E-2</v>
          </cell>
          <cell r="H143">
            <v>45217</v>
          </cell>
          <cell r="I143">
            <v>45220</v>
          </cell>
          <cell r="J143">
            <v>9922192823</v>
          </cell>
          <cell r="K143">
            <v>9665519418</v>
          </cell>
          <cell r="L143">
            <v>3</v>
          </cell>
          <cell r="M143">
            <v>2</v>
          </cell>
          <cell r="N143">
            <v>1</v>
          </cell>
          <cell r="O143">
            <v>2</v>
          </cell>
          <cell r="P143">
            <v>2</v>
          </cell>
          <cell r="Q143">
            <v>2</v>
          </cell>
          <cell r="R143">
            <v>2</v>
          </cell>
          <cell r="S143">
            <v>2</v>
          </cell>
          <cell r="T143">
            <v>2</v>
          </cell>
          <cell r="U143">
            <v>2</v>
          </cell>
          <cell r="W143">
            <v>12.6</v>
          </cell>
          <cell r="X143">
            <v>39.4</v>
          </cell>
          <cell r="Y143">
            <v>88.8</v>
          </cell>
          <cell r="Z143">
            <v>13.15</v>
          </cell>
          <cell r="AA143">
            <v>7.9</v>
          </cell>
          <cell r="AB143">
            <v>172</v>
          </cell>
          <cell r="AC143">
            <v>114</v>
          </cell>
          <cell r="AD143">
            <v>38</v>
          </cell>
          <cell r="AE143">
            <v>20</v>
          </cell>
          <cell r="AF143">
            <v>100</v>
          </cell>
          <cell r="AG143">
            <v>208</v>
          </cell>
          <cell r="AH143" t="str">
            <v>Creatinine-1.5</v>
          </cell>
          <cell r="AJ143" t="str">
            <v>Rt Corona radiata infarct and left centrum semiovale acute infarct</v>
          </cell>
          <cell r="AK143" t="str">
            <v>normal</v>
          </cell>
          <cell r="AS143">
            <v>1</v>
          </cell>
          <cell r="AT143">
            <v>1</v>
          </cell>
          <cell r="AU143">
            <v>2</v>
          </cell>
          <cell r="AZ143">
            <v>2</v>
          </cell>
          <cell r="BA143">
            <v>80</v>
          </cell>
        </row>
        <row r="144">
          <cell r="A144" t="str">
            <v xml:space="preserve">Gopal Jadyal </v>
          </cell>
          <cell r="C144">
            <v>230000005153</v>
          </cell>
          <cell r="D144">
            <v>59</v>
          </cell>
          <cell r="E144">
            <v>1</v>
          </cell>
          <cell r="F144">
            <v>45200</v>
          </cell>
          <cell r="G144">
            <v>0.45833333333333331</v>
          </cell>
          <cell r="H144">
            <v>45204</v>
          </cell>
          <cell r="J144">
            <v>7578675134</v>
          </cell>
          <cell r="K144">
            <v>8668255674</v>
          </cell>
          <cell r="L144">
            <v>9</v>
          </cell>
          <cell r="M144">
            <v>1</v>
          </cell>
          <cell r="N144">
            <v>1</v>
          </cell>
          <cell r="O144">
            <v>2</v>
          </cell>
          <cell r="P144">
            <v>2</v>
          </cell>
          <cell r="Q144">
            <v>2</v>
          </cell>
          <cell r="R144">
            <v>2</v>
          </cell>
          <cell r="S144">
            <v>2</v>
          </cell>
          <cell r="T144">
            <v>2</v>
          </cell>
          <cell r="U144">
            <v>2</v>
          </cell>
          <cell r="V144" t="str">
            <v xml:space="preserve">Operated inguilinal hernia (3/12/2022) </v>
          </cell>
          <cell r="W144">
            <v>13</v>
          </cell>
          <cell r="Z144">
            <v>23.6</v>
          </cell>
          <cell r="AB144">
            <v>134</v>
          </cell>
          <cell r="AC144">
            <v>89.4</v>
          </cell>
          <cell r="AD144">
            <v>28</v>
          </cell>
          <cell r="AE144">
            <v>16.600000000000001</v>
          </cell>
          <cell r="AF144">
            <v>83</v>
          </cell>
          <cell r="AG144">
            <v>148</v>
          </cell>
          <cell r="AJ144" t="str">
            <v xml:space="preserve">Tiny lacunar infarct in RT Ganglio Capsular region </v>
          </cell>
          <cell r="AS144">
            <v>1</v>
          </cell>
          <cell r="AT144">
            <v>1</v>
          </cell>
          <cell r="AU144">
            <v>2</v>
          </cell>
        </row>
        <row r="145">
          <cell r="A145" t="str">
            <v>Mohan kadam</v>
          </cell>
          <cell r="C145">
            <v>230000060090</v>
          </cell>
          <cell r="D145">
            <v>62</v>
          </cell>
          <cell r="E145">
            <v>1</v>
          </cell>
          <cell r="F145">
            <v>45243</v>
          </cell>
          <cell r="H145">
            <v>45243</v>
          </cell>
          <cell r="I145">
            <v>45245</v>
          </cell>
          <cell r="J145">
            <v>9158221010</v>
          </cell>
          <cell r="L145">
            <v>2</v>
          </cell>
          <cell r="M145">
            <v>2</v>
          </cell>
          <cell r="N145">
            <v>1</v>
          </cell>
          <cell r="O145">
            <v>2</v>
          </cell>
          <cell r="P145">
            <v>2</v>
          </cell>
          <cell r="Q145">
            <v>2</v>
          </cell>
          <cell r="R145">
            <v>2</v>
          </cell>
          <cell r="S145">
            <v>2</v>
          </cell>
          <cell r="T145">
            <v>2</v>
          </cell>
          <cell r="U145">
            <v>2</v>
          </cell>
          <cell r="W145">
            <v>13.4</v>
          </cell>
          <cell r="Z145">
            <v>138</v>
          </cell>
          <cell r="AA145">
            <v>7.2</v>
          </cell>
          <cell r="AG145">
            <v>148</v>
          </cell>
          <cell r="AJ145" t="str">
            <v>Acute rt fronto parietal infarct, Left CCA occlusion</v>
          </cell>
          <cell r="AS145">
            <v>1</v>
          </cell>
          <cell r="AT145">
            <v>1</v>
          </cell>
          <cell r="AU145">
            <v>2</v>
          </cell>
        </row>
        <row r="146">
          <cell r="A146" t="str">
            <v>Ranbhise Usha</v>
          </cell>
          <cell r="C146">
            <v>230000060554</v>
          </cell>
          <cell r="D146">
            <v>76</v>
          </cell>
          <cell r="E146">
            <v>2</v>
          </cell>
          <cell r="H146">
            <v>45245</v>
          </cell>
          <cell r="I146">
            <v>45250</v>
          </cell>
          <cell r="J146">
            <v>7387606981</v>
          </cell>
          <cell r="L146">
            <v>4</v>
          </cell>
          <cell r="M146">
            <v>1</v>
          </cell>
          <cell r="N146">
            <v>2</v>
          </cell>
          <cell r="O146">
            <v>2</v>
          </cell>
          <cell r="P146">
            <v>2</v>
          </cell>
          <cell r="Q146">
            <v>2</v>
          </cell>
          <cell r="R146">
            <v>2</v>
          </cell>
          <cell r="S146">
            <v>2</v>
          </cell>
          <cell r="T146">
            <v>2</v>
          </cell>
          <cell r="U146">
            <v>2</v>
          </cell>
          <cell r="V146" t="str">
            <v>Past H/o Stroke, Vit D deficinecy</v>
          </cell>
          <cell r="W146">
            <v>11.7</v>
          </cell>
          <cell r="X146">
            <v>37.200000000000003</v>
          </cell>
          <cell r="Y146">
            <v>75.900000000000006</v>
          </cell>
          <cell r="Z146">
            <v>14.48</v>
          </cell>
          <cell r="AG146">
            <v>346</v>
          </cell>
          <cell r="AJ146" t="str">
            <v xml:space="preserve">acute NHI in left frontal corpus collateral </v>
          </cell>
          <cell r="AS146">
            <v>1</v>
          </cell>
          <cell r="AT146">
            <v>2</v>
          </cell>
          <cell r="AU146">
            <v>1</v>
          </cell>
          <cell r="AV146">
            <v>1</v>
          </cell>
        </row>
        <row r="147">
          <cell r="A147" t="str">
            <v>Ruben Gaikwad</v>
          </cell>
          <cell r="C147">
            <v>230000052678</v>
          </cell>
          <cell r="D147">
            <v>72</v>
          </cell>
          <cell r="E147">
            <v>1</v>
          </cell>
          <cell r="F147">
            <v>45217</v>
          </cell>
          <cell r="G147">
            <v>0.75</v>
          </cell>
          <cell r="H147">
            <v>45217</v>
          </cell>
          <cell r="I147">
            <v>45219</v>
          </cell>
          <cell r="J147">
            <v>8087608216</v>
          </cell>
          <cell r="L147">
            <v>5</v>
          </cell>
          <cell r="M147">
            <v>1</v>
          </cell>
          <cell r="N147">
            <v>1</v>
          </cell>
          <cell r="O147">
            <v>2</v>
          </cell>
          <cell r="P147">
            <v>2</v>
          </cell>
          <cell r="Q147">
            <v>2</v>
          </cell>
          <cell r="R147">
            <v>2</v>
          </cell>
          <cell r="S147">
            <v>2</v>
          </cell>
          <cell r="T147">
            <v>2</v>
          </cell>
          <cell r="U147">
            <v>2</v>
          </cell>
          <cell r="W147">
            <v>12.4</v>
          </cell>
          <cell r="X147">
            <v>37.700000000000003</v>
          </cell>
          <cell r="Y147">
            <v>90.7</v>
          </cell>
          <cell r="Z147">
            <v>21.39</v>
          </cell>
          <cell r="AA147">
            <v>5.8</v>
          </cell>
          <cell r="AB147">
            <v>97</v>
          </cell>
          <cell r="AC147">
            <v>57.8</v>
          </cell>
          <cell r="AD147">
            <v>20</v>
          </cell>
          <cell r="AE147">
            <v>19.2</v>
          </cell>
          <cell r="AF147">
            <v>96</v>
          </cell>
          <cell r="AG147">
            <v>454</v>
          </cell>
          <cell r="AJ147" t="str">
            <v xml:space="preserve">Left thalamus acute infarct </v>
          </cell>
          <cell r="AK147" t="str">
            <v>Dilated ventricular systemic qith widening of the sylvian fissures and cortical sulcal spaces and crowding at the vertex (Evans index-0.3). Ventricular dilatation appears disproportionate to atrophy. suggestive of pressure hydrocephalus</v>
          </cell>
          <cell r="AZ147">
            <v>2</v>
          </cell>
          <cell r="BA147">
            <v>80</v>
          </cell>
        </row>
        <row r="148">
          <cell r="A148" t="str">
            <v>Gund Pratibha</v>
          </cell>
          <cell r="C148">
            <v>120805543</v>
          </cell>
          <cell r="D148">
            <v>63</v>
          </cell>
          <cell r="E148">
            <v>2</v>
          </cell>
          <cell r="F148">
            <v>45208</v>
          </cell>
          <cell r="G148">
            <v>0.6875</v>
          </cell>
          <cell r="H148">
            <v>45209</v>
          </cell>
          <cell r="I148">
            <v>45210</v>
          </cell>
          <cell r="J148">
            <v>7083569288</v>
          </cell>
          <cell r="K148">
            <v>8483834992</v>
          </cell>
          <cell r="L148">
            <v>5</v>
          </cell>
          <cell r="M148">
            <v>1</v>
          </cell>
          <cell r="N148">
            <v>2</v>
          </cell>
          <cell r="O148">
            <v>2</v>
          </cell>
          <cell r="P148">
            <v>2</v>
          </cell>
          <cell r="Q148">
            <v>2</v>
          </cell>
          <cell r="R148">
            <v>2</v>
          </cell>
          <cell r="S148">
            <v>2</v>
          </cell>
          <cell r="T148">
            <v>2</v>
          </cell>
          <cell r="U148">
            <v>2</v>
          </cell>
          <cell r="W148">
            <v>12.2</v>
          </cell>
          <cell r="X148">
            <v>38.5</v>
          </cell>
          <cell r="Y148">
            <v>91.3</v>
          </cell>
          <cell r="Z148">
            <v>12.37</v>
          </cell>
          <cell r="AA148">
            <v>6.1</v>
          </cell>
          <cell r="AB148">
            <v>221</v>
          </cell>
          <cell r="AC148">
            <v>115.4</v>
          </cell>
          <cell r="AD148">
            <v>41</v>
          </cell>
          <cell r="AE148">
            <v>54.6</v>
          </cell>
          <cell r="AF148">
            <v>273</v>
          </cell>
          <cell r="AJ148" t="str">
            <v>Right Corona radiata infarct and in Rt thalamus</v>
          </cell>
          <cell r="AK148" t="str">
            <v>normal</v>
          </cell>
          <cell r="AS148">
            <v>1</v>
          </cell>
          <cell r="AT148">
            <v>1</v>
          </cell>
          <cell r="AU148">
            <v>2</v>
          </cell>
        </row>
        <row r="149">
          <cell r="A149" t="str">
            <v>Navghane Mahadev</v>
          </cell>
          <cell r="C149">
            <v>200356230</v>
          </cell>
          <cell r="D149">
            <v>48</v>
          </cell>
          <cell r="E149">
            <v>1</v>
          </cell>
          <cell r="F149">
            <v>45229</v>
          </cell>
          <cell r="G149">
            <v>0.58333333333333337</v>
          </cell>
          <cell r="H149">
            <v>45230</v>
          </cell>
          <cell r="I149">
            <v>45233</v>
          </cell>
          <cell r="J149">
            <v>8888331366</v>
          </cell>
          <cell r="L149">
            <v>2</v>
          </cell>
          <cell r="M149">
            <v>1</v>
          </cell>
          <cell r="N149">
            <v>1</v>
          </cell>
          <cell r="O149">
            <v>1</v>
          </cell>
          <cell r="P149">
            <v>2</v>
          </cell>
          <cell r="Q149">
            <v>1</v>
          </cell>
          <cell r="R149">
            <v>2</v>
          </cell>
          <cell r="S149">
            <v>2</v>
          </cell>
          <cell r="T149">
            <v>2</v>
          </cell>
          <cell r="U149">
            <v>2</v>
          </cell>
          <cell r="W149">
            <v>15.8</v>
          </cell>
          <cell r="X149">
            <v>48.2</v>
          </cell>
          <cell r="AB149">
            <v>200</v>
          </cell>
          <cell r="AC149">
            <v>95.6</v>
          </cell>
          <cell r="AD149">
            <v>36</v>
          </cell>
          <cell r="AE149">
            <v>68.400000000000006</v>
          </cell>
          <cell r="AF149">
            <v>342</v>
          </cell>
          <cell r="AS149">
            <v>1</v>
          </cell>
          <cell r="AT149">
            <v>1</v>
          </cell>
          <cell r="AU149">
            <v>2</v>
          </cell>
        </row>
        <row r="150">
          <cell r="A150" t="str">
            <v>Pawar Uttam</v>
          </cell>
          <cell r="C150">
            <v>230000072703</v>
          </cell>
          <cell r="D150">
            <v>67</v>
          </cell>
          <cell r="E150">
            <v>1</v>
          </cell>
          <cell r="F150">
            <v>45279</v>
          </cell>
          <cell r="G150">
            <v>0.375</v>
          </cell>
          <cell r="H150">
            <v>45279</v>
          </cell>
          <cell r="I150">
            <v>45282</v>
          </cell>
          <cell r="J150">
            <v>7661974723</v>
          </cell>
          <cell r="L150">
            <v>3</v>
          </cell>
          <cell r="M150">
            <v>1</v>
          </cell>
          <cell r="N150">
            <v>1</v>
          </cell>
          <cell r="O150">
            <v>2</v>
          </cell>
          <cell r="P150">
            <v>2</v>
          </cell>
          <cell r="Q150">
            <v>1</v>
          </cell>
          <cell r="R150">
            <v>2</v>
          </cell>
          <cell r="S150">
            <v>2</v>
          </cell>
          <cell r="T150">
            <v>2</v>
          </cell>
          <cell r="U150">
            <v>2</v>
          </cell>
          <cell r="W150">
            <v>14.2</v>
          </cell>
          <cell r="X150">
            <v>43.3</v>
          </cell>
          <cell r="Y150">
            <v>91.4</v>
          </cell>
          <cell r="Z150">
            <v>15.31</v>
          </cell>
          <cell r="AA150">
            <v>8.1</v>
          </cell>
          <cell r="AG150">
            <v>294</v>
          </cell>
          <cell r="AJ150" t="str">
            <v>Rt corona radiata infarct</v>
          </cell>
          <cell r="AK150" t="str">
            <v>normal- plaques at B/L carotid bifurcation, origin of B/L ICAs, cavernous and supraclinoid segment of B/L ICA causing mild luminal compromise</v>
          </cell>
          <cell r="AS150">
            <v>1</v>
          </cell>
          <cell r="AT150">
            <v>1</v>
          </cell>
          <cell r="AU150">
            <v>2</v>
          </cell>
        </row>
        <row r="151">
          <cell r="A151" t="str">
            <v>Radha Kisan Tolaji Bhojane</v>
          </cell>
          <cell r="C151">
            <v>230000068910</v>
          </cell>
          <cell r="D151">
            <v>75</v>
          </cell>
          <cell r="E151">
            <v>1</v>
          </cell>
          <cell r="F151">
            <v>45269</v>
          </cell>
          <cell r="G151">
            <v>0.625</v>
          </cell>
          <cell r="H151">
            <v>45269</v>
          </cell>
          <cell r="I151">
            <v>45270</v>
          </cell>
          <cell r="J151">
            <v>9604558802</v>
          </cell>
          <cell r="L151">
            <v>20</v>
          </cell>
          <cell r="M151">
            <v>2</v>
          </cell>
          <cell r="N151">
            <v>2</v>
          </cell>
          <cell r="O151">
            <v>2</v>
          </cell>
          <cell r="P151">
            <v>2</v>
          </cell>
          <cell r="Q151">
            <v>2</v>
          </cell>
          <cell r="R151">
            <v>2</v>
          </cell>
          <cell r="S151">
            <v>2</v>
          </cell>
          <cell r="T151">
            <v>2</v>
          </cell>
          <cell r="U151">
            <v>2</v>
          </cell>
          <cell r="W151">
            <v>13.9</v>
          </cell>
          <cell r="X151">
            <v>43.1</v>
          </cell>
          <cell r="Y151">
            <v>88.6</v>
          </cell>
          <cell r="Z151">
            <v>14.73</v>
          </cell>
          <cell r="AA151">
            <v>6.4</v>
          </cell>
          <cell r="AB151">
            <v>220</v>
          </cell>
          <cell r="AC151">
            <v>146</v>
          </cell>
          <cell r="AD151">
            <v>58</v>
          </cell>
          <cell r="AE151">
            <v>16</v>
          </cell>
          <cell r="AF151">
            <v>80</v>
          </cell>
          <cell r="AG151">
            <v>1613</v>
          </cell>
          <cell r="AJ151" t="str">
            <v>Acute NHI in lt frontal parietal region, Lt centrum Semiovale and in Lt posterior temporal region, focal thrombosis in lt ECA</v>
          </cell>
          <cell r="AK151" t="str">
            <v>Significant focal stenosis in the lt ICA just disctal to the bifurcation</v>
          </cell>
          <cell r="AS151">
            <v>1</v>
          </cell>
          <cell r="AT151">
            <v>2</v>
          </cell>
          <cell r="AU151">
            <v>2</v>
          </cell>
        </row>
        <row r="152">
          <cell r="A152" t="str">
            <v>Vinayak Parge</v>
          </cell>
          <cell r="C152">
            <v>230000063435</v>
          </cell>
          <cell r="D152">
            <v>81</v>
          </cell>
          <cell r="E152">
            <v>1</v>
          </cell>
          <cell r="F152">
            <v>45253</v>
          </cell>
          <cell r="H152">
            <v>45253</v>
          </cell>
          <cell r="L152">
            <v>2</v>
          </cell>
          <cell r="M152">
            <v>2</v>
          </cell>
          <cell r="N152">
            <v>2</v>
          </cell>
          <cell r="O152">
            <v>2</v>
          </cell>
          <cell r="P152">
            <v>2</v>
          </cell>
          <cell r="Q152">
            <v>2</v>
          </cell>
          <cell r="R152">
            <v>2</v>
          </cell>
          <cell r="S152">
            <v>2</v>
          </cell>
          <cell r="T152">
            <v>2</v>
          </cell>
          <cell r="U152">
            <v>2</v>
          </cell>
          <cell r="W152">
            <v>11.6</v>
          </cell>
          <cell r="X152">
            <v>35.1</v>
          </cell>
          <cell r="Y152">
            <v>87.6</v>
          </cell>
          <cell r="AB152">
            <v>173</v>
          </cell>
          <cell r="AC152">
            <v>112</v>
          </cell>
          <cell r="AD152">
            <v>49</v>
          </cell>
          <cell r="AE152">
            <v>12</v>
          </cell>
          <cell r="AF152">
            <v>60</v>
          </cell>
          <cell r="AJ152" t="str">
            <v>Lt MCA-PCA watershed infarct and lt internal watershed infarct</v>
          </cell>
          <cell r="AK152" t="str">
            <v>Lt vertebral artery origin stenosis</v>
          </cell>
          <cell r="AZ152">
            <v>2</v>
          </cell>
          <cell r="BA152">
            <v>65</v>
          </cell>
        </row>
        <row r="153">
          <cell r="A153" t="str">
            <v>Vimal Thorve</v>
          </cell>
          <cell r="C153">
            <v>230008777</v>
          </cell>
          <cell r="D153">
            <v>71</v>
          </cell>
          <cell r="E153">
            <v>2</v>
          </cell>
          <cell r="F153">
            <v>45253</v>
          </cell>
          <cell r="G153">
            <v>0.95833333333333337</v>
          </cell>
          <cell r="H153">
            <v>45254</v>
          </cell>
          <cell r="J153">
            <v>8087680269</v>
          </cell>
          <cell r="K153">
            <v>9850997793</v>
          </cell>
          <cell r="L153">
            <v>10</v>
          </cell>
          <cell r="M153">
            <v>2</v>
          </cell>
          <cell r="N153">
            <v>2</v>
          </cell>
          <cell r="O153">
            <v>2</v>
          </cell>
          <cell r="P153">
            <v>2</v>
          </cell>
          <cell r="Q153">
            <v>2</v>
          </cell>
          <cell r="R153">
            <v>2</v>
          </cell>
          <cell r="S153">
            <v>2</v>
          </cell>
          <cell r="T153">
            <v>2</v>
          </cell>
          <cell r="U153">
            <v>2</v>
          </cell>
          <cell r="V153" t="str">
            <v>Old stroke 6 years  back LT PCA infarct</v>
          </cell>
          <cell r="W153">
            <v>11.4</v>
          </cell>
          <cell r="X153">
            <v>35</v>
          </cell>
          <cell r="Z153">
            <v>25.59</v>
          </cell>
          <cell r="AA153">
            <v>5.5</v>
          </cell>
          <cell r="AB153">
            <v>160</v>
          </cell>
          <cell r="AC153">
            <v>83.2</v>
          </cell>
          <cell r="AD153">
            <v>37</v>
          </cell>
          <cell r="AE153">
            <v>39.799999999999997</v>
          </cell>
          <cell r="AF153">
            <v>199</v>
          </cell>
          <cell r="AJ153" t="str">
            <v>Rt M1 infarct</v>
          </cell>
          <cell r="AK153" t="str">
            <v>Rt M1 occlusion</v>
          </cell>
          <cell r="AZ153">
            <v>6</v>
          </cell>
          <cell r="BA153">
            <v>0</v>
          </cell>
        </row>
        <row r="154">
          <cell r="A154" t="str">
            <v>Mahavar Bappa</v>
          </cell>
          <cell r="C154">
            <v>230902350</v>
          </cell>
          <cell r="D154">
            <v>50</v>
          </cell>
          <cell r="E154">
            <v>1</v>
          </cell>
          <cell r="F154">
            <v>45183</v>
          </cell>
          <cell r="G154">
            <v>0.85416666666666663</v>
          </cell>
          <cell r="H154">
            <v>45184</v>
          </cell>
          <cell r="I154">
            <v>45191</v>
          </cell>
          <cell r="J154">
            <v>8855061463</v>
          </cell>
          <cell r="K154">
            <v>8010603917</v>
          </cell>
          <cell r="L154">
            <v>13</v>
          </cell>
          <cell r="M154">
            <v>1</v>
          </cell>
          <cell r="N154">
            <v>2</v>
          </cell>
          <cell r="O154">
            <v>1</v>
          </cell>
          <cell r="P154">
            <v>1</v>
          </cell>
          <cell r="Q154">
            <v>1</v>
          </cell>
          <cell r="R154">
            <v>2</v>
          </cell>
          <cell r="S154">
            <v>2</v>
          </cell>
          <cell r="T154">
            <v>2</v>
          </cell>
          <cell r="U154">
            <v>2</v>
          </cell>
          <cell r="V154" t="str">
            <v>Anemia</v>
          </cell>
          <cell r="W154">
            <v>11.3</v>
          </cell>
          <cell r="X154">
            <v>32</v>
          </cell>
          <cell r="Y154">
            <v>79</v>
          </cell>
          <cell r="Z154">
            <v>44.6</v>
          </cell>
          <cell r="AA154">
            <v>5.3</v>
          </cell>
          <cell r="AB154">
            <v>195</v>
          </cell>
          <cell r="AC154">
            <v>116</v>
          </cell>
          <cell r="AD154">
            <v>46</v>
          </cell>
          <cell r="AE154">
            <v>32</v>
          </cell>
          <cell r="AF154">
            <v>162</v>
          </cell>
          <cell r="AG154">
            <v>148</v>
          </cell>
          <cell r="AJ154" t="str">
            <v>Rt MCA infarct</v>
          </cell>
          <cell r="AK154" t="str">
            <v>RT M1 occlusion, Rt ICA conccentric plaque, RT A1 aneurysm. Thrombosis in rt MCA distal to its origin. Eccentric thrombus in rt carotid bulb. saccular aneurysm noted at junction in left ACA and Acpm measuring 6x6.7x5.4</v>
          </cell>
          <cell r="AM154">
            <v>8</v>
          </cell>
          <cell r="AN154">
            <v>1</v>
          </cell>
          <cell r="AO154">
            <v>2</v>
          </cell>
          <cell r="AP154">
            <v>2</v>
          </cell>
          <cell r="AQ154">
            <v>4</v>
          </cell>
          <cell r="AS154">
            <v>1</v>
          </cell>
          <cell r="AT154">
            <v>1</v>
          </cell>
          <cell r="AU154">
            <v>2</v>
          </cell>
          <cell r="AZ154">
            <v>0</v>
          </cell>
          <cell r="BA154">
            <v>100</v>
          </cell>
        </row>
        <row r="155">
          <cell r="A155" t="str">
            <v>Balu Chorghe, 230000052046</v>
          </cell>
          <cell r="C155">
            <v>231002099</v>
          </cell>
          <cell r="D155">
            <v>57</v>
          </cell>
          <cell r="E155">
            <v>1</v>
          </cell>
          <cell r="F155">
            <v>45216</v>
          </cell>
          <cell r="G155">
            <v>0.27083333333333331</v>
          </cell>
          <cell r="H155">
            <v>45216</v>
          </cell>
          <cell r="J155">
            <v>9767246428</v>
          </cell>
          <cell r="L155">
            <v>6</v>
          </cell>
          <cell r="M155">
            <v>2</v>
          </cell>
          <cell r="N155">
            <v>2</v>
          </cell>
          <cell r="O155">
            <v>1</v>
          </cell>
          <cell r="P155">
            <v>1</v>
          </cell>
          <cell r="Q155">
            <v>1</v>
          </cell>
          <cell r="R155">
            <v>2</v>
          </cell>
          <cell r="S155">
            <v>2</v>
          </cell>
          <cell r="T155">
            <v>2</v>
          </cell>
          <cell r="U155">
            <v>2</v>
          </cell>
          <cell r="W155">
            <v>10.7</v>
          </cell>
          <cell r="X155">
            <v>35.299999999999997</v>
          </cell>
          <cell r="Y155">
            <v>75.2</v>
          </cell>
          <cell r="Z155">
            <v>36.47</v>
          </cell>
          <cell r="AA155">
            <v>6.4</v>
          </cell>
          <cell r="AB155">
            <v>146</v>
          </cell>
          <cell r="AC155">
            <v>88</v>
          </cell>
          <cell r="AD155">
            <v>38</v>
          </cell>
          <cell r="AE155">
            <v>20</v>
          </cell>
          <cell r="AF155">
            <v>100</v>
          </cell>
          <cell r="AG155">
            <v>220</v>
          </cell>
          <cell r="AJ155" t="str">
            <v>left putamen and corona radiata</v>
          </cell>
          <cell r="AK155" t="str">
            <v>normal</v>
          </cell>
          <cell r="AM155">
            <v>9</v>
          </cell>
          <cell r="AN155">
            <v>1</v>
          </cell>
          <cell r="AO155">
            <v>3</v>
          </cell>
          <cell r="AP155">
            <v>3</v>
          </cell>
          <cell r="AQ155">
            <v>5</v>
          </cell>
          <cell r="AS155">
            <v>1</v>
          </cell>
          <cell r="AT155">
            <v>1</v>
          </cell>
          <cell r="AU155">
            <v>2</v>
          </cell>
          <cell r="AZ155">
            <v>1</v>
          </cell>
          <cell r="BA155">
            <v>95</v>
          </cell>
        </row>
        <row r="156">
          <cell r="A156" t="str">
            <v>Ratnamala Shinde</v>
          </cell>
          <cell r="C156">
            <v>230000041103</v>
          </cell>
          <cell r="D156">
            <v>70</v>
          </cell>
          <cell r="E156">
            <v>2</v>
          </cell>
          <cell r="F156">
            <v>45227</v>
          </cell>
          <cell r="G156">
            <v>0.20833333333333334</v>
          </cell>
          <cell r="H156">
            <v>45229</v>
          </cell>
          <cell r="I156">
            <v>45236</v>
          </cell>
          <cell r="J156">
            <v>8788445371</v>
          </cell>
          <cell r="L156">
            <v>20</v>
          </cell>
          <cell r="M156">
            <v>1</v>
          </cell>
          <cell r="N156">
            <v>2</v>
          </cell>
          <cell r="O156">
            <v>2</v>
          </cell>
          <cell r="P156">
            <v>2</v>
          </cell>
          <cell r="Q156">
            <v>2</v>
          </cell>
          <cell r="R156">
            <v>2</v>
          </cell>
          <cell r="S156">
            <v>2</v>
          </cell>
          <cell r="T156">
            <v>1</v>
          </cell>
          <cell r="U156">
            <v>2</v>
          </cell>
          <cell r="V156" t="str">
            <v>Past history of stroke in 2020, SIADH, pyelonephritis</v>
          </cell>
          <cell r="W156">
            <v>8.8000000000000007</v>
          </cell>
          <cell r="X156">
            <v>26.9</v>
          </cell>
          <cell r="Y156">
            <v>86.7</v>
          </cell>
          <cell r="Z156">
            <v>9.48</v>
          </cell>
          <cell r="AA156">
            <v>6.2</v>
          </cell>
          <cell r="AB156">
            <v>143</v>
          </cell>
          <cell r="AC156">
            <v>90</v>
          </cell>
          <cell r="AD156">
            <v>23</v>
          </cell>
          <cell r="AE156">
            <v>30</v>
          </cell>
          <cell r="AF156">
            <v>150</v>
          </cell>
          <cell r="AG156">
            <v>2000</v>
          </cell>
          <cell r="AJ156" t="str">
            <v>Rt MCA massive infarct, Rt MCA hyperdense sign</v>
          </cell>
          <cell r="AM156">
            <v>3</v>
          </cell>
          <cell r="AN156">
            <v>2</v>
          </cell>
          <cell r="AO156">
            <v>2</v>
          </cell>
          <cell r="AP156">
            <v>1</v>
          </cell>
          <cell r="AQ156">
            <v>1</v>
          </cell>
          <cell r="AS156">
            <v>1</v>
          </cell>
          <cell r="AT156">
            <v>1</v>
          </cell>
          <cell r="AU156">
            <v>2</v>
          </cell>
          <cell r="AZ156">
            <v>6</v>
          </cell>
          <cell r="BA156">
            <v>0</v>
          </cell>
        </row>
        <row r="157">
          <cell r="A157" t="str">
            <v>Bharati Shah</v>
          </cell>
          <cell r="C157">
            <v>231001662</v>
          </cell>
          <cell r="D157">
            <v>70</v>
          </cell>
          <cell r="E157">
            <v>2</v>
          </cell>
          <cell r="F157">
            <v>45211</v>
          </cell>
          <cell r="G157">
            <v>0.9375</v>
          </cell>
          <cell r="H157">
            <v>45212</v>
          </cell>
          <cell r="I157">
            <v>45213</v>
          </cell>
          <cell r="J157">
            <v>9766525627</v>
          </cell>
          <cell r="L157">
            <v>2</v>
          </cell>
          <cell r="M157">
            <v>2</v>
          </cell>
          <cell r="N157">
            <v>2</v>
          </cell>
          <cell r="O157">
            <v>2</v>
          </cell>
          <cell r="P157">
            <v>2</v>
          </cell>
          <cell r="Q157">
            <v>2</v>
          </cell>
          <cell r="R157">
            <v>2</v>
          </cell>
          <cell r="S157">
            <v>1</v>
          </cell>
          <cell r="T157">
            <v>1</v>
          </cell>
          <cell r="U157">
            <v>2</v>
          </cell>
          <cell r="W157">
            <v>15.3</v>
          </cell>
          <cell r="AB157">
            <v>209</v>
          </cell>
          <cell r="AC157">
            <v>134</v>
          </cell>
          <cell r="AD157">
            <v>53</v>
          </cell>
          <cell r="AJ157" t="str">
            <v>Acute NHI involving lt MCA territory. These are likely suggestive of embolic infarcts. Colloid cyst without hydeocephalus</v>
          </cell>
          <cell r="AK157" t="str">
            <v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v>
          </cell>
          <cell r="AM157">
            <v>9</v>
          </cell>
          <cell r="AN157">
            <v>1</v>
          </cell>
          <cell r="AO157">
            <v>3</v>
          </cell>
          <cell r="AP157">
            <v>3</v>
          </cell>
          <cell r="AQ157">
            <v>5</v>
          </cell>
          <cell r="AS157">
            <v>1</v>
          </cell>
          <cell r="AT157">
            <v>2</v>
          </cell>
          <cell r="AU157">
            <v>2</v>
          </cell>
          <cell r="AW157">
            <v>3</v>
          </cell>
          <cell r="AZ157">
            <v>0</v>
          </cell>
          <cell r="BA157">
            <v>100</v>
          </cell>
        </row>
        <row r="158">
          <cell r="A158" t="str">
            <v>Malsure Suresh, 230000037875</v>
          </cell>
          <cell r="C158">
            <v>230904245</v>
          </cell>
          <cell r="D158">
            <v>70</v>
          </cell>
          <cell r="E158">
            <v>1</v>
          </cell>
          <cell r="F158">
            <v>45197</v>
          </cell>
          <cell r="G158">
            <v>0.45833333333333331</v>
          </cell>
          <cell r="H158">
            <v>45198</v>
          </cell>
          <cell r="I158">
            <v>45199</v>
          </cell>
          <cell r="J158">
            <v>9168935500</v>
          </cell>
          <cell r="L158">
            <v>7</v>
          </cell>
          <cell r="M158">
            <v>2</v>
          </cell>
          <cell r="N158">
            <v>1</v>
          </cell>
          <cell r="O158">
            <v>2</v>
          </cell>
          <cell r="P158">
            <v>2</v>
          </cell>
          <cell r="Q158">
            <v>1</v>
          </cell>
          <cell r="R158">
            <v>2</v>
          </cell>
          <cell r="S158">
            <v>2</v>
          </cell>
          <cell r="T158">
            <v>2</v>
          </cell>
          <cell r="U158">
            <v>2</v>
          </cell>
          <cell r="W158">
            <v>12</v>
          </cell>
          <cell r="X158">
            <v>30.2</v>
          </cell>
          <cell r="Y158">
            <v>78.2</v>
          </cell>
          <cell r="Z158">
            <v>37.22</v>
          </cell>
          <cell r="AA158">
            <v>11</v>
          </cell>
          <cell r="AB158">
            <v>137</v>
          </cell>
          <cell r="AC158">
            <v>82.4</v>
          </cell>
          <cell r="AD158">
            <v>40</v>
          </cell>
          <cell r="AE158">
            <v>14.6</v>
          </cell>
          <cell r="AF158">
            <v>73</v>
          </cell>
          <cell r="AG158">
            <v>2000</v>
          </cell>
          <cell r="AJ158" t="str">
            <v>Acute infarct in Lt MCA territory infarct and Lt fronto parieto temporal region</v>
          </cell>
          <cell r="AK158" t="str">
            <v>Thrombosis of LT MCA distal to M1 segment</v>
          </cell>
          <cell r="AM158">
            <v>3</v>
          </cell>
          <cell r="AN158">
            <v>1</v>
          </cell>
          <cell r="AO158">
            <v>1</v>
          </cell>
          <cell r="AP158">
            <v>2</v>
          </cell>
          <cell r="AQ158">
            <v>2</v>
          </cell>
          <cell r="AS158">
            <v>1</v>
          </cell>
          <cell r="AT158">
            <v>1</v>
          </cell>
          <cell r="AU158">
            <v>2</v>
          </cell>
          <cell r="AZ158">
            <v>0</v>
          </cell>
          <cell r="BA158">
            <v>85</v>
          </cell>
        </row>
        <row r="159">
          <cell r="A159" t="str">
            <v>Suman Yadav</v>
          </cell>
          <cell r="C159">
            <v>230902987</v>
          </cell>
          <cell r="D159">
            <v>70</v>
          </cell>
          <cell r="E159">
            <v>2</v>
          </cell>
          <cell r="F159">
            <v>45188</v>
          </cell>
          <cell r="H159">
            <v>45188</v>
          </cell>
          <cell r="I159">
            <v>45195</v>
          </cell>
          <cell r="J159">
            <v>9765292299</v>
          </cell>
          <cell r="L159">
            <v>19</v>
          </cell>
          <cell r="M159">
            <v>1</v>
          </cell>
          <cell r="N159">
            <v>2</v>
          </cell>
          <cell r="O159">
            <v>2</v>
          </cell>
          <cell r="P159">
            <v>2</v>
          </cell>
          <cell r="Q159">
            <v>2</v>
          </cell>
          <cell r="R159">
            <v>2</v>
          </cell>
          <cell r="S159">
            <v>2</v>
          </cell>
          <cell r="T159">
            <v>2</v>
          </cell>
          <cell r="U159">
            <v>2</v>
          </cell>
          <cell r="V159" t="str">
            <v>Acute Kidney Injury</v>
          </cell>
          <cell r="W159">
            <v>9.8000000000000007</v>
          </cell>
          <cell r="X159">
            <v>30.8</v>
          </cell>
          <cell r="Y159">
            <v>96.3</v>
          </cell>
          <cell r="Z159">
            <v>7.81</v>
          </cell>
          <cell r="AA159">
            <v>6.3</v>
          </cell>
          <cell r="AB159">
            <v>128</v>
          </cell>
          <cell r="AC159">
            <v>68.8</v>
          </cell>
          <cell r="AD159">
            <v>24</v>
          </cell>
          <cell r="AE159">
            <v>35.200000000000003</v>
          </cell>
          <cell r="AF159">
            <v>176</v>
          </cell>
          <cell r="AG159">
            <v>1539</v>
          </cell>
          <cell r="AJ159" t="str">
            <v>MCA Infarct- Parieto-Occipital region, NHI in Lt insular cortex and temporal region</v>
          </cell>
          <cell r="AK159" t="str">
            <v>Thrombosis of distal M1 segment of lt MCA near complete occlusion. Filling of superior and inferior devision of M2 segment of MCA territory focal significant stenosis in terminal V4 segment of LT vertebral artery</v>
          </cell>
          <cell r="AM159">
            <v>9</v>
          </cell>
          <cell r="AN159">
            <v>1</v>
          </cell>
          <cell r="AO159">
            <v>2</v>
          </cell>
          <cell r="AP159">
            <v>1</v>
          </cell>
          <cell r="AQ159">
            <v>4</v>
          </cell>
          <cell r="AS159">
            <v>1</v>
          </cell>
          <cell r="AT159">
            <v>1</v>
          </cell>
          <cell r="AU159">
            <v>2</v>
          </cell>
          <cell r="AZ159">
            <v>6</v>
          </cell>
        </row>
        <row r="160">
          <cell r="A160" t="str">
            <v>Revansidd Birajdar</v>
          </cell>
          <cell r="C160">
            <v>230800399</v>
          </cell>
          <cell r="D160">
            <v>78</v>
          </cell>
          <cell r="E160">
            <v>1</v>
          </cell>
          <cell r="F160">
            <v>45507</v>
          </cell>
          <cell r="G160">
            <v>0.10416666666666667</v>
          </cell>
          <cell r="H160">
            <v>45513</v>
          </cell>
          <cell r="J160">
            <v>9822117746</v>
          </cell>
          <cell r="L160">
            <v>12</v>
          </cell>
          <cell r="M160">
            <v>2</v>
          </cell>
          <cell r="N160">
            <v>2</v>
          </cell>
          <cell r="O160">
            <v>2</v>
          </cell>
          <cell r="P160">
            <v>2</v>
          </cell>
          <cell r="Q160">
            <v>1</v>
          </cell>
          <cell r="R160">
            <v>2</v>
          </cell>
          <cell r="S160">
            <v>1</v>
          </cell>
          <cell r="T160">
            <v>2</v>
          </cell>
          <cell r="U160">
            <v>2</v>
          </cell>
          <cell r="V160" t="str">
            <v>Wakeup stroke 07:30Am</v>
          </cell>
          <cell r="W160">
            <v>16</v>
          </cell>
          <cell r="X160">
            <v>92</v>
          </cell>
          <cell r="Y160">
            <v>46</v>
          </cell>
          <cell r="AB160">
            <v>143</v>
          </cell>
          <cell r="AC160">
            <v>95</v>
          </cell>
          <cell r="AD160">
            <v>32</v>
          </cell>
          <cell r="AE160">
            <v>15</v>
          </cell>
          <cell r="AF160">
            <v>76</v>
          </cell>
          <cell r="AJ160" t="str">
            <v>Left anterior Choroidal artery infarct</v>
          </cell>
          <cell r="AK160" t="str">
            <v>left terminal ICA thrombosis</v>
          </cell>
          <cell r="AR160" t="str">
            <v>Post lysis bleed</v>
          </cell>
          <cell r="AS160">
            <v>1</v>
          </cell>
          <cell r="AT160">
            <v>2</v>
          </cell>
          <cell r="AU160">
            <v>1</v>
          </cell>
          <cell r="AV160">
            <v>1</v>
          </cell>
          <cell r="AZ160">
            <v>6</v>
          </cell>
        </row>
        <row r="161">
          <cell r="A161" t="str">
            <v>Fulabai Gaikwad</v>
          </cell>
          <cell r="C161">
            <v>220801803</v>
          </cell>
          <cell r="D161">
            <v>75</v>
          </cell>
          <cell r="E161">
            <v>2</v>
          </cell>
          <cell r="F161">
            <v>45151</v>
          </cell>
          <cell r="G161">
            <v>0.5625</v>
          </cell>
          <cell r="H161">
            <v>45151</v>
          </cell>
          <cell r="J161">
            <v>9421802120</v>
          </cell>
          <cell r="L161">
            <v>11</v>
          </cell>
          <cell r="M161">
            <v>2</v>
          </cell>
          <cell r="N161">
            <v>2</v>
          </cell>
          <cell r="O161">
            <v>2</v>
          </cell>
          <cell r="P161">
            <v>2</v>
          </cell>
          <cell r="Q161">
            <v>2</v>
          </cell>
          <cell r="R161">
            <v>2</v>
          </cell>
          <cell r="S161">
            <v>2</v>
          </cell>
          <cell r="T161">
            <v>2</v>
          </cell>
          <cell r="U161">
            <v>2</v>
          </cell>
          <cell r="W161">
            <v>12.3</v>
          </cell>
          <cell r="Z161">
            <v>20.72</v>
          </cell>
          <cell r="AB161">
            <v>236</v>
          </cell>
          <cell r="AC161">
            <v>153.4</v>
          </cell>
          <cell r="AD161">
            <v>37</v>
          </cell>
          <cell r="AE161">
            <v>45</v>
          </cell>
          <cell r="AF161">
            <v>228</v>
          </cell>
          <cell r="AJ161" t="str">
            <v>Rt MCA hyperdense sign; No inafrct seen</v>
          </cell>
          <cell r="AK161" t="str">
            <v>Rt ICA thrombosis and Rt M1 MCa occlusion</v>
          </cell>
          <cell r="AS161">
            <v>1</v>
          </cell>
          <cell r="AT161">
            <v>2</v>
          </cell>
          <cell r="AU161">
            <v>1</v>
          </cell>
          <cell r="AV161">
            <v>1</v>
          </cell>
          <cell r="AZ161">
            <v>6</v>
          </cell>
        </row>
        <row r="162">
          <cell r="A162" t="str">
            <v>Maruti Waghe</v>
          </cell>
          <cell r="C162">
            <v>230801267</v>
          </cell>
          <cell r="D162">
            <v>53</v>
          </cell>
          <cell r="E162">
            <v>1</v>
          </cell>
          <cell r="F162">
            <v>45148</v>
          </cell>
          <cell r="G162">
            <v>0.375</v>
          </cell>
          <cell r="H162">
            <v>45148</v>
          </cell>
          <cell r="I162">
            <v>45150</v>
          </cell>
          <cell r="J162">
            <v>7767882395</v>
          </cell>
          <cell r="L162">
            <v>20</v>
          </cell>
          <cell r="M162">
            <v>1</v>
          </cell>
          <cell r="N162">
            <v>1</v>
          </cell>
          <cell r="O162">
            <v>2</v>
          </cell>
          <cell r="P162">
            <v>2</v>
          </cell>
          <cell r="Q162">
            <v>2</v>
          </cell>
          <cell r="R162">
            <v>2</v>
          </cell>
          <cell r="S162">
            <v>2</v>
          </cell>
          <cell r="T162">
            <v>2</v>
          </cell>
          <cell r="U162">
            <v>2</v>
          </cell>
          <cell r="W162">
            <v>15.2</v>
          </cell>
          <cell r="X162">
            <v>45.4</v>
          </cell>
          <cell r="Z162">
            <v>18.36</v>
          </cell>
          <cell r="AA162">
            <v>9.5</v>
          </cell>
          <cell r="AB162">
            <v>200</v>
          </cell>
          <cell r="AC162">
            <v>140.80000000000001</v>
          </cell>
          <cell r="AD162">
            <v>34</v>
          </cell>
          <cell r="AF162">
            <v>126</v>
          </cell>
          <cell r="AH162" t="str">
            <v>Post lysis bleed</v>
          </cell>
          <cell r="AJ162" t="str">
            <v>Hyper acute to acute infarct in Lt fronto-parieto-Temporal lobes and Lt basal ganglia</v>
          </cell>
          <cell r="AS162">
            <v>1</v>
          </cell>
          <cell r="AT162">
            <v>2</v>
          </cell>
          <cell r="AU162">
            <v>1</v>
          </cell>
          <cell r="AV162">
            <v>2</v>
          </cell>
          <cell r="AZ162">
            <v>6</v>
          </cell>
          <cell r="BA162">
            <v>0</v>
          </cell>
        </row>
        <row r="163">
          <cell r="A163" t="str">
            <v>Madhav Landge</v>
          </cell>
          <cell r="C163">
            <v>210404526</v>
          </cell>
          <cell r="D163">
            <v>66</v>
          </cell>
          <cell r="E163">
            <v>1</v>
          </cell>
          <cell r="F163">
            <v>45148</v>
          </cell>
          <cell r="G163">
            <v>0.95833333333333337</v>
          </cell>
          <cell r="H163">
            <v>45150</v>
          </cell>
          <cell r="I163">
            <v>45152</v>
          </cell>
          <cell r="J163">
            <v>7350328794</v>
          </cell>
          <cell r="L163">
            <v>1</v>
          </cell>
          <cell r="M163">
            <v>1</v>
          </cell>
          <cell r="N163">
            <v>1</v>
          </cell>
          <cell r="O163">
            <v>2</v>
          </cell>
          <cell r="P163">
            <v>2</v>
          </cell>
          <cell r="Q163">
            <v>2</v>
          </cell>
          <cell r="R163">
            <v>2</v>
          </cell>
          <cell r="S163">
            <v>2</v>
          </cell>
          <cell r="T163">
            <v>2</v>
          </cell>
          <cell r="U163">
            <v>2</v>
          </cell>
          <cell r="W163">
            <v>11</v>
          </cell>
          <cell r="X163">
            <v>33.799999999999997</v>
          </cell>
          <cell r="Y163">
            <v>82</v>
          </cell>
          <cell r="AA163">
            <v>9.8000000000000007</v>
          </cell>
          <cell r="AB163">
            <v>169</v>
          </cell>
          <cell r="AC163">
            <v>124.4</v>
          </cell>
          <cell r="AD163">
            <v>21</v>
          </cell>
          <cell r="AE163">
            <v>23.6</v>
          </cell>
          <cell r="AF163">
            <v>118</v>
          </cell>
          <cell r="AG163">
            <v>148</v>
          </cell>
          <cell r="AJ163" t="str">
            <v xml:space="preserve">Lt MCA, PCA watershed infarct, Lt fronto parieto and Lt centrum semiovale </v>
          </cell>
          <cell r="AK163" t="str">
            <v>Fetal origin Lt PCA, P1 segment Lt PCA hypoplastic</v>
          </cell>
          <cell r="AS163">
            <v>1</v>
          </cell>
          <cell r="AT163">
            <v>1</v>
          </cell>
          <cell r="AZ163">
            <v>0</v>
          </cell>
          <cell r="BA163">
            <v>100</v>
          </cell>
        </row>
        <row r="164">
          <cell r="A164" t="str">
            <v>rangubai yele</v>
          </cell>
          <cell r="C164">
            <v>220403046</v>
          </cell>
          <cell r="D164">
            <v>75</v>
          </cell>
          <cell r="E164">
            <v>2</v>
          </cell>
          <cell r="F164">
            <v>45158</v>
          </cell>
          <cell r="G164">
            <v>0.40277777777777773</v>
          </cell>
          <cell r="H164">
            <v>45158</v>
          </cell>
          <cell r="I164">
            <v>45161</v>
          </cell>
          <cell r="J164">
            <v>8850292400</v>
          </cell>
          <cell r="L164">
            <v>5</v>
          </cell>
          <cell r="M164">
            <v>1</v>
          </cell>
          <cell r="N164">
            <v>2</v>
          </cell>
          <cell r="O164">
            <v>2</v>
          </cell>
          <cell r="P164">
            <v>2</v>
          </cell>
          <cell r="Q164">
            <v>1</v>
          </cell>
          <cell r="R164">
            <v>2</v>
          </cell>
          <cell r="S164">
            <v>2</v>
          </cell>
          <cell r="T164">
            <v>2</v>
          </cell>
          <cell r="U164">
            <v>2</v>
          </cell>
          <cell r="V164" t="str">
            <v>H/O old TIA 1 year back</v>
          </cell>
          <cell r="W164">
            <v>10.6</v>
          </cell>
          <cell r="Z164">
            <v>6.22</v>
          </cell>
          <cell r="AA164">
            <v>6</v>
          </cell>
          <cell r="AB164">
            <v>184</v>
          </cell>
          <cell r="AC164">
            <v>107.8</v>
          </cell>
          <cell r="AD164">
            <v>39</v>
          </cell>
          <cell r="AE164">
            <v>37.200000000000003</v>
          </cell>
          <cell r="AF164">
            <v>186</v>
          </cell>
          <cell r="AG164">
            <v>690</v>
          </cell>
          <cell r="AJ164" t="str">
            <v xml:space="preserve">Lt periventricular and left corona radiata infarct </v>
          </cell>
          <cell r="AK164" t="str">
            <v>normal</v>
          </cell>
          <cell r="AS164">
            <v>1</v>
          </cell>
          <cell r="AT164">
            <v>2</v>
          </cell>
          <cell r="AU164">
            <v>1</v>
          </cell>
          <cell r="AV164">
            <v>2</v>
          </cell>
          <cell r="AZ164">
            <v>4</v>
          </cell>
          <cell r="BA164">
            <v>40</v>
          </cell>
        </row>
        <row r="165">
          <cell r="A165" t="str">
            <v>Nursing shinde</v>
          </cell>
          <cell r="C165">
            <v>230802341</v>
          </cell>
          <cell r="D165">
            <v>36</v>
          </cell>
          <cell r="E165">
            <v>1</v>
          </cell>
          <cell r="F165">
            <v>45155</v>
          </cell>
          <cell r="G165">
            <v>0.16666666666666666</v>
          </cell>
          <cell r="H165">
            <v>45155</v>
          </cell>
          <cell r="I165">
            <v>45156</v>
          </cell>
          <cell r="J165">
            <v>7875611954</v>
          </cell>
          <cell r="L165">
            <v>2</v>
          </cell>
          <cell r="M165">
            <v>2</v>
          </cell>
          <cell r="N165">
            <v>1</v>
          </cell>
          <cell r="O165">
            <v>1</v>
          </cell>
          <cell r="P165">
            <v>2</v>
          </cell>
          <cell r="Q165">
            <v>1</v>
          </cell>
          <cell r="R165">
            <v>1</v>
          </cell>
          <cell r="S165">
            <v>2</v>
          </cell>
          <cell r="T165">
            <v>2</v>
          </cell>
          <cell r="U165">
            <v>2</v>
          </cell>
          <cell r="V165" t="str">
            <v>H/O of stroke detected on imaging same territory</v>
          </cell>
          <cell r="W165">
            <v>17</v>
          </cell>
          <cell r="Z165">
            <v>26</v>
          </cell>
          <cell r="AA165">
            <v>9.6</v>
          </cell>
          <cell r="AB165">
            <v>252</v>
          </cell>
          <cell r="AC165">
            <v>163</v>
          </cell>
          <cell r="AD165">
            <v>44</v>
          </cell>
          <cell r="AE165">
            <v>44.6</v>
          </cell>
          <cell r="AF165">
            <v>223</v>
          </cell>
          <cell r="AG165">
            <v>148</v>
          </cell>
          <cell r="AJ165" t="str">
            <v>left caudate nucleus, lt putamen, lt frontal and Basifrontal infarct</v>
          </cell>
          <cell r="AK165" t="str">
            <v xml:space="preserve">M1 left MCA and A1 segment of left ACA are irregular. Paucity of the brancus in lt MCA seen. Lt MCA occluded with distal reformation. Hypodense intimal flap seen with pastro lateral wall of kt ICA extending suspicious for dissection </v>
          </cell>
          <cell r="AS165">
            <v>1</v>
          </cell>
          <cell r="AT165">
            <v>1</v>
          </cell>
          <cell r="AU165">
            <v>2</v>
          </cell>
          <cell r="AZ165">
            <v>1</v>
          </cell>
          <cell r="BA165">
            <v>100</v>
          </cell>
        </row>
        <row r="166">
          <cell r="A166" t="str">
            <v>Yadav Vitthal</v>
          </cell>
          <cell r="C166">
            <v>230803163</v>
          </cell>
          <cell r="D166">
            <v>57</v>
          </cell>
          <cell r="E166">
            <v>1</v>
          </cell>
          <cell r="F166">
            <v>45157</v>
          </cell>
          <cell r="G166">
            <v>0.5625</v>
          </cell>
          <cell r="H166">
            <v>45190</v>
          </cell>
          <cell r="I166">
            <v>45161</v>
          </cell>
          <cell r="J166">
            <v>9860187127</v>
          </cell>
          <cell r="L166">
            <v>16</v>
          </cell>
          <cell r="M166">
            <v>1</v>
          </cell>
          <cell r="N166">
            <v>2</v>
          </cell>
          <cell r="O166">
            <v>2</v>
          </cell>
          <cell r="P166">
            <v>1</v>
          </cell>
          <cell r="Q166">
            <v>2</v>
          </cell>
          <cell r="R166">
            <v>2</v>
          </cell>
          <cell r="S166">
            <v>2</v>
          </cell>
          <cell r="T166">
            <v>2</v>
          </cell>
          <cell r="U166">
            <v>2</v>
          </cell>
          <cell r="V166" t="str">
            <v>echo-Normal</v>
          </cell>
          <cell r="Z166">
            <v>21.37</v>
          </cell>
          <cell r="AA166">
            <v>5.6</v>
          </cell>
          <cell r="AB166">
            <v>171</v>
          </cell>
          <cell r="AC166">
            <v>96.2</v>
          </cell>
          <cell r="AD166">
            <v>31</v>
          </cell>
          <cell r="AE166">
            <v>43.8</v>
          </cell>
          <cell r="AF166">
            <v>219</v>
          </cell>
          <cell r="AG166">
            <v>2000</v>
          </cell>
          <cell r="AJ166" t="str">
            <v>Left ACA infarct and watershed areas</v>
          </cell>
          <cell r="AK166" t="str">
            <v>Left aca percollosal branch occlusion</v>
          </cell>
          <cell r="AS166">
            <v>1</v>
          </cell>
          <cell r="AT166">
            <v>1</v>
          </cell>
          <cell r="AU166">
            <v>2</v>
          </cell>
          <cell r="AZ166">
            <v>1</v>
          </cell>
          <cell r="BA166">
            <v>95</v>
          </cell>
        </row>
        <row r="167">
          <cell r="A167" t="str">
            <v>Nivruttid Darekar</v>
          </cell>
          <cell r="C167">
            <v>110103214</v>
          </cell>
          <cell r="D167">
            <v>90</v>
          </cell>
          <cell r="E167">
            <v>1</v>
          </cell>
          <cell r="F167">
            <v>45103</v>
          </cell>
          <cell r="G167">
            <v>0.81944444444444453</v>
          </cell>
          <cell r="H167">
            <v>45103</v>
          </cell>
          <cell r="I167">
            <v>45104</v>
          </cell>
          <cell r="J167">
            <v>9552409447</v>
          </cell>
          <cell r="L167">
            <v>24</v>
          </cell>
          <cell r="M167">
            <v>1</v>
          </cell>
          <cell r="N167">
            <v>1</v>
          </cell>
          <cell r="O167">
            <v>2</v>
          </cell>
          <cell r="P167">
            <v>2</v>
          </cell>
          <cell r="Q167">
            <v>2</v>
          </cell>
          <cell r="R167">
            <v>2</v>
          </cell>
          <cell r="S167">
            <v>2</v>
          </cell>
          <cell r="T167">
            <v>2</v>
          </cell>
          <cell r="U167">
            <v>2</v>
          </cell>
          <cell r="W167">
            <v>8.6999999999999993</v>
          </cell>
          <cell r="X167">
            <v>27.7</v>
          </cell>
          <cell r="Y167">
            <v>64.2</v>
          </cell>
          <cell r="Z167">
            <v>5.0599999999999996</v>
          </cell>
          <cell r="AA167">
            <v>5.8</v>
          </cell>
          <cell r="AB167">
            <v>98</v>
          </cell>
          <cell r="AC167">
            <v>49.6</v>
          </cell>
          <cell r="AD167">
            <v>25</v>
          </cell>
          <cell r="AE167">
            <v>23.4</v>
          </cell>
          <cell r="AF167">
            <v>117</v>
          </cell>
          <cell r="AG167">
            <v>2000</v>
          </cell>
          <cell r="AJ167" t="str">
            <v>Acute NHI in Lt frontal-parietal lobe and in insular cortex</v>
          </cell>
          <cell r="AK167" t="str">
            <v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v>
          </cell>
          <cell r="AS167">
            <v>1</v>
          </cell>
          <cell r="AT167">
            <v>2</v>
          </cell>
          <cell r="AU167">
            <v>2</v>
          </cell>
          <cell r="AZ167">
            <v>5</v>
          </cell>
          <cell r="BA167">
            <v>15</v>
          </cell>
        </row>
        <row r="168">
          <cell r="A168" t="str">
            <v>Kamal Pawar</v>
          </cell>
          <cell r="C168">
            <v>190701897</v>
          </cell>
          <cell r="D168">
            <v>74</v>
          </cell>
          <cell r="E168">
            <v>2</v>
          </cell>
          <cell r="F168">
            <v>45159</v>
          </cell>
          <cell r="G168">
            <v>0.29166666666666669</v>
          </cell>
          <cell r="H168">
            <v>45160</v>
          </cell>
          <cell r="I168">
            <v>45164</v>
          </cell>
          <cell r="J168">
            <v>9850336332</v>
          </cell>
          <cell r="L168">
            <v>2</v>
          </cell>
          <cell r="M168">
            <v>1</v>
          </cell>
          <cell r="N168">
            <v>1</v>
          </cell>
          <cell r="O168">
            <v>2</v>
          </cell>
          <cell r="P168">
            <v>2</v>
          </cell>
          <cell r="Q168">
            <v>1</v>
          </cell>
          <cell r="R168">
            <v>2</v>
          </cell>
          <cell r="S168">
            <v>2</v>
          </cell>
          <cell r="T168">
            <v>2</v>
          </cell>
          <cell r="U168">
            <v>2</v>
          </cell>
          <cell r="V168" t="str">
            <v>Past H/O stroke - Rt hemiparesis in 2012</v>
          </cell>
          <cell r="W168">
            <v>9.9</v>
          </cell>
          <cell r="X168">
            <v>30.7</v>
          </cell>
          <cell r="Y168">
            <v>74.400000000000006</v>
          </cell>
          <cell r="Z168">
            <v>18.579999999999998</v>
          </cell>
          <cell r="AA168">
            <v>7.3</v>
          </cell>
          <cell r="AB168">
            <v>178</v>
          </cell>
          <cell r="AC168">
            <v>96</v>
          </cell>
          <cell r="AD168">
            <v>32</v>
          </cell>
          <cell r="AE168">
            <v>50</v>
          </cell>
          <cell r="AF168">
            <v>250</v>
          </cell>
          <cell r="AG168">
            <v>268</v>
          </cell>
          <cell r="AJ168" t="str">
            <v>Acute NHI in left centrum semiovale and left frontal periventricular white matter region. areas of gliosis in Rt parieto temporal region</v>
          </cell>
          <cell r="AK168" t="str">
            <v>calcified atherosclerotic plaques are noted at the origin of both ICA's, causing significant luminal compromise (85-90%) on rt side and 75-85% on left side. calcified athersclerotic plaques are also noted in the cavernous segment of both ICA</v>
          </cell>
          <cell r="AS168">
            <v>1</v>
          </cell>
          <cell r="AT168">
            <v>1</v>
          </cell>
          <cell r="AU168">
            <v>2</v>
          </cell>
          <cell r="AZ168">
            <v>1</v>
          </cell>
          <cell r="BA168">
            <v>100</v>
          </cell>
        </row>
        <row r="169">
          <cell r="A169" t="str">
            <v>Yewale sitabai</v>
          </cell>
          <cell r="C169">
            <v>210603906</v>
          </cell>
          <cell r="D169">
            <v>71</v>
          </cell>
          <cell r="E169">
            <v>2</v>
          </cell>
          <cell r="F169">
            <v>45167</v>
          </cell>
          <cell r="G169">
            <v>0.54166666666666663</v>
          </cell>
          <cell r="H169">
            <v>45168</v>
          </cell>
          <cell r="I169">
            <v>45170</v>
          </cell>
          <cell r="J169">
            <v>9922551013</v>
          </cell>
          <cell r="L169">
            <v>9</v>
          </cell>
          <cell r="M169">
            <v>1</v>
          </cell>
          <cell r="N169">
            <v>1</v>
          </cell>
          <cell r="O169">
            <v>2</v>
          </cell>
          <cell r="P169">
            <v>2</v>
          </cell>
          <cell r="Q169">
            <v>1</v>
          </cell>
          <cell r="R169">
            <v>2</v>
          </cell>
          <cell r="S169">
            <v>2</v>
          </cell>
          <cell r="T169">
            <v>2</v>
          </cell>
          <cell r="U169">
            <v>2</v>
          </cell>
          <cell r="V169" t="str">
            <v>past histroy of stroke 6 years ago- Rt LL weakness (not investigated), COPD</v>
          </cell>
          <cell r="W169">
            <v>10.5</v>
          </cell>
          <cell r="X169">
            <v>32.6</v>
          </cell>
          <cell r="Y169">
            <v>88.2</v>
          </cell>
          <cell r="Z169">
            <v>7.17</v>
          </cell>
          <cell r="AA169">
            <v>5.6</v>
          </cell>
          <cell r="AB169">
            <v>182</v>
          </cell>
          <cell r="AC169">
            <v>113.4</v>
          </cell>
          <cell r="AD169">
            <v>58</v>
          </cell>
          <cell r="AE169">
            <v>10.6</v>
          </cell>
          <cell r="AF169">
            <v>53</v>
          </cell>
          <cell r="AG169">
            <v>2000</v>
          </cell>
          <cell r="AJ169" t="str">
            <v>Acute NHI in frontal lobe white matter. Multiple chronic microhemorrhages in B/L basal ganglia, Subcortical white matter, brainstem and cerebellum suggestive of chronic hypertensive encephalopathy changes</v>
          </cell>
          <cell r="AK169" t="str">
            <v>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v>
          </cell>
          <cell r="AS169">
            <v>1</v>
          </cell>
          <cell r="AT169">
            <v>1</v>
          </cell>
          <cell r="AU169">
            <v>2</v>
          </cell>
          <cell r="AZ169">
            <v>3</v>
          </cell>
          <cell r="BA169">
            <v>75</v>
          </cell>
        </row>
        <row r="170">
          <cell r="A170" t="str">
            <v>Medha Kulkarni</v>
          </cell>
          <cell r="C170">
            <v>150506252</v>
          </cell>
          <cell r="D170">
            <v>33</v>
          </cell>
          <cell r="E170">
            <v>2</v>
          </cell>
          <cell r="F170">
            <v>45156</v>
          </cell>
          <cell r="G170">
            <v>0.375</v>
          </cell>
          <cell r="H170">
            <v>45156</v>
          </cell>
          <cell r="I170">
            <v>45162</v>
          </cell>
          <cell r="J170">
            <v>9096995588</v>
          </cell>
          <cell r="L170">
            <v>9</v>
          </cell>
          <cell r="M170">
            <v>2</v>
          </cell>
          <cell r="N170">
            <v>2</v>
          </cell>
          <cell r="O170">
            <v>2</v>
          </cell>
          <cell r="P170">
            <v>2</v>
          </cell>
          <cell r="Q170">
            <v>2</v>
          </cell>
          <cell r="R170">
            <v>2</v>
          </cell>
          <cell r="S170">
            <v>2</v>
          </cell>
          <cell r="T170">
            <v>2</v>
          </cell>
          <cell r="U170">
            <v>2</v>
          </cell>
          <cell r="V170" t="str">
            <v>bodyaches and diffuse myalgia since 1 month</v>
          </cell>
          <cell r="W170">
            <v>10.9</v>
          </cell>
          <cell r="X170">
            <v>33.4</v>
          </cell>
          <cell r="Z170">
            <v>8.6199999999999992</v>
          </cell>
          <cell r="AA170">
            <v>5</v>
          </cell>
          <cell r="AG170">
            <v>1099</v>
          </cell>
          <cell r="AJ170" t="str">
            <v>acute NHi in Rt MCa territory</v>
          </cell>
          <cell r="AK170" t="str">
            <v>Subtle hypodense (22-28 HU) in parietal lobe likely acute infarct. Complete occlusion of M1 segment, narrowing in M2 segment, Occlusion of superior devision of M2 segment</v>
          </cell>
          <cell r="AS170">
            <v>1</v>
          </cell>
          <cell r="AT170">
            <v>2</v>
          </cell>
          <cell r="AU170">
            <v>2</v>
          </cell>
          <cell r="AX170">
            <v>1</v>
          </cell>
          <cell r="AZ170">
            <v>6</v>
          </cell>
          <cell r="BA170">
            <v>0</v>
          </cell>
        </row>
        <row r="171">
          <cell r="A171" t="str">
            <v>Indurkar Santosh</v>
          </cell>
          <cell r="C171">
            <v>230000035124</v>
          </cell>
          <cell r="D171">
            <v>72</v>
          </cell>
          <cell r="E171">
            <v>1</v>
          </cell>
          <cell r="F171">
            <v>45156</v>
          </cell>
          <cell r="G171">
            <v>0.35416666666666669</v>
          </cell>
          <cell r="H171">
            <v>45156</v>
          </cell>
          <cell r="I171">
            <v>45159</v>
          </cell>
          <cell r="J171">
            <v>9890513032</v>
          </cell>
          <cell r="L171">
            <v>2</v>
          </cell>
          <cell r="M171">
            <v>1</v>
          </cell>
          <cell r="N171">
            <v>2</v>
          </cell>
          <cell r="O171">
            <v>2</v>
          </cell>
          <cell r="P171">
            <v>2</v>
          </cell>
          <cell r="Q171">
            <v>2</v>
          </cell>
          <cell r="R171">
            <v>2</v>
          </cell>
          <cell r="S171">
            <v>2</v>
          </cell>
          <cell r="T171">
            <v>2</v>
          </cell>
          <cell r="U171">
            <v>2</v>
          </cell>
          <cell r="V171" t="str">
            <v>Past histroy of stroke 9 yearsa back, fever since 1 week</v>
          </cell>
          <cell r="W171">
            <v>12.1</v>
          </cell>
          <cell r="Z171">
            <v>15.44</v>
          </cell>
          <cell r="AB171">
            <v>203</v>
          </cell>
          <cell r="AC171">
            <v>145.4</v>
          </cell>
          <cell r="AD171">
            <v>28</v>
          </cell>
          <cell r="AF171">
            <v>148</v>
          </cell>
          <cell r="AG171">
            <v>476</v>
          </cell>
          <cell r="AJ171" t="str">
            <v>Acute non- hemorrhagic infarcts in left front lobe, left centrum semiovale and left corona radiata. Few chronic lacunar infarcts in bilateral centrum semiovale, left corona radiata and bilateral thalami.</v>
          </cell>
          <cell r="AK171" t="str">
            <v>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v>
          </cell>
          <cell r="AS171">
            <v>1</v>
          </cell>
          <cell r="AT171">
            <v>1</v>
          </cell>
          <cell r="AU171">
            <v>2</v>
          </cell>
          <cell r="AZ171">
            <v>1</v>
          </cell>
          <cell r="BA171">
            <v>95</v>
          </cell>
        </row>
        <row r="172">
          <cell r="A172" t="str">
            <v>Anita Lokhande</v>
          </cell>
          <cell r="C172">
            <v>180803606</v>
          </cell>
          <cell r="D172">
            <v>44</v>
          </cell>
          <cell r="E172">
            <v>2</v>
          </cell>
          <cell r="F172">
            <v>45141</v>
          </cell>
          <cell r="G172">
            <v>0.67708333333333337</v>
          </cell>
          <cell r="H172">
            <v>45141</v>
          </cell>
          <cell r="I172">
            <v>45143</v>
          </cell>
          <cell r="J172">
            <v>9096285704</v>
          </cell>
          <cell r="L172">
            <v>17</v>
          </cell>
          <cell r="M172">
            <v>1</v>
          </cell>
          <cell r="N172">
            <v>1</v>
          </cell>
          <cell r="O172">
            <v>2</v>
          </cell>
          <cell r="P172">
            <v>2</v>
          </cell>
          <cell r="Q172">
            <v>2</v>
          </cell>
          <cell r="R172">
            <v>2</v>
          </cell>
          <cell r="S172">
            <v>2</v>
          </cell>
          <cell r="T172">
            <v>1</v>
          </cell>
          <cell r="U172">
            <v>2</v>
          </cell>
          <cell r="V172" t="str">
            <v>undervent CABG on 3/8/23</v>
          </cell>
          <cell r="W172">
            <v>11.67</v>
          </cell>
          <cell r="X172">
            <v>22.4</v>
          </cell>
          <cell r="Y172">
            <v>73</v>
          </cell>
          <cell r="AH172" t="str">
            <v>TROPI&gt;10</v>
          </cell>
          <cell r="AJ172" t="str">
            <v>left MCA infarct, M1 segment of Lt MCA</v>
          </cell>
          <cell r="AK172" t="str">
            <v>left distal M1 occlusion. Delayed contrast opacification of M2 segment and its cortical branches</v>
          </cell>
          <cell r="AS172">
            <v>1</v>
          </cell>
          <cell r="AT172">
            <v>1</v>
          </cell>
          <cell r="AU172">
            <v>2</v>
          </cell>
          <cell r="AZ172">
            <v>2</v>
          </cell>
          <cell r="BA172">
            <v>85</v>
          </cell>
        </row>
        <row r="173">
          <cell r="A173" t="str">
            <v>Hanumant Lohar</v>
          </cell>
          <cell r="C173">
            <v>230703109</v>
          </cell>
          <cell r="D173">
            <v>58</v>
          </cell>
          <cell r="E173">
            <v>1</v>
          </cell>
          <cell r="F173">
            <v>45130</v>
          </cell>
          <cell r="G173">
            <v>0.58333333333333337</v>
          </cell>
          <cell r="H173">
            <v>45130</v>
          </cell>
          <cell r="I173">
            <v>45141</v>
          </cell>
          <cell r="J173">
            <v>7276991493</v>
          </cell>
          <cell r="L173">
            <v>6</v>
          </cell>
          <cell r="M173">
            <v>1</v>
          </cell>
          <cell r="N173">
            <v>1</v>
          </cell>
          <cell r="O173">
            <v>2</v>
          </cell>
          <cell r="P173">
            <v>2</v>
          </cell>
          <cell r="Q173">
            <v>2</v>
          </cell>
          <cell r="R173">
            <v>2</v>
          </cell>
          <cell r="S173">
            <v>2</v>
          </cell>
          <cell r="T173">
            <v>2</v>
          </cell>
          <cell r="U173">
            <v>2</v>
          </cell>
          <cell r="V173" t="str">
            <v>Asthma</v>
          </cell>
          <cell r="W173">
            <v>14.9</v>
          </cell>
          <cell r="Z173">
            <v>26.58</v>
          </cell>
          <cell r="AA173">
            <v>11.2</v>
          </cell>
          <cell r="AB173">
            <v>177</v>
          </cell>
          <cell r="AC173">
            <v>118.8</v>
          </cell>
          <cell r="AD173">
            <v>50</v>
          </cell>
          <cell r="AE173">
            <v>8.1999999999999993</v>
          </cell>
          <cell r="AF173">
            <v>41</v>
          </cell>
          <cell r="AG173">
            <v>267</v>
          </cell>
          <cell r="AJ173" t="str">
            <v>lt MCA territory infarct</v>
          </cell>
          <cell r="AK173" t="str">
            <v>complete occlusion thrombosis of entire lt ICA and M1 and M2 segments of lt MCA. calcified atherosclerotic plaques in lt carotid bulb causing approx 20-30% luminal narrowing</v>
          </cell>
          <cell r="AS173">
            <v>1</v>
          </cell>
          <cell r="AT173">
            <v>2</v>
          </cell>
          <cell r="AU173">
            <v>2</v>
          </cell>
          <cell r="AZ173">
            <v>2</v>
          </cell>
          <cell r="BA173">
            <v>85</v>
          </cell>
        </row>
        <row r="174">
          <cell r="A174" t="str">
            <v>Rammesh Raut</v>
          </cell>
          <cell r="C174">
            <v>230704763</v>
          </cell>
          <cell r="D174">
            <v>50</v>
          </cell>
          <cell r="E174">
            <v>1</v>
          </cell>
          <cell r="F174">
            <v>45135</v>
          </cell>
          <cell r="G174">
            <v>0.83333333333333337</v>
          </cell>
          <cell r="H174">
            <v>45136</v>
          </cell>
          <cell r="I174">
            <v>45141</v>
          </cell>
          <cell r="J174">
            <v>9665061962</v>
          </cell>
          <cell r="L174">
            <v>6</v>
          </cell>
          <cell r="M174">
            <v>1</v>
          </cell>
          <cell r="N174">
            <v>2</v>
          </cell>
          <cell r="O174">
            <v>2</v>
          </cell>
          <cell r="P174">
            <v>2</v>
          </cell>
          <cell r="Q174">
            <v>2</v>
          </cell>
          <cell r="R174">
            <v>2</v>
          </cell>
          <cell r="S174">
            <v>2</v>
          </cell>
          <cell r="T174">
            <v>2</v>
          </cell>
          <cell r="U174">
            <v>2</v>
          </cell>
          <cell r="V174" t="str">
            <v>past h/o of stroke on image</v>
          </cell>
          <cell r="W174">
            <v>14.5</v>
          </cell>
          <cell r="X174">
            <v>43.3</v>
          </cell>
          <cell r="Y174">
            <v>97.9</v>
          </cell>
          <cell r="Z174">
            <v>109</v>
          </cell>
          <cell r="AA174">
            <v>5.6</v>
          </cell>
          <cell r="AB174">
            <v>183</v>
          </cell>
          <cell r="AC174">
            <v>93</v>
          </cell>
          <cell r="AD174">
            <v>35</v>
          </cell>
          <cell r="AE174">
            <v>54</v>
          </cell>
          <cell r="AF174">
            <v>274</v>
          </cell>
          <cell r="AG174">
            <v>148</v>
          </cell>
          <cell r="AJ174" t="str">
            <v>Acute infarct in left parietal and frontal region. areas of gliosis in left temporal lob</v>
          </cell>
          <cell r="AK174" t="str">
            <v xml:space="preserve">Left &gt; Right M2 distal minor aneurysm. left transverse and sigmoid sinus thrombosis </v>
          </cell>
          <cell r="AS174">
            <v>1</v>
          </cell>
          <cell r="AT174">
            <v>2</v>
          </cell>
          <cell r="AU174">
            <v>1</v>
          </cell>
          <cell r="AV174">
            <v>1</v>
          </cell>
          <cell r="AZ174">
            <v>0</v>
          </cell>
          <cell r="BA174">
            <v>100</v>
          </cell>
        </row>
        <row r="175">
          <cell r="A175" t="str">
            <v xml:space="preserve">Sunil Nawale </v>
          </cell>
          <cell r="C175">
            <v>230704864</v>
          </cell>
          <cell r="D175">
            <v>57</v>
          </cell>
          <cell r="E175">
            <v>1</v>
          </cell>
          <cell r="F175">
            <v>45136</v>
          </cell>
          <cell r="G175">
            <v>0.54166666666666663</v>
          </cell>
          <cell r="H175">
            <v>45502</v>
          </cell>
          <cell r="J175">
            <v>7387679971</v>
          </cell>
          <cell r="M175">
            <v>2</v>
          </cell>
          <cell r="N175">
            <v>1</v>
          </cell>
          <cell r="O175">
            <v>2</v>
          </cell>
          <cell r="P175">
            <v>2</v>
          </cell>
          <cell r="Q175">
            <v>2</v>
          </cell>
          <cell r="R175">
            <v>2</v>
          </cell>
          <cell r="S175">
            <v>2</v>
          </cell>
          <cell r="T175">
            <v>2</v>
          </cell>
          <cell r="U175">
            <v>2</v>
          </cell>
          <cell r="W175">
            <v>14.7</v>
          </cell>
          <cell r="Z175">
            <v>25.67</v>
          </cell>
          <cell r="AA175">
            <v>13.8</v>
          </cell>
          <cell r="AB175">
            <v>149</v>
          </cell>
          <cell r="AC175">
            <v>37</v>
          </cell>
          <cell r="AD175">
            <v>96.8</v>
          </cell>
          <cell r="AE175">
            <v>15.2</v>
          </cell>
          <cell r="AF175">
            <v>76</v>
          </cell>
          <cell r="AG175">
            <v>2000</v>
          </cell>
          <cell r="AJ175" t="str">
            <v>Acute non-hemorrhagic infarct in right fronto-parieto-temporal lobe, right gangliocapsular region and right periventricular region (right MCA territory). Chronic lacunar infracts in bilateral centrum semiovale and corona radiata.</v>
          </cell>
          <cell r="AK175" t="str">
            <v>Few chronic microhemorrhages in bilateral gangliocapsular region, left thalamus, right fornix, left temporal lobe and right parafalcine region</v>
          </cell>
          <cell r="AS175">
            <v>1</v>
          </cell>
          <cell r="AT175">
            <v>1</v>
          </cell>
          <cell r="AU175">
            <v>2</v>
          </cell>
          <cell r="AZ175">
            <v>4</v>
          </cell>
          <cell r="BA175">
            <v>40</v>
          </cell>
        </row>
        <row r="176">
          <cell r="A176" t="str">
            <v>sunil nawale</v>
          </cell>
          <cell r="C176">
            <v>230704864</v>
          </cell>
          <cell r="D176">
            <v>57</v>
          </cell>
          <cell r="E176">
            <v>1</v>
          </cell>
          <cell r="F176">
            <v>45136</v>
          </cell>
          <cell r="G176">
            <v>8.3333333333333329E-2</v>
          </cell>
          <cell r="H176">
            <v>45136</v>
          </cell>
          <cell r="J176">
            <v>7387679974</v>
          </cell>
          <cell r="L176">
            <v>21</v>
          </cell>
          <cell r="M176">
            <v>2</v>
          </cell>
          <cell r="N176">
            <v>1</v>
          </cell>
          <cell r="O176">
            <v>2</v>
          </cell>
          <cell r="P176">
            <v>2</v>
          </cell>
          <cell r="Q176">
            <v>2</v>
          </cell>
          <cell r="R176">
            <v>2</v>
          </cell>
          <cell r="S176">
            <v>2</v>
          </cell>
          <cell r="T176">
            <v>2</v>
          </cell>
          <cell r="U176">
            <v>2</v>
          </cell>
          <cell r="W176">
            <v>14.7</v>
          </cell>
          <cell r="X176">
            <v>42.5</v>
          </cell>
          <cell r="Y176">
            <v>82.3</v>
          </cell>
          <cell r="Z176">
            <v>25.67</v>
          </cell>
          <cell r="AA176">
            <v>13</v>
          </cell>
          <cell r="AG176">
            <v>2000</v>
          </cell>
          <cell r="AJ176" t="str">
            <v>Rt MCA infarct with M1 occlusion. Acute NHI in right frontal temporal lobe, rt Ganglio capsular region, and rt periventricular region. Lacunar infarct in B/L centrum semiovale and corona radiata</v>
          </cell>
          <cell r="AK176" t="str">
            <v>Rt M1 occlusion</v>
          </cell>
          <cell r="AS176">
            <v>1</v>
          </cell>
          <cell r="AT176">
            <v>2</v>
          </cell>
          <cell r="AU176">
            <v>2</v>
          </cell>
          <cell r="AZ176">
            <v>4</v>
          </cell>
          <cell r="BA176">
            <v>40</v>
          </cell>
        </row>
        <row r="177">
          <cell r="A177" t="str">
            <v>pandurang salunkhe</v>
          </cell>
          <cell r="C177">
            <v>120205789</v>
          </cell>
          <cell r="D177">
            <v>78</v>
          </cell>
          <cell r="E177">
            <v>1</v>
          </cell>
          <cell r="F177">
            <v>45170</v>
          </cell>
          <cell r="G177">
            <v>0.49305555555555558</v>
          </cell>
          <cell r="H177">
            <v>45170</v>
          </cell>
          <cell r="I177">
            <v>45173</v>
          </cell>
          <cell r="J177">
            <v>9850007762</v>
          </cell>
          <cell r="L177">
            <v>3</v>
          </cell>
          <cell r="M177">
            <v>1</v>
          </cell>
          <cell r="N177">
            <v>1</v>
          </cell>
          <cell r="O177">
            <v>2</v>
          </cell>
          <cell r="P177">
            <v>2</v>
          </cell>
          <cell r="Q177">
            <v>1</v>
          </cell>
          <cell r="R177">
            <v>2</v>
          </cell>
          <cell r="S177">
            <v>2</v>
          </cell>
          <cell r="T177">
            <v>2</v>
          </cell>
          <cell r="U177">
            <v>2</v>
          </cell>
          <cell r="V177" t="str">
            <v>Old ICH in 2014 and Lt MCA infarct in 2020, Scar epilepsy, ? vascular PD, patient presented with seizure and then sedated</v>
          </cell>
          <cell r="W177">
            <v>13.2</v>
          </cell>
          <cell r="Z177">
            <v>28.51</v>
          </cell>
          <cell r="AA177">
            <v>8.1</v>
          </cell>
          <cell r="AB177">
            <v>111</v>
          </cell>
          <cell r="AC177">
            <v>54</v>
          </cell>
          <cell r="AD177">
            <v>33</v>
          </cell>
          <cell r="AF177">
            <v>117</v>
          </cell>
          <cell r="AG177">
            <v>328</v>
          </cell>
          <cell r="AJ177" t="str">
            <v xml:space="preserve">Tiny acte infarct in left centrum semiovale, Gliosis in rt basal ganglia and corona radiata </v>
          </cell>
          <cell r="AS177">
            <v>1</v>
          </cell>
          <cell r="AT177">
            <v>1</v>
          </cell>
          <cell r="AU177">
            <v>2</v>
          </cell>
          <cell r="AZ177">
            <v>1</v>
          </cell>
          <cell r="BA177">
            <v>100</v>
          </cell>
        </row>
        <row r="178">
          <cell r="A178" t="str">
            <v>Dhondiram Mule</v>
          </cell>
          <cell r="C178">
            <v>230900449</v>
          </cell>
          <cell r="D178">
            <v>76</v>
          </cell>
          <cell r="E178">
            <v>1</v>
          </cell>
          <cell r="F178">
            <v>45170</v>
          </cell>
          <cell r="H178">
            <v>45173</v>
          </cell>
          <cell r="I178">
            <v>45181</v>
          </cell>
          <cell r="J178">
            <v>9822497834</v>
          </cell>
          <cell r="L178">
            <v>10</v>
          </cell>
          <cell r="M178">
            <v>1</v>
          </cell>
          <cell r="N178">
            <v>1</v>
          </cell>
          <cell r="O178">
            <v>2</v>
          </cell>
          <cell r="P178">
            <v>2</v>
          </cell>
          <cell r="Q178">
            <v>2</v>
          </cell>
          <cell r="R178">
            <v>2</v>
          </cell>
          <cell r="S178">
            <v>2</v>
          </cell>
          <cell r="T178">
            <v>2</v>
          </cell>
          <cell r="U178">
            <v>2</v>
          </cell>
          <cell r="V178" t="str">
            <v>old H/O stroke in 2012, not on antiplatelets, NIHSS unable to assess, urosepsis + Shock + AKI on CKD, E2V2M5</v>
          </cell>
          <cell r="W178">
            <v>4</v>
          </cell>
          <cell r="X178">
            <v>12.1</v>
          </cell>
          <cell r="Y178">
            <v>133.1</v>
          </cell>
          <cell r="Z178">
            <v>31.25</v>
          </cell>
          <cell r="AB178">
            <v>100</v>
          </cell>
          <cell r="AC178">
            <v>41</v>
          </cell>
          <cell r="AD178">
            <v>28</v>
          </cell>
          <cell r="AE178">
            <v>31</v>
          </cell>
          <cell r="AF178">
            <v>155</v>
          </cell>
          <cell r="AG178">
            <v>2000</v>
          </cell>
          <cell r="AJ178" t="str">
            <v xml:space="preserve">Small right frontal infarct </v>
          </cell>
          <cell r="AS178">
            <v>1</v>
          </cell>
          <cell r="AT178">
            <v>1</v>
          </cell>
          <cell r="AU178">
            <v>2</v>
          </cell>
          <cell r="AZ178">
            <v>5</v>
          </cell>
          <cell r="BA178">
            <v>25</v>
          </cell>
        </row>
        <row r="179">
          <cell r="A179" t="str">
            <v>Archana Patil</v>
          </cell>
          <cell r="C179">
            <v>230804009</v>
          </cell>
          <cell r="D179">
            <v>45</v>
          </cell>
          <cell r="E179">
            <v>2</v>
          </cell>
          <cell r="F179">
            <v>45163</v>
          </cell>
          <cell r="G179">
            <v>0.41666666666666669</v>
          </cell>
          <cell r="H179">
            <v>45163</v>
          </cell>
          <cell r="I179">
            <v>45166</v>
          </cell>
          <cell r="J179">
            <v>9850715056</v>
          </cell>
          <cell r="L179">
            <v>11</v>
          </cell>
          <cell r="M179">
            <v>1</v>
          </cell>
          <cell r="N179">
            <v>2</v>
          </cell>
          <cell r="O179">
            <v>2</v>
          </cell>
          <cell r="P179">
            <v>2</v>
          </cell>
          <cell r="Q179">
            <v>2</v>
          </cell>
          <cell r="R179">
            <v>2</v>
          </cell>
          <cell r="S179">
            <v>2</v>
          </cell>
          <cell r="T179">
            <v>2</v>
          </cell>
          <cell r="U179">
            <v>2</v>
          </cell>
          <cell r="V179" t="str">
            <v xml:space="preserve">Rheumatoid Arthrities </v>
          </cell>
          <cell r="W179">
            <v>13.1</v>
          </cell>
          <cell r="X179">
            <v>43.3</v>
          </cell>
          <cell r="Y179">
            <v>70.3</v>
          </cell>
          <cell r="Z179">
            <v>22.79</v>
          </cell>
          <cell r="AB179">
            <v>186</v>
          </cell>
          <cell r="AC179">
            <v>129.19999999999999</v>
          </cell>
          <cell r="AD179">
            <v>40</v>
          </cell>
          <cell r="AE179">
            <v>129.19999999999999</v>
          </cell>
          <cell r="AF179">
            <v>84</v>
          </cell>
          <cell r="AG179">
            <v>174</v>
          </cell>
          <cell r="AJ179" t="str">
            <v>Rt ACA infarct</v>
          </cell>
          <cell r="AK179" t="str">
            <v>Rt A3 cut off left ICA fatty plaque seen but approx 20% luminal compromise</v>
          </cell>
          <cell r="AS179">
            <v>1</v>
          </cell>
          <cell r="AT179">
            <v>1</v>
          </cell>
          <cell r="AZ179">
            <v>4</v>
          </cell>
          <cell r="BA179">
            <v>40</v>
          </cell>
        </row>
        <row r="180">
          <cell r="A180" t="str">
            <v>Ashok VAiral</v>
          </cell>
          <cell r="C180">
            <v>180700881</v>
          </cell>
          <cell r="D180">
            <v>52</v>
          </cell>
          <cell r="E180">
            <v>1</v>
          </cell>
          <cell r="F180">
            <v>45172</v>
          </cell>
          <cell r="G180">
            <v>0.77083333333333337</v>
          </cell>
          <cell r="H180">
            <v>45175</v>
          </cell>
          <cell r="I180">
            <v>45176</v>
          </cell>
          <cell r="J180">
            <v>9689123544</v>
          </cell>
          <cell r="L180">
            <v>1</v>
          </cell>
          <cell r="M180">
            <v>1</v>
          </cell>
          <cell r="N180">
            <v>2</v>
          </cell>
          <cell r="O180">
            <v>2</v>
          </cell>
          <cell r="P180">
            <v>2</v>
          </cell>
          <cell r="Q180">
            <v>1</v>
          </cell>
          <cell r="R180">
            <v>2</v>
          </cell>
          <cell r="S180">
            <v>2</v>
          </cell>
          <cell r="T180">
            <v>2</v>
          </cell>
          <cell r="U180">
            <v>2</v>
          </cell>
          <cell r="V180" t="str">
            <v>B/L lower limb Elephantosis</v>
          </cell>
          <cell r="W180">
            <v>11.6</v>
          </cell>
          <cell r="X180">
            <v>36.5</v>
          </cell>
          <cell r="Y180">
            <v>76.3</v>
          </cell>
          <cell r="Z180">
            <v>23.31</v>
          </cell>
          <cell r="AA180">
            <v>6.3</v>
          </cell>
          <cell r="AB180">
            <v>169</v>
          </cell>
          <cell r="AC180">
            <v>111.2</v>
          </cell>
          <cell r="AD180">
            <v>45</v>
          </cell>
          <cell r="AE180">
            <v>12.8</v>
          </cell>
          <cell r="AF180">
            <v>64</v>
          </cell>
          <cell r="AG180">
            <v>148</v>
          </cell>
          <cell r="AJ180" t="str">
            <v xml:space="preserve">Acute lrft peri-rolandic NHI. Punctate NHI in insular cortx and high frontal lobe white matter </v>
          </cell>
          <cell r="AK180" t="str">
            <v>NHI in ACA-MCA watershed lt IJV thrombosis. mild paucity in cortical branches of M4 segment of Lt MCA</v>
          </cell>
          <cell r="AS180">
            <v>1</v>
          </cell>
          <cell r="AT180">
            <v>1</v>
          </cell>
          <cell r="AU180">
            <v>2</v>
          </cell>
          <cell r="AZ180">
            <v>1</v>
          </cell>
          <cell r="BA180">
            <v>100</v>
          </cell>
        </row>
        <row r="181">
          <cell r="A181" t="str">
            <v>Kamal Satbhai</v>
          </cell>
          <cell r="C181">
            <v>230802551</v>
          </cell>
          <cell r="D181">
            <v>75</v>
          </cell>
          <cell r="E181">
            <v>2</v>
          </cell>
          <cell r="F181">
            <v>45153</v>
          </cell>
          <cell r="G181">
            <v>0.375</v>
          </cell>
          <cell r="H181">
            <v>45155</v>
          </cell>
          <cell r="I181">
            <v>45163</v>
          </cell>
          <cell r="J181">
            <v>9604718659</v>
          </cell>
          <cell r="L181">
            <v>9</v>
          </cell>
          <cell r="M181">
            <v>1</v>
          </cell>
          <cell r="N181">
            <v>1</v>
          </cell>
          <cell r="O181">
            <v>2</v>
          </cell>
          <cell r="P181">
            <v>2</v>
          </cell>
          <cell r="Q181">
            <v>1</v>
          </cell>
          <cell r="R181">
            <v>2</v>
          </cell>
          <cell r="S181">
            <v>2</v>
          </cell>
          <cell r="T181">
            <v>2</v>
          </cell>
          <cell r="U181">
            <v>2</v>
          </cell>
          <cell r="W181">
            <v>9</v>
          </cell>
          <cell r="Z181">
            <v>9.5299999999999994</v>
          </cell>
          <cell r="AA181">
            <v>10.1</v>
          </cell>
          <cell r="AB181">
            <v>171</v>
          </cell>
          <cell r="AC181">
            <v>102</v>
          </cell>
          <cell r="AD181">
            <v>39</v>
          </cell>
          <cell r="AE181">
            <v>22.6</v>
          </cell>
          <cell r="AF181">
            <v>113</v>
          </cell>
          <cell r="AG181">
            <v>2000</v>
          </cell>
          <cell r="AH181" t="str">
            <v>2Decho- mild LVH</v>
          </cell>
          <cell r="AJ181" t="str">
            <v>Acute NHI in rt fronto-parietal lobe, rt occipital lobe, rt centrum semiovale and rt corona radiata</v>
          </cell>
          <cell r="AM181">
            <v>7</v>
          </cell>
          <cell r="AS181">
            <v>1</v>
          </cell>
          <cell r="AT181">
            <v>2</v>
          </cell>
          <cell r="AU181">
            <v>2</v>
          </cell>
          <cell r="AZ181">
            <v>6</v>
          </cell>
        </row>
        <row r="182">
          <cell r="A182" t="str">
            <v>Pooja Patre</v>
          </cell>
          <cell r="C182">
            <v>230804300</v>
          </cell>
          <cell r="D182">
            <v>27</v>
          </cell>
          <cell r="E182">
            <v>2</v>
          </cell>
          <cell r="F182">
            <v>45165</v>
          </cell>
          <cell r="G182">
            <v>0.9375</v>
          </cell>
          <cell r="H182">
            <v>45165</v>
          </cell>
          <cell r="I182">
            <v>45168</v>
          </cell>
          <cell r="J182">
            <v>9371381501</v>
          </cell>
          <cell r="L182">
            <v>6</v>
          </cell>
          <cell r="M182">
            <v>2</v>
          </cell>
          <cell r="N182">
            <v>2</v>
          </cell>
          <cell r="O182">
            <v>2</v>
          </cell>
          <cell r="P182">
            <v>2</v>
          </cell>
          <cell r="Q182">
            <v>1</v>
          </cell>
          <cell r="R182">
            <v>2</v>
          </cell>
          <cell r="S182">
            <v>2</v>
          </cell>
          <cell r="T182">
            <v>2</v>
          </cell>
          <cell r="U182">
            <v>2</v>
          </cell>
          <cell r="V182" t="str">
            <v>Hypothyroid</v>
          </cell>
          <cell r="W182">
            <v>9.6</v>
          </cell>
          <cell r="X182">
            <v>31.4</v>
          </cell>
          <cell r="Z182">
            <v>11.35</v>
          </cell>
          <cell r="AA182">
            <v>5.3</v>
          </cell>
          <cell r="AB182">
            <v>125</v>
          </cell>
          <cell r="AC182">
            <v>66</v>
          </cell>
          <cell r="AD182">
            <v>34</v>
          </cell>
          <cell r="AE182">
            <v>24.2</v>
          </cell>
          <cell r="AF182">
            <v>121</v>
          </cell>
          <cell r="AJ182" t="str">
            <v>acute nhi in rt caudate nucleus and putamen</v>
          </cell>
          <cell r="AK182" t="str">
            <v>normal</v>
          </cell>
          <cell r="AS182">
            <v>1</v>
          </cell>
          <cell r="AT182">
            <v>2</v>
          </cell>
          <cell r="AU182">
            <v>1</v>
          </cell>
          <cell r="AV182">
            <v>1</v>
          </cell>
          <cell r="AZ182">
            <v>0</v>
          </cell>
          <cell r="BA182">
            <v>100</v>
          </cell>
        </row>
        <row r="183">
          <cell r="A183" t="str">
            <v>vitthal limkar</v>
          </cell>
          <cell r="C183">
            <v>120502506</v>
          </cell>
          <cell r="D183">
            <v>80</v>
          </cell>
          <cell r="E183">
            <v>1</v>
          </cell>
          <cell r="F183">
            <v>45158</v>
          </cell>
          <cell r="G183">
            <v>0.45833333333333331</v>
          </cell>
          <cell r="H183">
            <v>45159</v>
          </cell>
          <cell r="I183">
            <v>45103</v>
          </cell>
          <cell r="J183">
            <v>9822555050</v>
          </cell>
          <cell r="L183">
            <v>3</v>
          </cell>
          <cell r="M183">
            <v>1</v>
          </cell>
          <cell r="N183">
            <v>1</v>
          </cell>
          <cell r="O183">
            <v>2</v>
          </cell>
          <cell r="P183">
            <v>2</v>
          </cell>
          <cell r="Q183">
            <v>1</v>
          </cell>
          <cell r="R183">
            <v>2</v>
          </cell>
          <cell r="S183">
            <v>2</v>
          </cell>
          <cell r="T183">
            <v>2</v>
          </cell>
          <cell r="U183">
            <v>2</v>
          </cell>
          <cell r="AA183">
            <v>5.5</v>
          </cell>
          <cell r="AB183">
            <v>165</v>
          </cell>
          <cell r="AC183">
            <v>103.8</v>
          </cell>
          <cell r="AD183">
            <v>36</v>
          </cell>
          <cell r="AE183">
            <v>25.2</v>
          </cell>
          <cell r="AF183">
            <v>126</v>
          </cell>
          <cell r="AJ183" t="str">
            <v>Axute NHI in Rt centrum semiovale circular areas of heterogenous signal intensity in rt centrum semiovale, Lt corona radita and Lt occupital lobe. infarct in GC region and lt corona radiata</v>
          </cell>
          <cell r="AK183" t="str">
            <v>atherosclerotic calcified arch of aorta and both cavernous ICA's. superior sagittal sinus shows patchy filling defects on sagittal axial images</v>
          </cell>
          <cell r="AS183">
            <v>1</v>
          </cell>
          <cell r="AT183">
            <v>1</v>
          </cell>
          <cell r="AU183">
            <v>2</v>
          </cell>
          <cell r="AZ183">
            <v>0</v>
          </cell>
          <cell r="BA183">
            <v>100</v>
          </cell>
        </row>
        <row r="184">
          <cell r="A184" t="str">
            <v>Nitin Khollam</v>
          </cell>
          <cell r="C184">
            <v>230802873</v>
          </cell>
          <cell r="D184">
            <v>49</v>
          </cell>
          <cell r="E184">
            <v>1</v>
          </cell>
          <cell r="F184">
            <v>45157</v>
          </cell>
          <cell r="G184">
            <v>0.5625</v>
          </cell>
          <cell r="H184">
            <v>45157</v>
          </cell>
          <cell r="I184">
            <v>45159</v>
          </cell>
          <cell r="J184">
            <v>9545741914</v>
          </cell>
          <cell r="L184">
            <v>2</v>
          </cell>
          <cell r="M184">
            <v>1</v>
          </cell>
          <cell r="N184">
            <v>2</v>
          </cell>
          <cell r="O184">
            <v>2</v>
          </cell>
          <cell r="P184">
            <v>2</v>
          </cell>
          <cell r="Q184">
            <v>1</v>
          </cell>
          <cell r="R184">
            <v>2</v>
          </cell>
          <cell r="S184">
            <v>2</v>
          </cell>
          <cell r="T184">
            <v>2</v>
          </cell>
          <cell r="U184">
            <v>2</v>
          </cell>
          <cell r="W184">
            <v>16</v>
          </cell>
          <cell r="X184">
            <v>46.5</v>
          </cell>
          <cell r="Y184">
            <v>93.2</v>
          </cell>
          <cell r="AB184">
            <v>172</v>
          </cell>
          <cell r="AC184">
            <v>122.8</v>
          </cell>
          <cell r="AD184">
            <v>26</v>
          </cell>
          <cell r="AE184">
            <v>23.2</v>
          </cell>
          <cell r="AF184">
            <v>116</v>
          </cell>
          <cell r="AJ184" t="str">
            <v>mild restricted diffusion inferior frontal gyrus involving the cortex and subcortical white matter. small lacunar infarcts in posterior temporal lobe. small vessel ischemic lesions in B/L periventricular and subcortical matter</v>
          </cell>
          <cell r="AK184" t="str">
            <v>normal</v>
          </cell>
          <cell r="AS184">
            <v>1</v>
          </cell>
          <cell r="AT184">
            <v>1</v>
          </cell>
          <cell r="AU184">
            <v>2</v>
          </cell>
          <cell r="AZ184">
            <v>0</v>
          </cell>
          <cell r="BA184">
            <v>100</v>
          </cell>
        </row>
        <row r="185">
          <cell r="A185" t="str">
            <v>Arun jAdhav</v>
          </cell>
          <cell r="C185">
            <v>240000005888</v>
          </cell>
          <cell r="D185">
            <v>55</v>
          </cell>
          <cell r="E185">
            <v>2</v>
          </cell>
          <cell r="F185">
            <v>45306</v>
          </cell>
          <cell r="G185">
            <v>0.79166666666666663</v>
          </cell>
          <cell r="H185">
            <v>45306</v>
          </cell>
          <cell r="J185">
            <v>7758841270</v>
          </cell>
          <cell r="L185">
            <v>4</v>
          </cell>
          <cell r="M185">
            <v>2</v>
          </cell>
          <cell r="N185">
            <v>1</v>
          </cell>
          <cell r="O185">
            <v>2</v>
          </cell>
          <cell r="P185">
            <v>2</v>
          </cell>
          <cell r="Q185">
            <v>2</v>
          </cell>
          <cell r="R185">
            <v>2</v>
          </cell>
          <cell r="S185">
            <v>2</v>
          </cell>
          <cell r="T185">
            <v>2</v>
          </cell>
          <cell r="U185">
            <v>2</v>
          </cell>
          <cell r="V185" t="str">
            <v>OPD patient</v>
          </cell>
          <cell r="AJ185" t="str">
            <v>Rt putamen and corona radiata infarct</v>
          </cell>
          <cell r="AK185" t="str">
            <v>Rt M1 stenosis (Minimal). Lt communicating internal carotid artery stenosis</v>
          </cell>
          <cell r="AS185">
            <v>1</v>
          </cell>
          <cell r="AT185">
            <v>1</v>
          </cell>
          <cell r="AU185">
            <v>2</v>
          </cell>
        </row>
        <row r="186">
          <cell r="A186" t="str">
            <v>Kadam Prakash</v>
          </cell>
          <cell r="C186">
            <v>240000003474</v>
          </cell>
          <cell r="D186">
            <v>68</v>
          </cell>
          <cell r="E186">
            <v>1</v>
          </cell>
          <cell r="F186">
            <v>45299</v>
          </cell>
          <cell r="G186">
            <v>0.97916666666666663</v>
          </cell>
          <cell r="H186">
            <v>45300</v>
          </cell>
          <cell r="I186">
            <v>45306</v>
          </cell>
          <cell r="J186">
            <v>9960374392</v>
          </cell>
          <cell r="L186">
            <v>7</v>
          </cell>
          <cell r="M186">
            <v>1</v>
          </cell>
          <cell r="N186">
            <v>2</v>
          </cell>
          <cell r="O186">
            <v>2</v>
          </cell>
          <cell r="P186">
            <v>2</v>
          </cell>
          <cell r="Q186">
            <v>2</v>
          </cell>
          <cell r="R186">
            <v>2</v>
          </cell>
          <cell r="S186">
            <v>1</v>
          </cell>
          <cell r="T186">
            <v>2</v>
          </cell>
          <cell r="U186">
            <v>2</v>
          </cell>
          <cell r="V186" t="str">
            <v>CHAD VAS -4</v>
          </cell>
          <cell r="W186">
            <v>12.4</v>
          </cell>
          <cell r="X186">
            <v>36.5</v>
          </cell>
          <cell r="Y186">
            <v>92.2</v>
          </cell>
          <cell r="Z186">
            <v>20.73</v>
          </cell>
          <cell r="AA186">
            <v>5.5</v>
          </cell>
          <cell r="AB186">
            <v>203</v>
          </cell>
          <cell r="AC186">
            <v>136.4</v>
          </cell>
          <cell r="AD186">
            <v>36</v>
          </cell>
          <cell r="AE186">
            <v>30.6</v>
          </cell>
          <cell r="AF186">
            <v>153</v>
          </cell>
          <cell r="AG186">
            <v>400</v>
          </cell>
          <cell r="AJ186" t="str">
            <v>Lt MCA PCA watershed infarct</v>
          </cell>
          <cell r="AK186" t="str">
            <v>Lt vertebral artery hypoplastic. Left M1 stenosis</v>
          </cell>
          <cell r="AL186" t="str">
            <v>Acute AIS in lt parieto occipital infarct with M1 segment narrowing of Lt MCA</v>
          </cell>
          <cell r="AM186">
            <v>7</v>
          </cell>
          <cell r="AN186">
            <v>1</v>
          </cell>
          <cell r="AO186">
            <v>3</v>
          </cell>
          <cell r="AP186">
            <v>3</v>
          </cell>
          <cell r="AQ186">
            <v>5</v>
          </cell>
          <cell r="AS186">
            <v>1</v>
          </cell>
          <cell r="AT186">
            <v>1</v>
          </cell>
          <cell r="AU186">
            <v>2</v>
          </cell>
        </row>
        <row r="187">
          <cell r="A187" t="str">
            <v>Maral ravindra</v>
          </cell>
          <cell r="C187">
            <v>240000005480</v>
          </cell>
          <cell r="D187">
            <v>50</v>
          </cell>
          <cell r="E187">
            <v>1</v>
          </cell>
          <cell r="F187">
            <v>45302</v>
          </cell>
          <cell r="G187">
            <v>0.66666666666666663</v>
          </cell>
          <cell r="H187">
            <v>45305</v>
          </cell>
          <cell r="I187">
            <v>45309</v>
          </cell>
          <cell r="J187">
            <v>9881713537</v>
          </cell>
          <cell r="L187">
            <v>16</v>
          </cell>
          <cell r="M187">
            <v>1</v>
          </cell>
          <cell r="N187">
            <v>1</v>
          </cell>
          <cell r="O187">
            <v>2</v>
          </cell>
          <cell r="P187">
            <v>2</v>
          </cell>
          <cell r="Q187">
            <v>2</v>
          </cell>
          <cell r="R187">
            <v>2</v>
          </cell>
          <cell r="S187">
            <v>2</v>
          </cell>
          <cell r="T187">
            <v>2</v>
          </cell>
          <cell r="U187">
            <v>2</v>
          </cell>
          <cell r="W187">
            <v>14.6</v>
          </cell>
          <cell r="X187">
            <v>42.4</v>
          </cell>
          <cell r="Y187">
            <v>97.1</v>
          </cell>
          <cell r="Z187">
            <v>20.97</v>
          </cell>
          <cell r="AA187">
            <v>8.6999999999999993</v>
          </cell>
          <cell r="AB187">
            <v>145</v>
          </cell>
          <cell r="AC187">
            <v>85.2</v>
          </cell>
          <cell r="AD187">
            <v>31</v>
          </cell>
          <cell r="AE187">
            <v>28.2</v>
          </cell>
          <cell r="AF187">
            <v>144</v>
          </cell>
          <cell r="AG187">
            <v>324</v>
          </cell>
          <cell r="AJ187" t="str">
            <v>left PCA MCA watershed infarct</v>
          </cell>
          <cell r="AK187" t="str">
            <v xml:space="preserve">left internal carotid artery cavernous PCA stenosis </v>
          </cell>
          <cell r="AM187">
            <v>9</v>
          </cell>
          <cell r="AN187">
            <v>1</v>
          </cell>
          <cell r="AO187">
            <v>3</v>
          </cell>
          <cell r="AP187">
            <v>3</v>
          </cell>
          <cell r="AQ187">
            <v>5</v>
          </cell>
          <cell r="AS187">
            <v>1</v>
          </cell>
          <cell r="AT187">
            <v>1</v>
          </cell>
          <cell r="AU187">
            <v>2</v>
          </cell>
        </row>
        <row r="188">
          <cell r="A188" t="str">
            <v>Bhikoba Khatape</v>
          </cell>
          <cell r="C188">
            <v>240000000321</v>
          </cell>
          <cell r="D188">
            <v>77</v>
          </cell>
          <cell r="E188">
            <v>1</v>
          </cell>
          <cell r="F188">
            <v>45292</v>
          </cell>
          <cell r="G188">
            <v>0.5</v>
          </cell>
          <cell r="H188">
            <v>45292</v>
          </cell>
          <cell r="I188">
            <v>45294</v>
          </cell>
          <cell r="J188">
            <v>9403662700</v>
          </cell>
          <cell r="M188">
            <v>2</v>
          </cell>
          <cell r="N188">
            <v>2</v>
          </cell>
          <cell r="O188">
            <v>2</v>
          </cell>
          <cell r="P188">
            <v>2</v>
          </cell>
          <cell r="Q188">
            <v>2</v>
          </cell>
          <cell r="R188">
            <v>2</v>
          </cell>
          <cell r="S188">
            <v>1</v>
          </cell>
          <cell r="T188">
            <v>1</v>
          </cell>
          <cell r="U188">
            <v>2</v>
          </cell>
          <cell r="W188">
            <v>9.6</v>
          </cell>
          <cell r="X188">
            <v>31.9</v>
          </cell>
          <cell r="Y188">
            <v>69.8</v>
          </cell>
          <cell r="Z188">
            <v>15.55</v>
          </cell>
          <cell r="AA188">
            <v>5.6</v>
          </cell>
          <cell r="AB188">
            <v>124</v>
          </cell>
          <cell r="AC188">
            <v>70.400000000000006</v>
          </cell>
          <cell r="AD188">
            <v>35</v>
          </cell>
          <cell r="AE188">
            <v>18.600000000000001</v>
          </cell>
          <cell r="AF188">
            <v>93</v>
          </cell>
          <cell r="AG188">
            <v>191</v>
          </cell>
          <cell r="AJ188" t="str">
            <v>S/o multiple infarcts in lt fronto-parietal region likely embolic</v>
          </cell>
          <cell r="AM188">
            <v>9</v>
          </cell>
          <cell r="AN188">
            <v>1</v>
          </cell>
          <cell r="AO188">
            <v>3</v>
          </cell>
          <cell r="AP188">
            <v>3</v>
          </cell>
          <cell r="AQ188">
            <v>5</v>
          </cell>
          <cell r="AS188">
            <v>1</v>
          </cell>
          <cell r="AT188">
            <v>1</v>
          </cell>
          <cell r="AU188">
            <v>2</v>
          </cell>
          <cell r="AZ188">
            <v>0</v>
          </cell>
          <cell r="BA188">
            <v>95</v>
          </cell>
        </row>
        <row r="189">
          <cell r="A189" t="str">
            <v>Namdev Washilkar</v>
          </cell>
          <cell r="C189">
            <v>240000001332</v>
          </cell>
          <cell r="D189">
            <v>50</v>
          </cell>
          <cell r="E189">
            <v>1</v>
          </cell>
          <cell r="F189">
            <v>45294</v>
          </cell>
          <cell r="G189">
            <v>0.76041666666666663</v>
          </cell>
          <cell r="H189">
            <v>45294</v>
          </cell>
          <cell r="I189">
            <v>45306</v>
          </cell>
          <cell r="J189">
            <v>7822843581</v>
          </cell>
          <cell r="L189">
            <v>24</v>
          </cell>
          <cell r="M189">
            <v>1</v>
          </cell>
          <cell r="N189">
            <v>2</v>
          </cell>
          <cell r="O189">
            <v>2</v>
          </cell>
          <cell r="P189">
            <v>1</v>
          </cell>
          <cell r="Q189">
            <v>1</v>
          </cell>
          <cell r="R189">
            <v>2</v>
          </cell>
          <cell r="S189">
            <v>2</v>
          </cell>
          <cell r="T189">
            <v>2</v>
          </cell>
          <cell r="U189">
            <v>2</v>
          </cell>
          <cell r="V189" t="str">
            <v>Aspiration pneumonia</v>
          </cell>
          <cell r="W189">
            <v>13.5</v>
          </cell>
          <cell r="X189">
            <v>41</v>
          </cell>
          <cell r="Y189">
            <v>97.2</v>
          </cell>
          <cell r="Z189">
            <v>33.42</v>
          </cell>
          <cell r="AA189">
            <v>5.6</v>
          </cell>
          <cell r="AB189">
            <v>115</v>
          </cell>
          <cell r="AC189">
            <v>64.400000000000006</v>
          </cell>
          <cell r="AD189">
            <v>31</v>
          </cell>
          <cell r="AE189">
            <v>19.600000000000001</v>
          </cell>
          <cell r="AF189">
            <v>98</v>
          </cell>
          <cell r="AG189">
            <v>156</v>
          </cell>
          <cell r="AJ189" t="str">
            <v>Hyperacute non-hemorrhagic infarct involving the cortical and subcortical white matter of left fronto-parieto-temporal lobe, left coronal radiata and left peri-trigonal region</v>
          </cell>
          <cell r="AK189" t="str">
            <v>complete non-opacification of left ICA from its origin and left MCA, suggestive of thrombosis</v>
          </cell>
          <cell r="AM189">
            <v>8</v>
          </cell>
          <cell r="AN189">
            <v>2</v>
          </cell>
          <cell r="AO189">
            <v>2</v>
          </cell>
          <cell r="AP189">
            <v>1</v>
          </cell>
          <cell r="AQ189">
            <v>3</v>
          </cell>
          <cell r="AS189">
            <v>1</v>
          </cell>
          <cell r="AT189">
            <v>2</v>
          </cell>
          <cell r="AU189">
            <v>1</v>
          </cell>
          <cell r="AV189">
            <v>1</v>
          </cell>
          <cell r="AZ189">
            <v>4</v>
          </cell>
          <cell r="BA189">
            <v>25</v>
          </cell>
        </row>
        <row r="190">
          <cell r="A190" t="str">
            <v>rohit pawar</v>
          </cell>
          <cell r="C190">
            <v>230000066471</v>
          </cell>
          <cell r="D190">
            <v>30</v>
          </cell>
          <cell r="E190">
            <v>1</v>
          </cell>
          <cell r="F190">
            <v>45292</v>
          </cell>
          <cell r="H190">
            <v>45295</v>
          </cell>
          <cell r="I190">
            <v>45296</v>
          </cell>
          <cell r="J190">
            <v>7972207055</v>
          </cell>
          <cell r="K190">
            <v>9552292312</v>
          </cell>
          <cell r="L190">
            <v>4</v>
          </cell>
          <cell r="M190">
            <v>1</v>
          </cell>
          <cell r="N190">
            <v>2</v>
          </cell>
          <cell r="O190">
            <v>1</v>
          </cell>
          <cell r="P190">
            <v>1</v>
          </cell>
          <cell r="Q190">
            <v>2</v>
          </cell>
          <cell r="R190">
            <v>2</v>
          </cell>
          <cell r="S190">
            <v>2</v>
          </cell>
          <cell r="T190">
            <v>2</v>
          </cell>
          <cell r="U190">
            <v>2</v>
          </cell>
          <cell r="W190">
            <v>16.899999999999999</v>
          </cell>
          <cell r="X190">
            <v>52.4</v>
          </cell>
          <cell r="Y190">
            <v>82.1</v>
          </cell>
          <cell r="Z190">
            <v>62.86</v>
          </cell>
          <cell r="AB190">
            <v>180</v>
          </cell>
          <cell r="AC190">
            <v>16</v>
          </cell>
          <cell r="AD190">
            <v>42</v>
          </cell>
          <cell r="AE190">
            <v>21.6</v>
          </cell>
          <cell r="AF190">
            <v>108</v>
          </cell>
          <cell r="AG190">
            <v>401</v>
          </cell>
          <cell r="AH190" t="str">
            <v>outside MRI/CTA</v>
          </cell>
          <cell r="AJ190" t="str">
            <v xml:space="preserve">acute AIS in rt corona radiata and slow flow in rt v2 artery. </v>
          </cell>
          <cell r="AK190" t="str">
            <v>old lacunar infarct boted in rt lentiform nucleus. multiple old ischemic foci noted in B/L fronto parietal periventricular and subcortical white matter</v>
          </cell>
          <cell r="AM190">
            <v>10</v>
          </cell>
          <cell r="AS190">
            <v>1</v>
          </cell>
          <cell r="AT190">
            <v>1</v>
          </cell>
          <cell r="AU190">
            <v>2</v>
          </cell>
          <cell r="AZ190">
            <v>0</v>
          </cell>
          <cell r="BA190">
            <v>100</v>
          </cell>
        </row>
        <row r="191">
          <cell r="A191" t="str">
            <v>Vikrant salunkhe</v>
          </cell>
          <cell r="C191">
            <v>240000002182</v>
          </cell>
          <cell r="D191">
            <v>30</v>
          </cell>
          <cell r="E191">
            <v>1</v>
          </cell>
          <cell r="F191">
            <v>45296</v>
          </cell>
          <cell r="G191">
            <v>0.91666666666666663</v>
          </cell>
          <cell r="H191">
            <v>45297</v>
          </cell>
          <cell r="I191">
            <v>45297</v>
          </cell>
          <cell r="J191">
            <v>9595462767</v>
          </cell>
          <cell r="K191">
            <v>9049331113</v>
          </cell>
          <cell r="L191">
            <v>1</v>
          </cell>
          <cell r="M191">
            <v>2</v>
          </cell>
          <cell r="N191">
            <v>2</v>
          </cell>
          <cell r="O191">
            <v>2</v>
          </cell>
          <cell r="P191">
            <v>2</v>
          </cell>
          <cell r="Q191">
            <v>2</v>
          </cell>
          <cell r="R191">
            <v>2</v>
          </cell>
          <cell r="S191">
            <v>2</v>
          </cell>
          <cell r="T191">
            <v>2</v>
          </cell>
          <cell r="U191">
            <v>2</v>
          </cell>
          <cell r="W191">
            <v>15.4</v>
          </cell>
          <cell r="X191">
            <v>46.4</v>
          </cell>
          <cell r="Y191">
            <v>85.9</v>
          </cell>
          <cell r="AB191">
            <v>144</v>
          </cell>
          <cell r="AC191">
            <v>96.6</v>
          </cell>
          <cell r="AD191">
            <v>32</v>
          </cell>
          <cell r="AE191">
            <v>15.4</v>
          </cell>
          <cell r="AF191">
            <v>77</v>
          </cell>
          <cell r="AG191">
            <v>184</v>
          </cell>
          <cell r="AJ191" t="str">
            <v>rt pre central gyrus infarct</v>
          </cell>
          <cell r="AK191" t="str">
            <v>normal</v>
          </cell>
          <cell r="AM191">
            <v>9</v>
          </cell>
          <cell r="AN191">
            <v>1</v>
          </cell>
          <cell r="AO191">
            <v>3</v>
          </cell>
          <cell r="AP191">
            <v>3</v>
          </cell>
          <cell r="AQ191">
            <v>5</v>
          </cell>
          <cell r="AZ191">
            <v>0</v>
          </cell>
          <cell r="BA191">
            <v>100</v>
          </cell>
        </row>
        <row r="192">
          <cell r="A192" t="str">
            <v>Kaushalya Mane</v>
          </cell>
          <cell r="C192">
            <v>240000004322</v>
          </cell>
          <cell r="D192">
            <v>70</v>
          </cell>
          <cell r="E192">
            <v>2</v>
          </cell>
          <cell r="F192">
            <v>45302</v>
          </cell>
          <cell r="G192">
            <v>0.125</v>
          </cell>
          <cell r="H192">
            <v>45302</v>
          </cell>
          <cell r="I192">
            <v>45306</v>
          </cell>
          <cell r="J192">
            <v>9975013292</v>
          </cell>
          <cell r="L192">
            <v>4</v>
          </cell>
          <cell r="M192">
            <v>2</v>
          </cell>
          <cell r="N192">
            <v>1</v>
          </cell>
          <cell r="O192">
            <v>2</v>
          </cell>
          <cell r="P192">
            <v>2</v>
          </cell>
          <cell r="Q192">
            <v>2</v>
          </cell>
          <cell r="R192">
            <v>2</v>
          </cell>
          <cell r="S192">
            <v>2</v>
          </cell>
          <cell r="T192">
            <v>2</v>
          </cell>
          <cell r="U192">
            <v>2</v>
          </cell>
          <cell r="V192" t="str">
            <v>old stroke in rt MCA gliosis seen on MRI</v>
          </cell>
          <cell r="W192">
            <v>11.8</v>
          </cell>
          <cell r="X192">
            <v>37.6</v>
          </cell>
          <cell r="Y192">
            <v>83.6</v>
          </cell>
          <cell r="Z192">
            <v>6.39</v>
          </cell>
          <cell r="AA192">
            <v>7.5</v>
          </cell>
          <cell r="AB192">
            <v>285</v>
          </cell>
          <cell r="AC192">
            <v>197.4</v>
          </cell>
          <cell r="AD192">
            <v>44</v>
          </cell>
          <cell r="AE192">
            <v>43.6</v>
          </cell>
          <cell r="AF192">
            <v>21</v>
          </cell>
          <cell r="AG192">
            <v>2000</v>
          </cell>
          <cell r="AJ192" t="str">
            <v>right tiny internal watershed infarct</v>
          </cell>
          <cell r="AK192" t="str">
            <v>not done</v>
          </cell>
          <cell r="AZ192">
            <v>0</v>
          </cell>
          <cell r="BA192">
            <v>90</v>
          </cell>
        </row>
        <row r="193">
          <cell r="A193" t="str">
            <v xml:space="preserve">Fatate Sidheshwar </v>
          </cell>
          <cell r="C193">
            <v>240000002722</v>
          </cell>
          <cell r="D193">
            <v>59</v>
          </cell>
          <cell r="E193">
            <v>1</v>
          </cell>
          <cell r="F193">
            <v>45298</v>
          </cell>
          <cell r="G193">
            <v>0.58333333333333337</v>
          </cell>
          <cell r="H193">
            <v>45298</v>
          </cell>
          <cell r="I193">
            <v>45300</v>
          </cell>
          <cell r="J193">
            <v>8390060098</v>
          </cell>
          <cell r="K193">
            <v>7350544384</v>
          </cell>
          <cell r="L193">
            <v>2</v>
          </cell>
          <cell r="M193">
            <v>1</v>
          </cell>
          <cell r="N193">
            <v>2</v>
          </cell>
          <cell r="O193">
            <v>2</v>
          </cell>
          <cell r="P193">
            <v>2</v>
          </cell>
          <cell r="Q193">
            <v>2</v>
          </cell>
          <cell r="R193">
            <v>2</v>
          </cell>
          <cell r="S193">
            <v>2</v>
          </cell>
          <cell r="T193">
            <v>2</v>
          </cell>
          <cell r="U193">
            <v>2</v>
          </cell>
          <cell r="V193" t="str">
            <v>Past H/O Hansens disease</v>
          </cell>
          <cell r="W193">
            <v>13.2</v>
          </cell>
          <cell r="X193">
            <v>39.299999999999997</v>
          </cell>
          <cell r="Y193">
            <v>82.9</v>
          </cell>
          <cell r="Z193">
            <v>48.66</v>
          </cell>
          <cell r="AB193">
            <v>145</v>
          </cell>
          <cell r="AC193">
            <v>94.6</v>
          </cell>
          <cell r="AD193">
            <v>43</v>
          </cell>
          <cell r="AE193">
            <v>7.4</v>
          </cell>
          <cell r="AF193">
            <v>37</v>
          </cell>
          <cell r="AG193">
            <v>148</v>
          </cell>
          <cell r="AJ193" t="str">
            <v>right corona radiata infarct</v>
          </cell>
          <cell r="AK193" t="str">
            <v>normal</v>
          </cell>
          <cell r="AM193">
            <v>9</v>
          </cell>
          <cell r="AN193">
            <v>1</v>
          </cell>
          <cell r="AO193">
            <v>3</v>
          </cell>
          <cell r="AP193">
            <v>3</v>
          </cell>
          <cell r="AQ193">
            <v>5</v>
          </cell>
          <cell r="AS193">
            <v>1</v>
          </cell>
          <cell r="AT193">
            <v>1</v>
          </cell>
          <cell r="AU193">
            <v>2</v>
          </cell>
          <cell r="AZ193">
            <v>0</v>
          </cell>
          <cell r="BA193">
            <v>100</v>
          </cell>
        </row>
        <row r="194">
          <cell r="A194" t="str">
            <v>Vinod Shinde</v>
          </cell>
          <cell r="C194">
            <v>240000004751</v>
          </cell>
          <cell r="D194">
            <v>49</v>
          </cell>
          <cell r="E194">
            <v>1</v>
          </cell>
          <cell r="F194">
            <v>45303</v>
          </cell>
          <cell r="G194">
            <v>0.58333333333333337</v>
          </cell>
          <cell r="H194">
            <v>45303</v>
          </cell>
          <cell r="I194">
            <v>45313</v>
          </cell>
          <cell r="J194">
            <v>7741942970</v>
          </cell>
          <cell r="K194">
            <v>9850169909</v>
          </cell>
          <cell r="L194">
            <v>1</v>
          </cell>
          <cell r="M194">
            <v>1</v>
          </cell>
          <cell r="N194">
            <v>1</v>
          </cell>
          <cell r="O194">
            <v>1</v>
          </cell>
          <cell r="P194">
            <v>1</v>
          </cell>
          <cell r="Q194">
            <v>2</v>
          </cell>
          <cell r="R194">
            <v>2</v>
          </cell>
          <cell r="S194">
            <v>2</v>
          </cell>
          <cell r="T194">
            <v>2</v>
          </cell>
          <cell r="U194">
            <v>2</v>
          </cell>
          <cell r="W194">
            <v>10.4</v>
          </cell>
          <cell r="X194">
            <v>34.9</v>
          </cell>
          <cell r="Y194">
            <v>73.5</v>
          </cell>
          <cell r="Z194">
            <v>22.04</v>
          </cell>
          <cell r="AA194">
            <v>11.8</v>
          </cell>
          <cell r="AB194">
            <v>188</v>
          </cell>
          <cell r="AC194">
            <v>139</v>
          </cell>
          <cell r="AD194">
            <v>38</v>
          </cell>
          <cell r="AE194">
            <v>11</v>
          </cell>
          <cell r="AF194">
            <v>55</v>
          </cell>
          <cell r="AG194">
            <v>234</v>
          </cell>
          <cell r="AJ194" t="str">
            <v>Hyperacute non-hemorrhagic infarcts in right fronto-parietal region and right occipital region</v>
          </cell>
          <cell r="AK194" t="str">
            <v>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v>
          </cell>
          <cell r="AM194">
            <v>9</v>
          </cell>
          <cell r="AN194">
            <v>1</v>
          </cell>
          <cell r="AO194">
            <v>5</v>
          </cell>
          <cell r="AP194">
            <v>3</v>
          </cell>
          <cell r="AQ194">
            <v>5</v>
          </cell>
          <cell r="AS194">
            <v>1</v>
          </cell>
          <cell r="AT194">
            <v>1</v>
          </cell>
          <cell r="AU194">
            <v>1</v>
          </cell>
          <cell r="AV194">
            <v>1</v>
          </cell>
          <cell r="AZ194">
            <v>0</v>
          </cell>
          <cell r="BA194">
            <v>100</v>
          </cell>
        </row>
        <row r="195">
          <cell r="A195" t="str">
            <v>Dnyanoba Dhindale</v>
          </cell>
          <cell r="C195">
            <v>240000004454</v>
          </cell>
          <cell r="D195">
            <v>62</v>
          </cell>
          <cell r="E195">
            <v>1</v>
          </cell>
          <cell r="F195">
            <v>45301</v>
          </cell>
          <cell r="G195">
            <v>0.875</v>
          </cell>
          <cell r="H195">
            <v>45302</v>
          </cell>
          <cell r="I195">
            <v>45307</v>
          </cell>
          <cell r="J195">
            <v>8208224545</v>
          </cell>
          <cell r="K195">
            <v>7744911292</v>
          </cell>
          <cell r="L195">
            <v>5</v>
          </cell>
          <cell r="M195">
            <v>2</v>
          </cell>
          <cell r="N195">
            <v>1</v>
          </cell>
          <cell r="O195">
            <v>2</v>
          </cell>
          <cell r="P195">
            <v>1</v>
          </cell>
          <cell r="Q195">
            <v>2</v>
          </cell>
          <cell r="R195">
            <v>2</v>
          </cell>
          <cell r="S195">
            <v>2</v>
          </cell>
          <cell r="T195">
            <v>2</v>
          </cell>
          <cell r="U195">
            <v>2</v>
          </cell>
          <cell r="V195" t="str">
            <v>TIA on 10/01/2024 and stroke on 11/01/2024</v>
          </cell>
          <cell r="W195">
            <v>13.4</v>
          </cell>
          <cell r="X195">
            <v>39.799999999999997</v>
          </cell>
          <cell r="Y195">
            <v>90.5</v>
          </cell>
          <cell r="Z195">
            <v>10.59</v>
          </cell>
          <cell r="AB195">
            <v>209</v>
          </cell>
          <cell r="AC195">
            <v>135.4</v>
          </cell>
          <cell r="AD195">
            <v>29</v>
          </cell>
          <cell r="AE195">
            <v>44.6</v>
          </cell>
          <cell r="AF195">
            <v>223</v>
          </cell>
          <cell r="AG195">
            <v>217</v>
          </cell>
          <cell r="AJ195" t="str">
            <v>Rt MCA PCA watershed infarct</v>
          </cell>
          <cell r="AK195" t="str">
            <v xml:space="preserve">90% stenosis of rt vertebral artery and stenosis of inferior division of rt MCA </v>
          </cell>
          <cell r="AM195">
            <v>9</v>
          </cell>
          <cell r="AN195">
            <v>1</v>
          </cell>
          <cell r="AO195">
            <v>3</v>
          </cell>
          <cell r="AP195">
            <v>3</v>
          </cell>
          <cell r="AQ195">
            <v>5</v>
          </cell>
          <cell r="AS195">
            <v>1</v>
          </cell>
          <cell r="AT195">
            <v>1</v>
          </cell>
          <cell r="AU195">
            <v>2</v>
          </cell>
          <cell r="AZ195">
            <v>1</v>
          </cell>
          <cell r="BA195">
            <v>80</v>
          </cell>
        </row>
        <row r="196">
          <cell r="A196" t="str">
            <v xml:space="preserve">Patil Pushpa </v>
          </cell>
          <cell r="C196">
            <v>230000070675</v>
          </cell>
          <cell r="D196">
            <v>71</v>
          </cell>
          <cell r="E196">
            <v>2</v>
          </cell>
          <cell r="F196">
            <v>45273</v>
          </cell>
          <cell r="G196">
            <v>0.75</v>
          </cell>
          <cell r="H196">
            <v>45274</v>
          </cell>
          <cell r="I196">
            <v>45275</v>
          </cell>
          <cell r="J196">
            <v>7972906234</v>
          </cell>
          <cell r="K196">
            <v>9881502399</v>
          </cell>
          <cell r="L196">
            <v>2</v>
          </cell>
          <cell r="M196">
            <v>2</v>
          </cell>
          <cell r="N196">
            <v>1</v>
          </cell>
          <cell r="O196">
            <v>2</v>
          </cell>
          <cell r="P196">
            <v>2</v>
          </cell>
          <cell r="Q196">
            <v>2</v>
          </cell>
          <cell r="R196">
            <v>2</v>
          </cell>
          <cell r="S196">
            <v>1</v>
          </cell>
          <cell r="T196">
            <v>2</v>
          </cell>
          <cell r="U196">
            <v>1</v>
          </cell>
          <cell r="V196" t="str">
            <v>past H/O of stroke lt hemiparesis rt mca territory infarct 15 days back</v>
          </cell>
          <cell r="W196">
            <v>13</v>
          </cell>
          <cell r="X196">
            <v>39.6</v>
          </cell>
          <cell r="Y196">
            <v>90.6</v>
          </cell>
          <cell r="Z196">
            <v>4.83</v>
          </cell>
          <cell r="AA196">
            <v>7.5</v>
          </cell>
          <cell r="AB196">
            <v>132</v>
          </cell>
          <cell r="AC196">
            <v>64.8</v>
          </cell>
          <cell r="AD196">
            <v>49</v>
          </cell>
          <cell r="AE196">
            <v>18.2</v>
          </cell>
          <cell r="AF196">
            <v>91</v>
          </cell>
          <cell r="AG196">
            <v>1984</v>
          </cell>
          <cell r="AJ196" t="str">
            <v xml:space="preserve">left centrum semiovale infarct old righ parietal infarct </v>
          </cell>
          <cell r="AK196" t="str">
            <v>normal</v>
          </cell>
          <cell r="AM196">
            <v>9</v>
          </cell>
          <cell r="AS196">
            <v>1</v>
          </cell>
          <cell r="AT196">
            <v>1</v>
          </cell>
          <cell r="AU196">
            <v>2</v>
          </cell>
          <cell r="AZ196">
            <v>2</v>
          </cell>
          <cell r="BA196">
            <v>70</v>
          </cell>
        </row>
        <row r="197">
          <cell r="A197" t="str">
            <v>Subhash devrukhkar</v>
          </cell>
          <cell r="C197">
            <v>230000077005</v>
          </cell>
          <cell r="D197">
            <v>45</v>
          </cell>
          <cell r="E197">
            <v>1</v>
          </cell>
          <cell r="F197">
            <v>45289</v>
          </cell>
          <cell r="G197">
            <v>0.39583333333333331</v>
          </cell>
          <cell r="H197">
            <v>45289</v>
          </cell>
          <cell r="I197">
            <v>45291</v>
          </cell>
          <cell r="J197">
            <v>9950627520</v>
          </cell>
          <cell r="K197">
            <v>9545324206</v>
          </cell>
          <cell r="L197">
            <v>1</v>
          </cell>
          <cell r="M197">
            <v>2</v>
          </cell>
          <cell r="N197">
            <v>1</v>
          </cell>
          <cell r="O197">
            <v>2</v>
          </cell>
          <cell r="P197">
            <v>2</v>
          </cell>
          <cell r="Q197">
            <v>2</v>
          </cell>
          <cell r="R197">
            <v>2</v>
          </cell>
          <cell r="S197">
            <v>2</v>
          </cell>
          <cell r="T197">
            <v>2</v>
          </cell>
          <cell r="U197">
            <v>2</v>
          </cell>
          <cell r="W197">
            <v>14.6</v>
          </cell>
          <cell r="X197">
            <v>43.8</v>
          </cell>
          <cell r="Y197">
            <v>80.5</v>
          </cell>
          <cell r="Z197">
            <v>13.4</v>
          </cell>
          <cell r="AA197">
            <v>10.9</v>
          </cell>
          <cell r="AB197">
            <v>38</v>
          </cell>
          <cell r="AC197">
            <v>174.4</v>
          </cell>
          <cell r="AD197">
            <v>38</v>
          </cell>
          <cell r="AE197">
            <v>33.6</v>
          </cell>
          <cell r="AF197">
            <v>160</v>
          </cell>
          <cell r="AJ197" t="str">
            <v>Acute NHI in lrft thalamus and posterior limb of lt internal capsule</v>
          </cell>
          <cell r="AK197" t="str">
            <v>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v>
          </cell>
          <cell r="AM197">
            <v>10</v>
          </cell>
          <cell r="AN197">
            <v>1</v>
          </cell>
          <cell r="AO197">
            <v>3</v>
          </cell>
          <cell r="AP197">
            <v>3</v>
          </cell>
          <cell r="AQ197">
            <v>5</v>
          </cell>
          <cell r="AS197">
            <v>1</v>
          </cell>
          <cell r="AT197">
            <v>1</v>
          </cell>
          <cell r="AU197">
            <v>2</v>
          </cell>
          <cell r="AZ197">
            <v>0</v>
          </cell>
          <cell r="BA197">
            <v>100</v>
          </cell>
        </row>
        <row r="198">
          <cell r="A198" t="str">
            <v xml:space="preserve">Smita sarode </v>
          </cell>
          <cell r="C198">
            <v>230010831</v>
          </cell>
          <cell r="D198">
            <v>32</v>
          </cell>
          <cell r="E198">
            <v>1</v>
          </cell>
          <cell r="F198">
            <v>45267</v>
          </cell>
          <cell r="G198">
            <v>0.39583333333333331</v>
          </cell>
          <cell r="H198">
            <v>45267</v>
          </cell>
          <cell r="I198">
            <v>45269</v>
          </cell>
          <cell r="J198">
            <v>9923173137</v>
          </cell>
          <cell r="K198">
            <v>9028021092</v>
          </cell>
          <cell r="L198">
            <v>2</v>
          </cell>
          <cell r="M198">
            <v>1</v>
          </cell>
          <cell r="N198">
            <v>2</v>
          </cell>
          <cell r="O198">
            <v>2</v>
          </cell>
          <cell r="P198">
            <v>1</v>
          </cell>
          <cell r="Q198">
            <v>2</v>
          </cell>
          <cell r="R198">
            <v>2</v>
          </cell>
          <cell r="S198">
            <v>2</v>
          </cell>
          <cell r="T198">
            <v>2</v>
          </cell>
          <cell r="U198">
            <v>2</v>
          </cell>
          <cell r="V198" t="str">
            <v>Acute kidney injury</v>
          </cell>
          <cell r="W198">
            <v>15.1</v>
          </cell>
          <cell r="X198">
            <v>45.3</v>
          </cell>
          <cell r="Y198">
            <v>85.9</v>
          </cell>
          <cell r="Z198">
            <v>24.49</v>
          </cell>
          <cell r="AA198">
            <v>5.2</v>
          </cell>
          <cell r="AG198">
            <v>148</v>
          </cell>
          <cell r="AJ198" t="str">
            <v>rt corona radiata acute infarct</v>
          </cell>
          <cell r="AK198" t="str">
            <v>normal</v>
          </cell>
          <cell r="AM198">
            <v>10</v>
          </cell>
          <cell r="AN198">
            <v>1</v>
          </cell>
          <cell r="AO198">
            <v>3</v>
          </cell>
          <cell r="AP198">
            <v>3</v>
          </cell>
          <cell r="AQ198">
            <v>5</v>
          </cell>
          <cell r="AS198">
            <v>1</v>
          </cell>
          <cell r="AT198">
            <v>1</v>
          </cell>
          <cell r="AU198">
            <v>2</v>
          </cell>
          <cell r="AZ198">
            <v>0</v>
          </cell>
          <cell r="BA198">
            <v>100</v>
          </cell>
        </row>
        <row r="199">
          <cell r="A199" t="str">
            <v>Shrirang Jadhav 231200200</v>
          </cell>
          <cell r="C199">
            <v>230000067017</v>
          </cell>
          <cell r="D199">
            <v>62</v>
          </cell>
          <cell r="E199">
            <v>1</v>
          </cell>
          <cell r="F199">
            <v>45262</v>
          </cell>
          <cell r="H199">
            <v>45266</v>
          </cell>
          <cell r="I199">
            <v>45265</v>
          </cell>
          <cell r="J199">
            <v>7588685004</v>
          </cell>
          <cell r="L199">
            <v>5</v>
          </cell>
          <cell r="M199">
            <v>2</v>
          </cell>
          <cell r="N199">
            <v>1</v>
          </cell>
          <cell r="O199">
            <v>2</v>
          </cell>
          <cell r="P199">
            <v>2</v>
          </cell>
          <cell r="Q199">
            <v>1</v>
          </cell>
          <cell r="R199">
            <v>2</v>
          </cell>
          <cell r="S199">
            <v>2</v>
          </cell>
          <cell r="T199">
            <v>2</v>
          </cell>
          <cell r="U199">
            <v>2</v>
          </cell>
          <cell r="W199">
            <v>14.5</v>
          </cell>
          <cell r="X199">
            <v>43.1</v>
          </cell>
          <cell r="Y199">
            <v>91.1</v>
          </cell>
          <cell r="Z199">
            <v>31.31</v>
          </cell>
          <cell r="AA199">
            <v>6.8</v>
          </cell>
          <cell r="AG199">
            <v>171</v>
          </cell>
          <cell r="AJ199" t="str">
            <v>left internal watershed infarct</v>
          </cell>
          <cell r="AK199" t="str">
            <v>ledt ica occluded from origin rt iCA supraclinoid stenosis present minimal basilar narrowing</v>
          </cell>
          <cell r="AM199">
            <v>9</v>
          </cell>
          <cell r="AN199">
            <v>1</v>
          </cell>
          <cell r="AO199">
            <v>5</v>
          </cell>
          <cell r="AP199">
            <v>3</v>
          </cell>
          <cell r="AQ199">
            <v>5</v>
          </cell>
          <cell r="AS199">
            <v>1</v>
          </cell>
          <cell r="AT199">
            <v>1</v>
          </cell>
          <cell r="AU199">
            <v>2</v>
          </cell>
          <cell r="AZ199">
            <v>1</v>
          </cell>
          <cell r="BA199">
            <v>95</v>
          </cell>
        </row>
        <row r="200">
          <cell r="A200" t="str">
            <v>Prakash Sharma</v>
          </cell>
          <cell r="C200">
            <v>230000075100</v>
          </cell>
          <cell r="D200">
            <v>58</v>
          </cell>
          <cell r="E200">
            <v>1</v>
          </cell>
          <cell r="F200">
            <v>45285</v>
          </cell>
          <cell r="G200">
            <v>0.41666666666666669</v>
          </cell>
          <cell r="H200">
            <v>45285</v>
          </cell>
          <cell r="I200">
            <v>45292</v>
          </cell>
          <cell r="J200">
            <v>8320542903</v>
          </cell>
          <cell r="L200">
            <v>10</v>
          </cell>
          <cell r="M200">
            <v>2</v>
          </cell>
          <cell r="N200">
            <v>1</v>
          </cell>
          <cell r="O200">
            <v>2</v>
          </cell>
          <cell r="P200">
            <v>2</v>
          </cell>
          <cell r="Q200">
            <v>2</v>
          </cell>
          <cell r="R200">
            <v>2</v>
          </cell>
          <cell r="S200">
            <v>2</v>
          </cell>
          <cell r="T200">
            <v>1</v>
          </cell>
          <cell r="U200">
            <v>2</v>
          </cell>
          <cell r="V200" t="str">
            <v>cataract surgeries, H/O MI in 2014</v>
          </cell>
          <cell r="W200">
            <v>15.4</v>
          </cell>
          <cell r="X200">
            <v>48.5</v>
          </cell>
          <cell r="Y200">
            <v>89.1</v>
          </cell>
          <cell r="Z200">
            <v>39.299999999999997</v>
          </cell>
          <cell r="AA200">
            <v>6.2</v>
          </cell>
          <cell r="AB200">
            <v>186</v>
          </cell>
          <cell r="AC200">
            <v>111</v>
          </cell>
          <cell r="AD200">
            <v>32</v>
          </cell>
          <cell r="AE200">
            <v>42</v>
          </cell>
          <cell r="AF200">
            <v>212</v>
          </cell>
          <cell r="AG200">
            <v>148</v>
          </cell>
          <cell r="AJ200" t="str">
            <v>lt MCA territory infarct ventriculomegaly</v>
          </cell>
          <cell r="AM200">
            <v>10</v>
          </cell>
          <cell r="AN200">
            <v>1</v>
          </cell>
          <cell r="AO200">
            <v>3</v>
          </cell>
          <cell r="AP200">
            <v>3</v>
          </cell>
          <cell r="AQ200">
            <v>5</v>
          </cell>
          <cell r="AS200">
            <v>1</v>
          </cell>
          <cell r="AT200">
            <v>2</v>
          </cell>
          <cell r="AU200">
            <v>1</v>
          </cell>
          <cell r="AV200">
            <v>2</v>
          </cell>
          <cell r="AZ200">
            <v>0</v>
          </cell>
          <cell r="BA200">
            <v>100</v>
          </cell>
        </row>
        <row r="201">
          <cell r="A201" t="str">
            <v>Eknath Bhavekar</v>
          </cell>
          <cell r="C201">
            <v>230000067478</v>
          </cell>
          <cell r="D201">
            <v>72</v>
          </cell>
          <cell r="E201">
            <v>1</v>
          </cell>
          <cell r="F201">
            <v>45266</v>
          </cell>
          <cell r="G201">
            <v>0.35416666666666669</v>
          </cell>
          <cell r="H201">
            <v>45266</v>
          </cell>
          <cell r="I201">
            <v>45267</v>
          </cell>
          <cell r="J201">
            <v>9325344148</v>
          </cell>
          <cell r="L201">
            <v>10</v>
          </cell>
          <cell r="M201">
            <v>2</v>
          </cell>
          <cell r="N201">
            <v>2</v>
          </cell>
          <cell r="O201">
            <v>2</v>
          </cell>
          <cell r="P201">
            <v>2</v>
          </cell>
          <cell r="Q201">
            <v>2</v>
          </cell>
          <cell r="R201">
            <v>2</v>
          </cell>
          <cell r="S201">
            <v>2</v>
          </cell>
          <cell r="T201">
            <v>2</v>
          </cell>
          <cell r="U201">
            <v>2</v>
          </cell>
          <cell r="V201" t="str">
            <v>Hyperhomocystenemia,vit D3 deficiency</v>
          </cell>
          <cell r="W201">
            <v>14.1</v>
          </cell>
          <cell r="X201">
            <v>43.2</v>
          </cell>
          <cell r="Y201">
            <v>98.6</v>
          </cell>
          <cell r="Z201">
            <v>77.569999999999993</v>
          </cell>
          <cell r="AA201">
            <v>5.3</v>
          </cell>
          <cell r="AB201">
            <v>166</v>
          </cell>
          <cell r="AC201">
            <v>123.4</v>
          </cell>
          <cell r="AD201">
            <v>25</v>
          </cell>
          <cell r="AE201">
            <v>17.600000000000001</v>
          </cell>
          <cell r="AF201">
            <v>88</v>
          </cell>
          <cell r="AG201">
            <v>2000</v>
          </cell>
          <cell r="AK201" t="str">
            <v xml:space="preserve">wide small saccular aneurysm in the cavernous segment of rt ICA. Hypoplastic rigjt vetebral artery continuing as the anterior inferior cerebellar artery </v>
          </cell>
          <cell r="AM201">
            <v>10</v>
          </cell>
          <cell r="AN201">
            <v>1</v>
          </cell>
          <cell r="AO201">
            <v>3</v>
          </cell>
          <cell r="AP201">
            <v>3</v>
          </cell>
          <cell r="AQ201">
            <v>5</v>
          </cell>
          <cell r="AS201">
            <v>1</v>
          </cell>
          <cell r="AT201">
            <v>1</v>
          </cell>
          <cell r="AU201">
            <v>2</v>
          </cell>
          <cell r="AZ201">
            <v>2</v>
          </cell>
          <cell r="BA201">
            <v>80</v>
          </cell>
        </row>
        <row r="202">
          <cell r="A202" t="str">
            <v>dattatray gaikwad</v>
          </cell>
          <cell r="C202">
            <v>230000075592</v>
          </cell>
          <cell r="D202">
            <v>57</v>
          </cell>
          <cell r="E202">
            <v>1</v>
          </cell>
          <cell r="F202">
            <v>45285</v>
          </cell>
          <cell r="G202">
            <v>0.9375</v>
          </cell>
          <cell r="H202">
            <v>45286</v>
          </cell>
          <cell r="I202">
            <v>45294</v>
          </cell>
          <cell r="J202">
            <v>9172734212</v>
          </cell>
          <cell r="K202">
            <v>9822621475</v>
          </cell>
          <cell r="L202">
            <v>6</v>
          </cell>
          <cell r="M202">
            <v>1</v>
          </cell>
          <cell r="N202">
            <v>1</v>
          </cell>
          <cell r="O202">
            <v>2</v>
          </cell>
          <cell r="P202">
            <v>2</v>
          </cell>
          <cell r="Q202">
            <v>2</v>
          </cell>
          <cell r="R202">
            <v>2</v>
          </cell>
          <cell r="S202">
            <v>2</v>
          </cell>
          <cell r="T202">
            <v>2</v>
          </cell>
          <cell r="U202">
            <v>2</v>
          </cell>
          <cell r="W202">
            <v>15</v>
          </cell>
          <cell r="X202">
            <v>46.2</v>
          </cell>
          <cell r="Y202">
            <v>84.9</v>
          </cell>
          <cell r="AA202">
            <v>9.4</v>
          </cell>
          <cell r="AB202">
            <v>206</v>
          </cell>
          <cell r="AC202">
            <v>146</v>
          </cell>
          <cell r="AD202">
            <v>36</v>
          </cell>
          <cell r="AE202">
            <v>24</v>
          </cell>
          <cell r="AF202">
            <v>120</v>
          </cell>
          <cell r="AJ202" t="str">
            <v>acute NHI in fronto-parietal acute cerebral infarct</v>
          </cell>
          <cell r="AK202" t="str">
            <v>calcified atherosclerotic plaques are seen in arch of aorta and rt carotid bifurcation significant stenosis i=involving in the right cavernous and supraclinoid ICA. left supraclinoid shows focal significant stenosis</v>
          </cell>
          <cell r="AM202">
            <v>10</v>
          </cell>
          <cell r="AN202">
            <v>1</v>
          </cell>
          <cell r="AO202">
            <v>3</v>
          </cell>
          <cell r="AP202">
            <v>3</v>
          </cell>
          <cell r="AQ202">
            <v>5</v>
          </cell>
          <cell r="AS202">
            <v>1</v>
          </cell>
          <cell r="AT202">
            <v>1</v>
          </cell>
          <cell r="AU202">
            <v>2</v>
          </cell>
          <cell r="AZ202">
            <v>0</v>
          </cell>
          <cell r="BA202">
            <v>100</v>
          </cell>
        </row>
        <row r="203">
          <cell r="A203" t="str">
            <v xml:space="preserve">Vijay Choudhari </v>
          </cell>
          <cell r="C203">
            <v>230000064156</v>
          </cell>
          <cell r="D203">
            <v>61</v>
          </cell>
          <cell r="E203">
            <v>1</v>
          </cell>
          <cell r="F203">
            <v>45255</v>
          </cell>
          <cell r="G203">
            <v>0.58333333333333337</v>
          </cell>
          <cell r="H203">
            <v>45256</v>
          </cell>
          <cell r="I203">
            <v>45265</v>
          </cell>
          <cell r="J203">
            <v>9767010121</v>
          </cell>
          <cell r="L203">
            <v>20</v>
          </cell>
          <cell r="M203">
            <v>2</v>
          </cell>
          <cell r="N203">
            <v>2</v>
          </cell>
          <cell r="O203">
            <v>2</v>
          </cell>
          <cell r="P203">
            <v>2</v>
          </cell>
          <cell r="Q203">
            <v>2</v>
          </cell>
          <cell r="R203">
            <v>2</v>
          </cell>
          <cell r="S203">
            <v>2</v>
          </cell>
          <cell r="T203">
            <v>1</v>
          </cell>
          <cell r="U203">
            <v>2</v>
          </cell>
          <cell r="W203">
            <v>12.5</v>
          </cell>
          <cell r="X203">
            <v>37.1</v>
          </cell>
          <cell r="Y203">
            <v>93.6</v>
          </cell>
          <cell r="Z203">
            <v>51</v>
          </cell>
          <cell r="AA203">
            <v>7.6</v>
          </cell>
          <cell r="AB203">
            <v>128</v>
          </cell>
          <cell r="AC203">
            <v>87</v>
          </cell>
          <cell r="AD203">
            <v>24</v>
          </cell>
          <cell r="AE203">
            <v>16.2</v>
          </cell>
          <cell r="AF203">
            <v>81</v>
          </cell>
          <cell r="AG203">
            <v>2000</v>
          </cell>
          <cell r="AJ203" t="str">
            <v>Acute NHi in lt frontal, parietal lobe and lt centrum semiovale</v>
          </cell>
          <cell r="AK203" t="str">
            <v>lt MCA territory paucity of the cortical branches of inferior of lt MCA. Complete occlusion of Lt MCA</v>
          </cell>
          <cell r="AM203">
            <v>8</v>
          </cell>
          <cell r="AN203">
            <v>1</v>
          </cell>
          <cell r="AO203">
            <v>5</v>
          </cell>
          <cell r="AP203">
            <v>3</v>
          </cell>
          <cell r="AQ203">
            <v>5</v>
          </cell>
          <cell r="AS203">
            <v>1</v>
          </cell>
          <cell r="AT203">
            <v>1</v>
          </cell>
          <cell r="AU203">
            <v>2</v>
          </cell>
          <cell r="AW203">
            <v>1</v>
          </cell>
          <cell r="AZ203">
            <v>1</v>
          </cell>
          <cell r="BA203">
            <v>100</v>
          </cell>
        </row>
        <row r="204">
          <cell r="A204" t="str">
            <v>Suman Gaikwad</v>
          </cell>
          <cell r="C204">
            <v>230000066554</v>
          </cell>
          <cell r="D204">
            <v>75</v>
          </cell>
          <cell r="E204">
            <v>2</v>
          </cell>
          <cell r="F204">
            <v>45263</v>
          </cell>
          <cell r="G204">
            <v>0.34166666666666662</v>
          </cell>
          <cell r="H204">
            <v>45263</v>
          </cell>
          <cell r="I204">
            <v>45266</v>
          </cell>
          <cell r="J204">
            <v>7385959592</v>
          </cell>
          <cell r="K204">
            <v>8788734244</v>
          </cell>
          <cell r="L204">
            <v>11</v>
          </cell>
          <cell r="M204">
            <v>1</v>
          </cell>
          <cell r="N204">
            <v>2</v>
          </cell>
          <cell r="O204">
            <v>2</v>
          </cell>
          <cell r="P204">
            <v>2</v>
          </cell>
          <cell r="Q204">
            <v>2</v>
          </cell>
          <cell r="R204">
            <v>2</v>
          </cell>
          <cell r="S204">
            <v>1</v>
          </cell>
          <cell r="T204">
            <v>2</v>
          </cell>
          <cell r="U204">
            <v>2</v>
          </cell>
          <cell r="V204" t="str">
            <v>cardioembolic stroke</v>
          </cell>
          <cell r="W204">
            <v>13.1</v>
          </cell>
          <cell r="X204">
            <v>40.700000000000003</v>
          </cell>
          <cell r="Z204">
            <v>18.91</v>
          </cell>
          <cell r="AA204">
            <v>6.6</v>
          </cell>
          <cell r="AJ204" t="str">
            <v>Rt &gt; Left coroa radiata infarct</v>
          </cell>
          <cell r="AK204" t="str">
            <v>calcified atherosclerotic changes in arch of aorta, B/L CCA just proximal to the bifurcation and in the supraclinoid segment of B/L ICA not causing significant luminal compromise</v>
          </cell>
          <cell r="AM204">
            <v>10</v>
          </cell>
          <cell r="AN204">
            <v>1</v>
          </cell>
          <cell r="AO204">
            <v>3</v>
          </cell>
          <cell r="AP204">
            <v>3</v>
          </cell>
          <cell r="AQ204">
            <v>5</v>
          </cell>
          <cell r="AS204">
            <v>1</v>
          </cell>
          <cell r="AT204">
            <v>2</v>
          </cell>
          <cell r="AU204">
            <v>1</v>
          </cell>
          <cell r="AV204">
            <v>1</v>
          </cell>
          <cell r="AZ204">
            <v>4</v>
          </cell>
          <cell r="BA204">
            <v>50</v>
          </cell>
        </row>
        <row r="205">
          <cell r="A205" t="str">
            <v>Vandana Dhakad</v>
          </cell>
          <cell r="C205">
            <v>230000070654</v>
          </cell>
          <cell r="D205">
            <v>54</v>
          </cell>
          <cell r="E205">
            <v>2</v>
          </cell>
          <cell r="F205">
            <v>45274</v>
          </cell>
          <cell r="G205">
            <v>0.77083333333333337</v>
          </cell>
          <cell r="H205">
            <v>45274</v>
          </cell>
          <cell r="I205">
            <v>45280</v>
          </cell>
          <cell r="J205">
            <v>7507244002</v>
          </cell>
          <cell r="L205">
            <v>5</v>
          </cell>
          <cell r="M205">
            <v>1</v>
          </cell>
          <cell r="N205">
            <v>1</v>
          </cell>
          <cell r="O205">
            <v>2</v>
          </cell>
          <cell r="P205">
            <v>2</v>
          </cell>
          <cell r="Q205">
            <v>2</v>
          </cell>
          <cell r="R205">
            <v>2</v>
          </cell>
          <cell r="S205">
            <v>2</v>
          </cell>
          <cell r="T205">
            <v>2</v>
          </cell>
          <cell r="U205">
            <v>2</v>
          </cell>
          <cell r="V205" t="str">
            <v>new onset CKD</v>
          </cell>
          <cell r="W205">
            <v>13.8</v>
          </cell>
          <cell r="X205">
            <v>43.3</v>
          </cell>
          <cell r="Y205">
            <v>85.2</v>
          </cell>
          <cell r="Z205">
            <v>8.39</v>
          </cell>
          <cell r="AA205">
            <v>9.3000000000000007</v>
          </cell>
          <cell r="AB205">
            <v>131</v>
          </cell>
          <cell r="AC205">
            <v>76.400000000000006</v>
          </cell>
          <cell r="AD205">
            <v>32</v>
          </cell>
          <cell r="AE205">
            <v>22.6</v>
          </cell>
          <cell r="AF205">
            <v>113</v>
          </cell>
          <cell r="AG205">
            <v>1204</v>
          </cell>
          <cell r="AJ205" t="str">
            <v>rt MCA PCA watershed infarct</v>
          </cell>
          <cell r="AK205" t="str">
            <v>normal</v>
          </cell>
          <cell r="AM205">
            <v>8</v>
          </cell>
          <cell r="AN205">
            <v>1</v>
          </cell>
          <cell r="AP205">
            <v>3</v>
          </cell>
          <cell r="AS205">
            <v>1</v>
          </cell>
          <cell r="AT205">
            <v>2</v>
          </cell>
          <cell r="AU205">
            <v>1</v>
          </cell>
          <cell r="AV205">
            <v>2</v>
          </cell>
          <cell r="AZ205">
            <v>2</v>
          </cell>
          <cell r="BA205">
            <v>65</v>
          </cell>
        </row>
        <row r="206">
          <cell r="A206" t="str">
            <v xml:space="preserve">Mandhar Zurekar </v>
          </cell>
          <cell r="C206">
            <v>230000067130</v>
          </cell>
          <cell r="D206">
            <v>37</v>
          </cell>
          <cell r="E206">
            <v>1</v>
          </cell>
          <cell r="F206">
            <v>45265</v>
          </cell>
          <cell r="G206">
            <v>0.35416666666666669</v>
          </cell>
          <cell r="H206">
            <v>45265</v>
          </cell>
          <cell r="I206">
            <v>45267</v>
          </cell>
          <cell r="J206">
            <v>9637968875</v>
          </cell>
          <cell r="L206">
            <v>1</v>
          </cell>
          <cell r="M206">
            <v>2</v>
          </cell>
          <cell r="N206">
            <v>2</v>
          </cell>
          <cell r="O206">
            <v>2</v>
          </cell>
          <cell r="P206">
            <v>2</v>
          </cell>
          <cell r="Q206">
            <v>1</v>
          </cell>
          <cell r="R206">
            <v>2</v>
          </cell>
          <cell r="S206">
            <v>2</v>
          </cell>
          <cell r="T206">
            <v>2</v>
          </cell>
          <cell r="U206">
            <v>2</v>
          </cell>
          <cell r="V206" t="str">
            <v>old H/O TIA</v>
          </cell>
          <cell r="W206">
            <v>14.1</v>
          </cell>
          <cell r="X206">
            <v>43.2</v>
          </cell>
          <cell r="Y206">
            <v>87.9</v>
          </cell>
          <cell r="Z206">
            <v>10.97</v>
          </cell>
          <cell r="AG206">
            <v>978</v>
          </cell>
          <cell r="AJ206" t="str">
            <v>Acute NHI in right fronto parieto temporal region</v>
          </cell>
          <cell r="AK206" t="str">
            <v>an intimal flap in left carotid bulb with hypodense non enhancing thrombus seen extending into UCA for a length of 2.6cm with approx 50% luminal compromise</v>
          </cell>
          <cell r="AM206">
            <v>9</v>
          </cell>
          <cell r="AN206">
            <v>1</v>
          </cell>
          <cell r="AO206">
            <v>3</v>
          </cell>
          <cell r="AP206">
            <v>3</v>
          </cell>
          <cell r="AQ206">
            <v>5</v>
          </cell>
          <cell r="AS206">
            <v>1</v>
          </cell>
          <cell r="AT206">
            <v>1</v>
          </cell>
          <cell r="AU206">
            <v>2</v>
          </cell>
          <cell r="AZ206">
            <v>1</v>
          </cell>
          <cell r="BA206">
            <v>90</v>
          </cell>
        </row>
        <row r="207">
          <cell r="A207" t="str">
            <v>Sunita Sanas</v>
          </cell>
          <cell r="C207">
            <v>230000071286</v>
          </cell>
          <cell r="D207">
            <v>45</v>
          </cell>
          <cell r="E207">
            <v>2</v>
          </cell>
          <cell r="F207">
            <v>45275</v>
          </cell>
          <cell r="G207">
            <v>0.58333333333333337</v>
          </cell>
          <cell r="H207">
            <v>45275</v>
          </cell>
          <cell r="I207">
            <v>45279</v>
          </cell>
          <cell r="J207">
            <v>8698189557</v>
          </cell>
          <cell r="K207">
            <v>8308907173</v>
          </cell>
          <cell r="L207">
            <v>6</v>
          </cell>
          <cell r="M207">
            <v>2</v>
          </cell>
          <cell r="N207">
            <v>1</v>
          </cell>
          <cell r="O207">
            <v>2</v>
          </cell>
          <cell r="P207">
            <v>2</v>
          </cell>
          <cell r="Q207">
            <v>2</v>
          </cell>
          <cell r="R207">
            <v>2</v>
          </cell>
          <cell r="S207">
            <v>2</v>
          </cell>
          <cell r="T207">
            <v>2</v>
          </cell>
          <cell r="U207">
            <v>2</v>
          </cell>
          <cell r="W207">
            <v>10.6</v>
          </cell>
          <cell r="X207">
            <v>34.700000000000003</v>
          </cell>
          <cell r="Y207">
            <v>61.1</v>
          </cell>
          <cell r="AB207">
            <v>254</v>
          </cell>
          <cell r="AC207">
            <v>172.6</v>
          </cell>
          <cell r="AD207">
            <v>57</v>
          </cell>
          <cell r="AE207">
            <v>24.4</v>
          </cell>
          <cell r="AF207">
            <v>122</v>
          </cell>
          <cell r="AS207">
            <v>1</v>
          </cell>
          <cell r="AT207">
            <v>1</v>
          </cell>
          <cell r="AU207">
            <v>2</v>
          </cell>
          <cell r="AZ207">
            <v>6</v>
          </cell>
          <cell r="BA207">
            <v>0</v>
          </cell>
        </row>
        <row r="208">
          <cell r="A208" t="str">
            <v>Moni Chakkrawarti</v>
          </cell>
          <cell r="C208">
            <v>230000073481</v>
          </cell>
          <cell r="D208">
            <v>61</v>
          </cell>
          <cell r="E208">
            <v>2</v>
          </cell>
          <cell r="F208">
            <v>45279</v>
          </cell>
          <cell r="G208">
            <v>0.29166666666666669</v>
          </cell>
          <cell r="H208">
            <v>45281</v>
          </cell>
          <cell r="I208">
            <v>45288</v>
          </cell>
          <cell r="J208">
            <v>9860267622</v>
          </cell>
          <cell r="K208">
            <v>28122023</v>
          </cell>
          <cell r="L208">
            <v>25</v>
          </cell>
          <cell r="M208">
            <v>1</v>
          </cell>
          <cell r="N208">
            <v>1</v>
          </cell>
          <cell r="O208">
            <v>2</v>
          </cell>
          <cell r="P208">
            <v>2</v>
          </cell>
          <cell r="Q208">
            <v>2</v>
          </cell>
          <cell r="R208">
            <v>2</v>
          </cell>
          <cell r="S208">
            <v>2</v>
          </cell>
          <cell r="T208">
            <v>2</v>
          </cell>
          <cell r="U208">
            <v>2</v>
          </cell>
          <cell r="W208">
            <v>9.3000000000000007</v>
          </cell>
          <cell r="X208">
            <v>28.4</v>
          </cell>
          <cell r="Y208">
            <v>82</v>
          </cell>
          <cell r="Z208">
            <v>14.96</v>
          </cell>
          <cell r="AA208">
            <v>6</v>
          </cell>
          <cell r="AB208">
            <v>221</v>
          </cell>
          <cell r="AC208">
            <v>156.80000000000001</v>
          </cell>
          <cell r="AD208">
            <v>29</v>
          </cell>
          <cell r="AE208">
            <v>35.200000000000003</v>
          </cell>
          <cell r="AF208">
            <v>176</v>
          </cell>
          <cell r="AG208">
            <v>352</v>
          </cell>
          <cell r="AJ208" t="str">
            <v>B/L rt &gt;LT ganglio capsular infarct</v>
          </cell>
          <cell r="AK208" t="str">
            <v>NHI involving B/L lentiform nuclei, centru semiovale, corona radiata, night posterior temporal lobe and left occipital lobe</v>
          </cell>
          <cell r="AM208">
            <v>7</v>
          </cell>
          <cell r="AN208">
            <v>1</v>
          </cell>
          <cell r="AO208">
            <v>3</v>
          </cell>
          <cell r="AP208">
            <v>3</v>
          </cell>
          <cell r="AQ208">
            <v>5</v>
          </cell>
          <cell r="AS208">
            <v>1</v>
          </cell>
          <cell r="AT208">
            <v>1</v>
          </cell>
          <cell r="AZ208">
            <v>6</v>
          </cell>
        </row>
        <row r="209">
          <cell r="A209" t="str">
            <v>Ajit Deshpande</v>
          </cell>
          <cell r="C209">
            <v>230000064732</v>
          </cell>
          <cell r="D209">
            <v>70</v>
          </cell>
          <cell r="E209">
            <v>1</v>
          </cell>
          <cell r="F209">
            <v>45258</v>
          </cell>
          <cell r="G209">
            <v>0.21666666666666667</v>
          </cell>
          <cell r="H209">
            <v>45258</v>
          </cell>
          <cell r="I209">
            <v>45262</v>
          </cell>
          <cell r="J209">
            <v>9823290374</v>
          </cell>
          <cell r="K209">
            <v>9860937660</v>
          </cell>
          <cell r="L209">
            <v>4</v>
          </cell>
          <cell r="M209">
            <v>1</v>
          </cell>
          <cell r="N209">
            <v>1</v>
          </cell>
          <cell r="O209">
            <v>2</v>
          </cell>
          <cell r="P209">
            <v>2</v>
          </cell>
          <cell r="Q209">
            <v>2</v>
          </cell>
          <cell r="R209">
            <v>2</v>
          </cell>
          <cell r="S209">
            <v>2</v>
          </cell>
          <cell r="T209">
            <v>2</v>
          </cell>
          <cell r="U209">
            <v>2</v>
          </cell>
          <cell r="V209" t="str">
            <v>old CVA</v>
          </cell>
          <cell r="W209">
            <v>13.5</v>
          </cell>
          <cell r="X209">
            <v>40.6</v>
          </cell>
          <cell r="Z209">
            <v>18.600000000000001</v>
          </cell>
          <cell r="AA209">
            <v>6.3</v>
          </cell>
          <cell r="AG209">
            <v>162</v>
          </cell>
          <cell r="AJ209" t="str">
            <v>acute NHI with patchy areas of bloomimg in left frontol lobe, left centrum semiovale, left insular and left tempero-parieto cortical region.</v>
          </cell>
          <cell r="AK209" t="str">
            <v>acute NHi in rt pre and post cortical gyrus, rt FTO lobes and rt sentrum semiovale</v>
          </cell>
          <cell r="AM209">
            <v>10</v>
          </cell>
          <cell r="AN209">
            <v>1</v>
          </cell>
          <cell r="AO209">
            <v>5</v>
          </cell>
          <cell r="AP209">
            <v>3</v>
          </cell>
          <cell r="AQ209">
            <v>5</v>
          </cell>
          <cell r="AS209">
            <v>1</v>
          </cell>
          <cell r="AT209">
            <v>1</v>
          </cell>
          <cell r="AU209">
            <v>2</v>
          </cell>
          <cell r="AZ209">
            <v>6</v>
          </cell>
        </row>
        <row r="210">
          <cell r="A210" t="str">
            <v xml:space="preserve">Usha dhende </v>
          </cell>
          <cell r="C210">
            <v>230000069464</v>
          </cell>
          <cell r="D210">
            <v>50</v>
          </cell>
          <cell r="E210">
            <v>1</v>
          </cell>
          <cell r="F210">
            <v>45271</v>
          </cell>
          <cell r="G210">
            <v>0.58333333333333337</v>
          </cell>
          <cell r="H210">
            <v>45272</v>
          </cell>
          <cell r="I210">
            <v>45272</v>
          </cell>
          <cell r="J210">
            <v>9764791613</v>
          </cell>
          <cell r="K210">
            <v>7385001613</v>
          </cell>
          <cell r="L210">
            <v>4</v>
          </cell>
          <cell r="M210">
            <v>2</v>
          </cell>
          <cell r="N210">
            <v>1</v>
          </cell>
          <cell r="O210">
            <v>2</v>
          </cell>
          <cell r="P210">
            <v>2</v>
          </cell>
          <cell r="Q210">
            <v>1</v>
          </cell>
          <cell r="R210">
            <v>2</v>
          </cell>
          <cell r="S210">
            <v>2</v>
          </cell>
          <cell r="T210">
            <v>2</v>
          </cell>
          <cell r="U210">
            <v>2</v>
          </cell>
          <cell r="W210">
            <v>10.5</v>
          </cell>
          <cell r="X210">
            <v>33.9</v>
          </cell>
          <cell r="Y210">
            <v>75.900000000000006</v>
          </cell>
          <cell r="AB210">
            <v>293</v>
          </cell>
          <cell r="AC210">
            <v>207.4</v>
          </cell>
          <cell r="AD210">
            <v>73</v>
          </cell>
          <cell r="AE210">
            <v>12.6</v>
          </cell>
          <cell r="AF210">
            <v>63</v>
          </cell>
          <cell r="AG210">
            <v>194</v>
          </cell>
          <cell r="AJ210" t="str">
            <v xml:space="preserve">Rt corona radiata infarct </v>
          </cell>
          <cell r="AM210">
            <v>9</v>
          </cell>
          <cell r="AN210">
            <v>1</v>
          </cell>
          <cell r="AO210">
            <v>3</v>
          </cell>
          <cell r="AP210">
            <v>3</v>
          </cell>
          <cell r="AQ210">
            <v>5</v>
          </cell>
          <cell r="AS210">
            <v>1</v>
          </cell>
          <cell r="AT210">
            <v>1</v>
          </cell>
          <cell r="AU210">
            <v>2</v>
          </cell>
          <cell r="AZ210">
            <v>1</v>
          </cell>
          <cell r="BA210">
            <v>95</v>
          </cell>
        </row>
        <row r="211">
          <cell r="A211" t="str">
            <v>Dnyanoba Pawale</v>
          </cell>
          <cell r="C211">
            <v>230000076571</v>
          </cell>
          <cell r="D211">
            <v>76</v>
          </cell>
          <cell r="E211">
            <v>1</v>
          </cell>
          <cell r="F211">
            <v>45288</v>
          </cell>
          <cell r="G211">
            <v>0.625</v>
          </cell>
          <cell r="H211">
            <v>45288</v>
          </cell>
          <cell r="I211">
            <v>45297</v>
          </cell>
          <cell r="J211">
            <v>9552288085</v>
          </cell>
          <cell r="L211">
            <v>9</v>
          </cell>
          <cell r="M211">
            <v>2</v>
          </cell>
          <cell r="N211">
            <v>2</v>
          </cell>
          <cell r="O211">
            <v>2</v>
          </cell>
          <cell r="P211">
            <v>2</v>
          </cell>
          <cell r="Q211">
            <v>1</v>
          </cell>
          <cell r="R211">
            <v>2</v>
          </cell>
          <cell r="S211">
            <v>2</v>
          </cell>
          <cell r="T211">
            <v>2</v>
          </cell>
          <cell r="U211">
            <v>2</v>
          </cell>
          <cell r="W211">
            <v>13.3</v>
          </cell>
          <cell r="X211">
            <v>38.200000000000003</v>
          </cell>
          <cell r="Y211">
            <v>100.5</v>
          </cell>
          <cell r="Z211">
            <v>10</v>
          </cell>
          <cell r="AA211">
            <v>5.3</v>
          </cell>
          <cell r="AB211">
            <v>127</v>
          </cell>
          <cell r="AC211">
            <v>72.400000000000006</v>
          </cell>
          <cell r="AD211">
            <v>38</v>
          </cell>
          <cell r="AE211">
            <v>16.600000000000001</v>
          </cell>
          <cell r="AF211">
            <v>83</v>
          </cell>
          <cell r="AG211">
            <v>2000</v>
          </cell>
          <cell r="AJ211" t="str">
            <v>Acute nHI in left corona radiata</v>
          </cell>
          <cell r="AK211" t="str">
            <v>normal</v>
          </cell>
          <cell r="AM211">
            <v>9</v>
          </cell>
          <cell r="AN211">
            <v>1</v>
          </cell>
          <cell r="AO211">
            <v>3</v>
          </cell>
          <cell r="AP211">
            <v>3</v>
          </cell>
          <cell r="AQ211">
            <v>5</v>
          </cell>
          <cell r="AS211">
            <v>1</v>
          </cell>
          <cell r="AT211">
            <v>1</v>
          </cell>
          <cell r="AU211">
            <v>2</v>
          </cell>
          <cell r="AZ211">
            <v>4</v>
          </cell>
          <cell r="BA211">
            <v>40</v>
          </cell>
        </row>
        <row r="212">
          <cell r="A212" t="str">
            <v>Dnyanoba Shinde</v>
          </cell>
          <cell r="C212">
            <v>240000010664</v>
          </cell>
          <cell r="D212">
            <v>41</v>
          </cell>
          <cell r="E212">
            <v>1</v>
          </cell>
          <cell r="F212">
            <v>45321</v>
          </cell>
          <cell r="G212">
            <v>0.33333333333333331</v>
          </cell>
          <cell r="H212">
            <v>45321</v>
          </cell>
          <cell r="I212">
            <v>45331</v>
          </cell>
          <cell r="J212">
            <v>7020196083</v>
          </cell>
          <cell r="L212">
            <v>12</v>
          </cell>
          <cell r="M212">
            <v>1</v>
          </cell>
          <cell r="N212">
            <v>2</v>
          </cell>
          <cell r="O212">
            <v>1</v>
          </cell>
          <cell r="P212">
            <v>1</v>
          </cell>
          <cell r="Q212">
            <v>2</v>
          </cell>
          <cell r="R212">
            <v>2</v>
          </cell>
          <cell r="S212">
            <v>2</v>
          </cell>
          <cell r="T212">
            <v>2</v>
          </cell>
          <cell r="U212">
            <v>2</v>
          </cell>
          <cell r="W212">
            <v>17</v>
          </cell>
          <cell r="X212">
            <v>52.3</v>
          </cell>
          <cell r="Y212">
            <v>85.5</v>
          </cell>
          <cell r="Z212">
            <v>14.73</v>
          </cell>
          <cell r="AA212">
            <v>5.7</v>
          </cell>
          <cell r="AG212">
            <v>296</v>
          </cell>
          <cell r="AJ212" t="str">
            <v>Acute NHI in rt Insular and fronto-parietal cortex</v>
          </cell>
          <cell r="AK212" t="str">
            <v>Diffuse narrowing of M1 portion of right MCA with paucity of distal branches</v>
          </cell>
          <cell r="AM212">
            <v>8</v>
          </cell>
          <cell r="AN212">
            <v>1</v>
          </cell>
          <cell r="AO212">
            <v>2</v>
          </cell>
          <cell r="AP212">
            <v>3</v>
          </cell>
          <cell r="AQ212">
            <v>4</v>
          </cell>
          <cell r="AS212">
            <v>1</v>
          </cell>
          <cell r="AT212">
            <v>1</v>
          </cell>
          <cell r="AU212">
            <v>2</v>
          </cell>
          <cell r="AZ212">
            <v>0</v>
          </cell>
          <cell r="BA212">
            <v>100</v>
          </cell>
        </row>
        <row r="213">
          <cell r="A213" t="str">
            <v>Bhivaji Dombale</v>
          </cell>
          <cell r="C213">
            <v>240000011853</v>
          </cell>
          <cell r="D213">
            <v>42</v>
          </cell>
          <cell r="E213">
            <v>1</v>
          </cell>
          <cell r="F213">
            <v>45324</v>
          </cell>
          <cell r="G213">
            <v>0.95833333333333337</v>
          </cell>
          <cell r="H213">
            <v>45325</v>
          </cell>
          <cell r="I213">
            <v>45328</v>
          </cell>
          <cell r="J213">
            <v>9021456694</v>
          </cell>
          <cell r="L213">
            <v>3</v>
          </cell>
          <cell r="M213">
            <v>1</v>
          </cell>
          <cell r="N213">
            <v>2</v>
          </cell>
          <cell r="O213">
            <v>1</v>
          </cell>
          <cell r="P213">
            <v>2</v>
          </cell>
          <cell r="Q213">
            <v>1</v>
          </cell>
          <cell r="R213">
            <v>2</v>
          </cell>
          <cell r="S213">
            <v>2</v>
          </cell>
          <cell r="T213">
            <v>2</v>
          </cell>
          <cell r="U213">
            <v>2</v>
          </cell>
          <cell r="W213">
            <v>16.399999999999999</v>
          </cell>
          <cell r="X213">
            <v>48.3</v>
          </cell>
          <cell r="Y213">
            <v>83.4</v>
          </cell>
          <cell r="Z213">
            <v>26.05</v>
          </cell>
          <cell r="AA213">
            <v>5.3</v>
          </cell>
          <cell r="AB213">
            <v>186</v>
          </cell>
          <cell r="AC213">
            <v>101.6</v>
          </cell>
          <cell r="AD213">
            <v>43</v>
          </cell>
          <cell r="AE213">
            <v>41.4</v>
          </cell>
          <cell r="AF213">
            <v>207</v>
          </cell>
          <cell r="AG213">
            <v>157</v>
          </cell>
          <cell r="AJ213" t="str">
            <v>Lt corona radiata and putamen infarct</v>
          </cell>
          <cell r="AK213" t="str">
            <v>Normal</v>
          </cell>
          <cell r="AM213">
            <v>8</v>
          </cell>
          <cell r="AN213">
            <v>1</v>
          </cell>
          <cell r="AO213">
            <v>4</v>
          </cell>
          <cell r="AP213">
            <v>3</v>
          </cell>
          <cell r="AQ213">
            <v>5</v>
          </cell>
          <cell r="AS213">
            <v>1</v>
          </cell>
          <cell r="AT213">
            <v>1</v>
          </cell>
          <cell r="AU213">
            <v>2</v>
          </cell>
          <cell r="AZ213">
            <v>1</v>
          </cell>
          <cell r="BA213">
            <v>100</v>
          </cell>
        </row>
        <row r="214">
          <cell r="A214" t="str">
            <v>Nalkare Vikram</v>
          </cell>
          <cell r="C214">
            <v>240000012783</v>
          </cell>
          <cell r="D214">
            <v>40</v>
          </cell>
          <cell r="E214">
            <v>1</v>
          </cell>
          <cell r="F214">
            <v>45326</v>
          </cell>
          <cell r="G214">
            <v>0.75</v>
          </cell>
          <cell r="H214">
            <v>45327</v>
          </cell>
          <cell r="I214">
            <v>45330</v>
          </cell>
          <cell r="J214">
            <v>8007484789</v>
          </cell>
          <cell r="L214">
            <v>3</v>
          </cell>
          <cell r="M214">
            <v>1</v>
          </cell>
          <cell r="N214">
            <v>2</v>
          </cell>
          <cell r="O214">
            <v>2</v>
          </cell>
          <cell r="P214">
            <v>2</v>
          </cell>
          <cell r="Q214">
            <v>2</v>
          </cell>
          <cell r="R214">
            <v>2</v>
          </cell>
          <cell r="S214">
            <v>2</v>
          </cell>
          <cell r="T214">
            <v>2</v>
          </cell>
          <cell r="U214">
            <v>2</v>
          </cell>
          <cell r="W214">
            <v>17.100000000000001</v>
          </cell>
          <cell r="X214">
            <v>50.5</v>
          </cell>
          <cell r="Y214">
            <v>79.2</v>
          </cell>
          <cell r="Z214">
            <v>30.87</v>
          </cell>
          <cell r="AA214">
            <v>6.7</v>
          </cell>
          <cell r="AG214">
            <v>225</v>
          </cell>
          <cell r="AJ214" t="str">
            <v>acute infarct in posterior aspect of left lentiform nucleus, posterior limb of internal capsule and corona radiata. Chronic lacunar infarct B/L centrum semiovale and corona radiata</v>
          </cell>
          <cell r="AK214" t="str">
            <v xml:space="preserve">Lt ICA origin plaque causing 50% stenosis </v>
          </cell>
          <cell r="AM214">
            <v>8</v>
          </cell>
          <cell r="AN214">
            <v>1</v>
          </cell>
          <cell r="AO214">
            <v>3</v>
          </cell>
          <cell r="AP214">
            <v>3</v>
          </cell>
          <cell r="AQ214">
            <v>5</v>
          </cell>
          <cell r="AS214">
            <v>1</v>
          </cell>
          <cell r="AT214">
            <v>1</v>
          </cell>
          <cell r="AU214">
            <v>2</v>
          </cell>
          <cell r="AZ214">
            <v>0</v>
          </cell>
          <cell r="BA214">
            <v>100</v>
          </cell>
        </row>
        <row r="215">
          <cell r="A215" t="str">
            <v>Chavan Lilawati</v>
          </cell>
          <cell r="C215">
            <v>240000012347</v>
          </cell>
          <cell r="D215">
            <v>70</v>
          </cell>
          <cell r="E215">
            <v>2</v>
          </cell>
          <cell r="F215">
            <v>45326</v>
          </cell>
          <cell r="G215">
            <v>0.41666666666666669</v>
          </cell>
          <cell r="H215">
            <v>45326</v>
          </cell>
          <cell r="I215">
            <v>45335</v>
          </cell>
          <cell r="J215">
            <v>9922968748</v>
          </cell>
          <cell r="L215">
            <v>10</v>
          </cell>
          <cell r="M215">
            <v>2</v>
          </cell>
          <cell r="N215">
            <v>2</v>
          </cell>
          <cell r="O215">
            <v>2</v>
          </cell>
          <cell r="P215">
            <v>2</v>
          </cell>
          <cell r="Q215">
            <v>2</v>
          </cell>
          <cell r="R215">
            <v>2</v>
          </cell>
          <cell r="S215">
            <v>2</v>
          </cell>
          <cell r="T215">
            <v>2</v>
          </cell>
          <cell r="U215">
            <v>2</v>
          </cell>
          <cell r="V215" t="str">
            <v>Hysterectomy</v>
          </cell>
          <cell r="W215">
            <v>6.9</v>
          </cell>
          <cell r="X215">
            <v>22.8</v>
          </cell>
          <cell r="Y215">
            <v>66.7</v>
          </cell>
          <cell r="Z215">
            <v>18.489999999999998</v>
          </cell>
          <cell r="AA215">
            <v>5.8</v>
          </cell>
          <cell r="AB215">
            <v>295</v>
          </cell>
          <cell r="AC215">
            <v>223.2</v>
          </cell>
          <cell r="AD215">
            <v>57</v>
          </cell>
          <cell r="AE215">
            <v>14.8</v>
          </cell>
          <cell r="AF215">
            <v>74</v>
          </cell>
          <cell r="AG215">
            <v>247</v>
          </cell>
          <cell r="AJ215" t="str">
            <v>Left putamen and corona radiata acute infarct, chronic infarct in centrum semiovale and rt corona radiata</v>
          </cell>
          <cell r="AK215" t="str">
            <v>calcified plaques in both CCAs left cavernous ICA calcified plaques</v>
          </cell>
          <cell r="AM215">
            <v>7</v>
          </cell>
          <cell r="AN215">
            <v>1</v>
          </cell>
          <cell r="AO215">
            <v>3</v>
          </cell>
          <cell r="AP215">
            <v>3</v>
          </cell>
          <cell r="AQ215">
            <v>5</v>
          </cell>
          <cell r="AS215">
            <v>1</v>
          </cell>
          <cell r="AT215">
            <v>1</v>
          </cell>
          <cell r="AU215">
            <v>2</v>
          </cell>
          <cell r="AZ215">
            <v>5</v>
          </cell>
          <cell r="BA215">
            <v>10</v>
          </cell>
        </row>
        <row r="216">
          <cell r="A216" t="str">
            <v>Mahadev Gaikwad</v>
          </cell>
          <cell r="C216">
            <v>24000035109</v>
          </cell>
          <cell r="D216">
            <v>70</v>
          </cell>
          <cell r="E216">
            <v>1</v>
          </cell>
          <cell r="F216">
            <v>45397</v>
          </cell>
          <cell r="G216">
            <v>0.82291666666666663</v>
          </cell>
          <cell r="H216">
            <v>45397</v>
          </cell>
          <cell r="I216">
            <v>45402</v>
          </cell>
          <cell r="J216">
            <v>9657874271</v>
          </cell>
          <cell r="L216">
            <v>5</v>
          </cell>
          <cell r="M216">
            <v>1</v>
          </cell>
          <cell r="N216">
            <v>2</v>
          </cell>
          <cell r="O216">
            <v>2</v>
          </cell>
          <cell r="P216">
            <v>2</v>
          </cell>
          <cell r="Q216">
            <v>2</v>
          </cell>
          <cell r="R216">
            <v>2</v>
          </cell>
          <cell r="S216">
            <v>1</v>
          </cell>
          <cell r="T216">
            <v>2</v>
          </cell>
          <cell r="U216">
            <v>2</v>
          </cell>
          <cell r="V216" t="str">
            <v>ECHO- LA appendage Clot</v>
          </cell>
          <cell r="W216">
            <v>14</v>
          </cell>
          <cell r="X216">
            <v>43.8</v>
          </cell>
          <cell r="Y216">
            <v>86.8</v>
          </cell>
          <cell r="Z216">
            <v>12.35</v>
          </cell>
          <cell r="AA216">
            <v>6.1</v>
          </cell>
          <cell r="AB216">
            <v>185</v>
          </cell>
          <cell r="AC216">
            <v>122.2</v>
          </cell>
          <cell r="AD216">
            <v>39</v>
          </cell>
          <cell r="AE216">
            <v>23.8</v>
          </cell>
          <cell r="AF216">
            <v>119</v>
          </cell>
          <cell r="AG216">
            <v>448</v>
          </cell>
          <cell r="AJ216" t="str">
            <v>Rt post central gyrus infarct</v>
          </cell>
          <cell r="AK216" t="str">
            <v>normal</v>
          </cell>
          <cell r="AM216">
            <v>9</v>
          </cell>
          <cell r="AN216">
            <v>1</v>
          </cell>
          <cell r="AO216">
            <v>4</v>
          </cell>
          <cell r="AP216">
            <v>3</v>
          </cell>
          <cell r="AQ216">
            <v>5</v>
          </cell>
          <cell r="AS216">
            <v>1</v>
          </cell>
          <cell r="AT216">
            <v>1</v>
          </cell>
          <cell r="AU216">
            <v>2</v>
          </cell>
          <cell r="AW216">
            <v>1</v>
          </cell>
          <cell r="AZ216">
            <v>1</v>
          </cell>
          <cell r="BA216">
            <v>100</v>
          </cell>
        </row>
        <row r="217">
          <cell r="A217" t="str">
            <v>Sindhu Sonawane</v>
          </cell>
          <cell r="C217">
            <v>240000009968</v>
          </cell>
          <cell r="D217">
            <v>65</v>
          </cell>
          <cell r="E217">
            <v>2</v>
          </cell>
          <cell r="F217">
            <v>45319</v>
          </cell>
          <cell r="G217">
            <v>0.47916666666666669</v>
          </cell>
          <cell r="H217">
            <v>45319</v>
          </cell>
          <cell r="I217">
            <v>45321</v>
          </cell>
          <cell r="J217">
            <v>9881642502</v>
          </cell>
          <cell r="K217">
            <v>7058256094</v>
          </cell>
          <cell r="L217">
            <v>2</v>
          </cell>
          <cell r="M217">
            <v>2</v>
          </cell>
          <cell r="N217">
            <v>2</v>
          </cell>
          <cell r="O217">
            <v>2</v>
          </cell>
          <cell r="P217">
            <v>2</v>
          </cell>
          <cell r="Q217">
            <v>1</v>
          </cell>
          <cell r="R217">
            <v>2</v>
          </cell>
          <cell r="S217">
            <v>2</v>
          </cell>
          <cell r="T217">
            <v>2</v>
          </cell>
          <cell r="U217">
            <v>2</v>
          </cell>
          <cell r="W217">
            <v>12.6</v>
          </cell>
          <cell r="X217">
            <v>38.299999999999997</v>
          </cell>
          <cell r="Y217">
            <v>88.9</v>
          </cell>
          <cell r="Z217">
            <v>24.12</v>
          </cell>
          <cell r="AA217">
            <v>5.0999999999999996</v>
          </cell>
          <cell r="AG217">
            <v>148</v>
          </cell>
          <cell r="AJ217" t="str">
            <v>Rt caudate and putamen infarct and Rt GC region</v>
          </cell>
          <cell r="AM217">
            <v>10</v>
          </cell>
          <cell r="AN217">
            <v>1</v>
          </cell>
          <cell r="AP217">
            <v>3</v>
          </cell>
          <cell r="AQ217">
            <v>5</v>
          </cell>
          <cell r="AS217">
            <v>1</v>
          </cell>
          <cell r="AT217">
            <v>1</v>
          </cell>
          <cell r="AU217">
            <v>2</v>
          </cell>
          <cell r="AZ217">
            <v>0</v>
          </cell>
          <cell r="BA217">
            <v>90</v>
          </cell>
        </row>
        <row r="218">
          <cell r="A218" t="str">
            <v>Anusaya Kharat</v>
          </cell>
          <cell r="C218">
            <v>240000013172</v>
          </cell>
          <cell r="D218">
            <v>85</v>
          </cell>
          <cell r="E218">
            <v>2</v>
          </cell>
          <cell r="F218">
            <v>45328</v>
          </cell>
          <cell r="G218">
            <v>0.73125000000000007</v>
          </cell>
          <cell r="H218">
            <v>45328</v>
          </cell>
          <cell r="I218">
            <v>45337</v>
          </cell>
          <cell r="J218">
            <v>7058983347</v>
          </cell>
          <cell r="L218">
            <v>21</v>
          </cell>
          <cell r="M218">
            <v>1</v>
          </cell>
          <cell r="N218">
            <v>2</v>
          </cell>
          <cell r="O218">
            <v>2</v>
          </cell>
          <cell r="P218">
            <v>2</v>
          </cell>
          <cell r="Q218">
            <v>1</v>
          </cell>
          <cell r="R218">
            <v>2</v>
          </cell>
          <cell r="S218">
            <v>2</v>
          </cell>
          <cell r="T218">
            <v>2</v>
          </cell>
          <cell r="U218">
            <v>2</v>
          </cell>
          <cell r="V218" t="str">
            <v>generalized weakness since 25 days</v>
          </cell>
          <cell r="AJ218" t="str">
            <v>left MCA territory infarct midline shift 2.2mm</v>
          </cell>
          <cell r="AM218">
            <v>7</v>
          </cell>
          <cell r="AN218">
            <v>2</v>
          </cell>
          <cell r="AO218">
            <v>2</v>
          </cell>
          <cell r="AP218">
            <v>1</v>
          </cell>
          <cell r="AQ218">
            <v>3</v>
          </cell>
          <cell r="AS218">
            <v>1</v>
          </cell>
          <cell r="AT218">
            <v>2</v>
          </cell>
          <cell r="AU218">
            <v>1</v>
          </cell>
          <cell r="AV218">
            <v>1</v>
          </cell>
          <cell r="AW218">
            <v>2</v>
          </cell>
          <cell r="AZ218">
            <v>6</v>
          </cell>
          <cell r="BA218">
            <v>0</v>
          </cell>
        </row>
        <row r="219">
          <cell r="A219" t="str">
            <v>Govind saliyan</v>
          </cell>
          <cell r="C219">
            <v>240000005875</v>
          </cell>
          <cell r="D219">
            <v>63</v>
          </cell>
          <cell r="E219">
            <v>1</v>
          </cell>
          <cell r="F219">
            <v>45305</v>
          </cell>
          <cell r="G219">
            <v>0.33333333333333331</v>
          </cell>
          <cell r="H219">
            <v>45307</v>
          </cell>
          <cell r="J219">
            <v>8999894488</v>
          </cell>
          <cell r="M219">
            <v>1</v>
          </cell>
          <cell r="N219">
            <v>1</v>
          </cell>
          <cell r="O219">
            <v>2</v>
          </cell>
          <cell r="P219">
            <v>2</v>
          </cell>
          <cell r="Q219">
            <v>2</v>
          </cell>
          <cell r="R219">
            <v>2</v>
          </cell>
          <cell r="S219">
            <v>2</v>
          </cell>
          <cell r="T219">
            <v>2</v>
          </cell>
          <cell r="U219">
            <v>2</v>
          </cell>
          <cell r="V219" t="str">
            <v>h/o o/c/o rt tibia operated rod in situ 4 months back</v>
          </cell>
          <cell r="W219">
            <v>12.8</v>
          </cell>
          <cell r="X219">
            <v>38.9</v>
          </cell>
          <cell r="Y219">
            <v>83</v>
          </cell>
          <cell r="Z219">
            <v>17.63</v>
          </cell>
          <cell r="AA219">
            <v>9.1999999999999993</v>
          </cell>
          <cell r="AB219">
            <v>253</v>
          </cell>
          <cell r="AC219">
            <v>159.80000000000001</v>
          </cell>
          <cell r="AD219">
            <v>41</v>
          </cell>
          <cell r="AE219">
            <v>52.2</v>
          </cell>
          <cell r="AF219">
            <v>261</v>
          </cell>
          <cell r="AG219">
            <v>403</v>
          </cell>
          <cell r="AJ219" t="str">
            <v>AIS in rt GC region , rt Cerebral penduncle and left frontal region</v>
          </cell>
          <cell r="AM219">
            <v>8</v>
          </cell>
          <cell r="AN219">
            <v>1</v>
          </cell>
          <cell r="AO219">
            <v>5</v>
          </cell>
          <cell r="AP219">
            <v>3</v>
          </cell>
          <cell r="AQ219">
            <v>5</v>
          </cell>
          <cell r="AS219">
            <v>1</v>
          </cell>
          <cell r="AT219">
            <v>1</v>
          </cell>
          <cell r="AU219">
            <v>2</v>
          </cell>
          <cell r="AZ219">
            <v>1</v>
          </cell>
          <cell r="BA219">
            <v>90</v>
          </cell>
        </row>
        <row r="220">
          <cell r="A220" t="str">
            <v>laxmibai bhandari</v>
          </cell>
          <cell r="C220">
            <v>240000005997</v>
          </cell>
          <cell r="D220">
            <v>65</v>
          </cell>
          <cell r="E220">
            <v>2</v>
          </cell>
          <cell r="F220">
            <v>45306</v>
          </cell>
          <cell r="G220">
            <v>0.95833333333333337</v>
          </cell>
          <cell r="H220">
            <v>45307</v>
          </cell>
          <cell r="J220">
            <v>9830935588</v>
          </cell>
          <cell r="M220">
            <v>1</v>
          </cell>
          <cell r="N220">
            <v>2</v>
          </cell>
          <cell r="O220">
            <v>2</v>
          </cell>
          <cell r="P220">
            <v>2</v>
          </cell>
          <cell r="Q220">
            <v>2</v>
          </cell>
          <cell r="R220">
            <v>2</v>
          </cell>
          <cell r="S220">
            <v>2</v>
          </cell>
          <cell r="T220">
            <v>2</v>
          </cell>
          <cell r="U220">
            <v>2</v>
          </cell>
          <cell r="V220" t="str">
            <v>old CVA</v>
          </cell>
          <cell r="W220">
            <v>13.8</v>
          </cell>
          <cell r="X220">
            <v>40.799999999999997</v>
          </cell>
          <cell r="Y220">
            <v>92.5</v>
          </cell>
          <cell r="Z220">
            <v>24.56</v>
          </cell>
          <cell r="AA220">
            <v>6</v>
          </cell>
          <cell r="AG220">
            <v>2000</v>
          </cell>
          <cell r="AJ220" t="str">
            <v>NHI in rt GC region and B/L thalami. multiple old lacunar infarct in b/l thalami, b/l gc region, b/l periventricular white matter</v>
          </cell>
          <cell r="AM220">
            <v>9</v>
          </cell>
          <cell r="AN220">
            <v>1</v>
          </cell>
          <cell r="AO220">
            <v>3</v>
          </cell>
          <cell r="AP220">
            <v>3</v>
          </cell>
          <cell r="AQ220">
            <v>5</v>
          </cell>
          <cell r="AS220">
            <v>1</v>
          </cell>
          <cell r="AT220">
            <v>1</v>
          </cell>
          <cell r="AU220">
            <v>2</v>
          </cell>
          <cell r="AZ220">
            <v>3</v>
          </cell>
          <cell r="BA220">
            <v>55</v>
          </cell>
        </row>
        <row r="221">
          <cell r="A221" t="str">
            <v>birajdar vijaykumar</v>
          </cell>
          <cell r="C221">
            <v>240000009353</v>
          </cell>
          <cell r="D221">
            <v>65</v>
          </cell>
          <cell r="E221">
            <v>1</v>
          </cell>
          <cell r="F221">
            <v>45332</v>
          </cell>
          <cell r="G221">
            <v>0.91666666666666663</v>
          </cell>
          <cell r="H221">
            <v>45333</v>
          </cell>
          <cell r="J221">
            <v>8788726932</v>
          </cell>
          <cell r="L221">
            <v>9</v>
          </cell>
          <cell r="M221">
            <v>1</v>
          </cell>
          <cell r="N221">
            <v>1</v>
          </cell>
          <cell r="O221">
            <v>2</v>
          </cell>
          <cell r="P221">
            <v>2</v>
          </cell>
          <cell r="Q221">
            <v>2</v>
          </cell>
          <cell r="R221">
            <v>2</v>
          </cell>
          <cell r="S221">
            <v>2</v>
          </cell>
          <cell r="T221">
            <v>1</v>
          </cell>
          <cell r="U221">
            <v>2</v>
          </cell>
          <cell r="W221">
            <v>9.6</v>
          </cell>
          <cell r="X221">
            <v>30.3</v>
          </cell>
          <cell r="Y221">
            <v>70.7</v>
          </cell>
          <cell r="Z221">
            <v>9.69</v>
          </cell>
          <cell r="AA221">
            <v>8.6</v>
          </cell>
          <cell r="AB221">
            <v>101</v>
          </cell>
          <cell r="AC221">
            <v>44.8</v>
          </cell>
          <cell r="AD221">
            <v>31</v>
          </cell>
          <cell r="AE221">
            <v>25.2</v>
          </cell>
          <cell r="AF221">
            <v>126</v>
          </cell>
          <cell r="AG221">
            <v>363</v>
          </cell>
          <cell r="AJ221" t="str">
            <v>Rt MCA patchy infarcts &amp; rt periventricular white matter</v>
          </cell>
          <cell r="AK221" t="str">
            <v>RT M2 block, Rt ICA origin plaque &lt;50% occlusion, B/L vetebral ostium origin stenosis</v>
          </cell>
          <cell r="AM221">
            <v>10</v>
          </cell>
          <cell r="AN221">
            <v>1</v>
          </cell>
          <cell r="AO221">
            <v>5</v>
          </cell>
          <cell r="AP221">
            <v>3</v>
          </cell>
          <cell r="AQ221">
            <v>5</v>
          </cell>
          <cell r="AS221">
            <v>1</v>
          </cell>
          <cell r="AT221">
            <v>1</v>
          </cell>
          <cell r="AU221">
            <v>2</v>
          </cell>
          <cell r="AZ221">
            <v>0</v>
          </cell>
          <cell r="BA221">
            <v>100</v>
          </cell>
        </row>
        <row r="222">
          <cell r="A222" t="str">
            <v>Udhavrao salunke</v>
          </cell>
          <cell r="C222">
            <v>230000001514</v>
          </cell>
          <cell r="D222">
            <v>80</v>
          </cell>
          <cell r="E222">
            <v>1</v>
          </cell>
          <cell r="F222">
            <v>45323</v>
          </cell>
          <cell r="G222">
            <v>0.20833333333333334</v>
          </cell>
          <cell r="H222">
            <v>45327</v>
          </cell>
          <cell r="J222">
            <v>8888837024</v>
          </cell>
          <cell r="M222">
            <v>1</v>
          </cell>
          <cell r="N222">
            <v>1</v>
          </cell>
          <cell r="O222">
            <v>2</v>
          </cell>
          <cell r="P222">
            <v>2</v>
          </cell>
          <cell r="Q222">
            <v>2</v>
          </cell>
          <cell r="R222">
            <v>2</v>
          </cell>
          <cell r="S222">
            <v>2</v>
          </cell>
          <cell r="T222">
            <v>2</v>
          </cell>
          <cell r="U222">
            <v>2</v>
          </cell>
          <cell r="V222" t="str">
            <v>old stroke Nov 2023 left pontine hemorrhage</v>
          </cell>
          <cell r="W222">
            <v>13</v>
          </cell>
          <cell r="X222">
            <v>38.299999999999997</v>
          </cell>
          <cell r="Y222">
            <v>83</v>
          </cell>
          <cell r="Z222">
            <v>27</v>
          </cell>
          <cell r="AA222">
            <v>11.1</v>
          </cell>
          <cell r="AB222">
            <v>276</v>
          </cell>
          <cell r="AC222">
            <v>168.4</v>
          </cell>
          <cell r="AD222">
            <v>43</v>
          </cell>
          <cell r="AE222">
            <v>64.599999999999994</v>
          </cell>
          <cell r="AF222">
            <v>323</v>
          </cell>
          <cell r="AG222">
            <v>305</v>
          </cell>
          <cell r="AJ222" t="str">
            <v>left corona radiata infarct, Rt anterior temporal small infarct, old left pontine hemorrhage</v>
          </cell>
          <cell r="AK222" t="str">
            <v>saccular aneurysm in the inferior part of A3 segment of Rt ACA. Clacified athersclerotic plaques in the petrous, cavernous clinoid and ophthalmic segments of B/L ICAs causing mild luminal narrowing V4 segment of Left vertebral artery causing partial luminal narrowing</v>
          </cell>
          <cell r="AM222">
            <v>10</v>
          </cell>
          <cell r="AN222">
            <v>1</v>
          </cell>
          <cell r="AO222">
            <v>5</v>
          </cell>
          <cell r="AP222">
            <v>3</v>
          </cell>
          <cell r="AQ222">
            <v>5</v>
          </cell>
          <cell r="AS222">
            <v>1</v>
          </cell>
          <cell r="AT222">
            <v>1</v>
          </cell>
          <cell r="AU222">
            <v>2</v>
          </cell>
          <cell r="AZ222">
            <v>2</v>
          </cell>
          <cell r="BA222">
            <v>65</v>
          </cell>
        </row>
        <row r="223">
          <cell r="A223" t="str">
            <v>Kamal kulkarni</v>
          </cell>
          <cell r="C223">
            <v>2300000586267</v>
          </cell>
          <cell r="D223">
            <v>69</v>
          </cell>
          <cell r="E223">
            <v>2</v>
          </cell>
          <cell r="F223">
            <v>45234</v>
          </cell>
          <cell r="G223">
            <v>0.875</v>
          </cell>
          <cell r="H223">
            <v>45236</v>
          </cell>
          <cell r="I223">
            <v>45239</v>
          </cell>
          <cell r="J223">
            <v>9421240186</v>
          </cell>
          <cell r="K223">
            <v>9421250924</v>
          </cell>
          <cell r="M223">
            <v>1</v>
          </cell>
          <cell r="N223">
            <v>2</v>
          </cell>
          <cell r="O223">
            <v>2</v>
          </cell>
          <cell r="P223">
            <v>2</v>
          </cell>
          <cell r="Q223">
            <v>2</v>
          </cell>
          <cell r="R223">
            <v>2</v>
          </cell>
          <cell r="S223">
            <v>2</v>
          </cell>
          <cell r="T223">
            <v>2</v>
          </cell>
          <cell r="U223">
            <v>2</v>
          </cell>
          <cell r="W223">
            <v>13</v>
          </cell>
          <cell r="X223">
            <v>39.4</v>
          </cell>
          <cell r="Y223">
            <v>83.3</v>
          </cell>
          <cell r="Z223">
            <v>18.13</v>
          </cell>
          <cell r="AA223">
            <v>10.6</v>
          </cell>
          <cell r="AB223">
            <v>158</v>
          </cell>
          <cell r="AC223">
            <v>108.2</v>
          </cell>
          <cell r="AD223">
            <v>40</v>
          </cell>
          <cell r="AE223">
            <v>9.8000000000000007</v>
          </cell>
          <cell r="AF223">
            <v>49</v>
          </cell>
          <cell r="AG223">
            <v>2000</v>
          </cell>
          <cell r="AJ223" t="str">
            <v>Left MCA acute infarct</v>
          </cell>
          <cell r="AK223" t="str">
            <v xml:space="preserve">Lt M1 occlusion in lt MCa, reformation of distal M1 segment and paucity of cortical branches. carotid bulb causing mild luminal narrowing. poor opacification of Lt ICA. plaques noted in cavernous and Clinoid segment of B/L ICA. </v>
          </cell>
          <cell r="AS223">
            <v>1</v>
          </cell>
          <cell r="AT223">
            <v>1</v>
          </cell>
          <cell r="AU223">
            <v>2</v>
          </cell>
          <cell r="AZ223">
            <v>6</v>
          </cell>
          <cell r="BA223">
            <v>0</v>
          </cell>
        </row>
        <row r="224">
          <cell r="A224" t="str">
            <v>Sulochana Newase</v>
          </cell>
          <cell r="C224">
            <v>230000058666</v>
          </cell>
          <cell r="D224">
            <v>76</v>
          </cell>
          <cell r="E224">
            <v>2</v>
          </cell>
          <cell r="F224">
            <v>45233</v>
          </cell>
          <cell r="G224">
            <v>0.89583333333333337</v>
          </cell>
          <cell r="H224">
            <v>45237</v>
          </cell>
          <cell r="I224">
            <v>45244</v>
          </cell>
          <cell r="J224">
            <v>8796350102</v>
          </cell>
          <cell r="M224">
            <v>1</v>
          </cell>
          <cell r="N224">
            <v>1</v>
          </cell>
          <cell r="O224">
            <v>2</v>
          </cell>
          <cell r="P224">
            <v>2</v>
          </cell>
          <cell r="Q224">
            <v>1</v>
          </cell>
          <cell r="R224">
            <v>2</v>
          </cell>
          <cell r="S224">
            <v>2</v>
          </cell>
          <cell r="T224">
            <v>2</v>
          </cell>
          <cell r="U224">
            <v>2</v>
          </cell>
          <cell r="V224" t="str">
            <v>Old history of stroke on 05/09/2023</v>
          </cell>
          <cell r="W224">
            <v>9.6</v>
          </cell>
          <cell r="X224">
            <v>23.3</v>
          </cell>
          <cell r="Z224">
            <v>5.43</v>
          </cell>
          <cell r="AA224">
            <v>4.8</v>
          </cell>
          <cell r="AB224">
            <v>158</v>
          </cell>
          <cell r="AC224">
            <v>108.2</v>
          </cell>
          <cell r="AD224">
            <v>40</v>
          </cell>
          <cell r="AE224">
            <v>9.8000000000000007</v>
          </cell>
          <cell r="AF224">
            <v>49</v>
          </cell>
          <cell r="AG224">
            <v>1565</v>
          </cell>
          <cell r="AJ224" t="str">
            <v>Acute ischemic infarct in B/L frontal parietal and occipital branches and Rt temporal lobes</v>
          </cell>
          <cell r="AK224" t="str">
            <v xml:space="preserve">watershed infarct with small areas of hemorrhagic transformation. Acute infarcts scattered in the cortical and subcortical white matter, Sub acute infarct in Rt thalamus </v>
          </cell>
          <cell r="AL224" t="str">
            <v>MRA normal</v>
          </cell>
          <cell r="AS224">
            <v>1</v>
          </cell>
          <cell r="AT224">
            <v>1</v>
          </cell>
          <cell r="AU224">
            <v>2</v>
          </cell>
          <cell r="AZ224">
            <v>6</v>
          </cell>
          <cell r="BA224">
            <v>0</v>
          </cell>
        </row>
        <row r="225">
          <cell r="A225" t="str">
            <v>bhapkar sagar</v>
          </cell>
          <cell r="C225">
            <v>240000017691</v>
          </cell>
          <cell r="D225">
            <v>45</v>
          </cell>
          <cell r="E225">
            <v>1</v>
          </cell>
          <cell r="F225">
            <v>45341</v>
          </cell>
          <cell r="G225">
            <v>0.66666666666666663</v>
          </cell>
          <cell r="H225">
            <v>45342</v>
          </cell>
          <cell r="I225">
            <v>45346</v>
          </cell>
          <cell r="J225">
            <v>9921999898</v>
          </cell>
          <cell r="L225">
            <v>5</v>
          </cell>
          <cell r="M225">
            <v>1</v>
          </cell>
          <cell r="N225">
            <v>1</v>
          </cell>
          <cell r="O225">
            <v>2</v>
          </cell>
          <cell r="P225">
            <v>2</v>
          </cell>
          <cell r="Q225">
            <v>2</v>
          </cell>
          <cell r="R225">
            <v>2</v>
          </cell>
          <cell r="S225">
            <v>2</v>
          </cell>
          <cell r="T225">
            <v>2</v>
          </cell>
          <cell r="U225">
            <v>2</v>
          </cell>
          <cell r="V225" t="str">
            <v>ECG- anterior wall stelivation</v>
          </cell>
          <cell r="W225">
            <v>15</v>
          </cell>
          <cell r="Z225">
            <v>17.079999999999998</v>
          </cell>
          <cell r="AA225">
            <v>13</v>
          </cell>
          <cell r="AB225">
            <v>231</v>
          </cell>
          <cell r="AC225">
            <v>137.80000000000001</v>
          </cell>
          <cell r="AE225">
            <v>51.2</v>
          </cell>
          <cell r="AF225">
            <v>256</v>
          </cell>
          <cell r="AG225">
            <v>166</v>
          </cell>
          <cell r="AJ225" t="str">
            <v>b/l MCA PCA watershed infarct, Rt cerebellum tiny infarcts</v>
          </cell>
          <cell r="AK225" t="str">
            <v>Rt ICA origin plaque 60-70% stenosis</v>
          </cell>
          <cell r="AM225">
            <v>8</v>
          </cell>
          <cell r="AN225">
            <v>1</v>
          </cell>
          <cell r="AO225">
            <v>3</v>
          </cell>
          <cell r="AP225">
            <v>3</v>
          </cell>
          <cell r="AQ225">
            <v>5</v>
          </cell>
          <cell r="AS225">
            <v>1</v>
          </cell>
          <cell r="AT225">
            <v>1</v>
          </cell>
          <cell r="AU225">
            <v>2</v>
          </cell>
        </row>
        <row r="226">
          <cell r="A226" t="str">
            <v>Nanaware vinod</v>
          </cell>
          <cell r="C226">
            <v>240000024094</v>
          </cell>
          <cell r="D226">
            <v>61</v>
          </cell>
          <cell r="E226">
            <v>1</v>
          </cell>
          <cell r="F226">
            <v>45361</v>
          </cell>
          <cell r="G226">
            <v>0.20833333333333334</v>
          </cell>
          <cell r="H226">
            <v>45361</v>
          </cell>
          <cell r="J226">
            <v>9850421091</v>
          </cell>
          <cell r="K226">
            <v>9309588805</v>
          </cell>
          <cell r="L226">
            <v>7</v>
          </cell>
          <cell r="M226">
            <v>2</v>
          </cell>
          <cell r="N226">
            <v>1</v>
          </cell>
          <cell r="O226">
            <v>1</v>
          </cell>
          <cell r="P226">
            <v>2</v>
          </cell>
          <cell r="Q226">
            <v>2</v>
          </cell>
          <cell r="R226">
            <v>2</v>
          </cell>
          <cell r="S226">
            <v>2</v>
          </cell>
          <cell r="T226">
            <v>2</v>
          </cell>
          <cell r="U226">
            <v>2</v>
          </cell>
          <cell r="V226" t="str">
            <v>P/H/O thrombectomy</v>
          </cell>
          <cell r="W226">
            <v>12.9</v>
          </cell>
          <cell r="X226">
            <v>90</v>
          </cell>
          <cell r="Y226">
            <v>97.7</v>
          </cell>
          <cell r="Z226">
            <v>70.19</v>
          </cell>
          <cell r="AA226">
            <v>4.5999999999999996</v>
          </cell>
          <cell r="AB226">
            <v>118</v>
          </cell>
          <cell r="AC226">
            <v>61.8</v>
          </cell>
          <cell r="AD226">
            <v>45</v>
          </cell>
          <cell r="AE226">
            <v>11.2</v>
          </cell>
          <cell r="AF226">
            <v>56</v>
          </cell>
          <cell r="AG226">
            <v>244</v>
          </cell>
          <cell r="AJ226" t="str">
            <v>Rt lentiform superior frontal gyrus acute infarct</v>
          </cell>
          <cell r="AK226" t="str">
            <v>rt M1 MCA occlusion</v>
          </cell>
          <cell r="AM226">
            <v>6</v>
          </cell>
          <cell r="AN226">
            <v>1</v>
          </cell>
          <cell r="AO226">
            <v>2</v>
          </cell>
          <cell r="AP226">
            <v>2</v>
          </cell>
          <cell r="AQ226">
            <v>3</v>
          </cell>
          <cell r="AS226">
            <v>1</v>
          </cell>
          <cell r="AT226">
            <v>1</v>
          </cell>
          <cell r="AU226">
            <v>2</v>
          </cell>
          <cell r="AX226">
            <v>1</v>
          </cell>
        </row>
        <row r="227">
          <cell r="A227" t="str">
            <v>Navgire omkar</v>
          </cell>
          <cell r="C227">
            <v>240000039523</v>
          </cell>
          <cell r="D227">
            <v>21</v>
          </cell>
          <cell r="E227">
            <v>1</v>
          </cell>
          <cell r="F227">
            <v>45413</v>
          </cell>
          <cell r="G227">
            <v>0.72916666666666663</v>
          </cell>
          <cell r="L227">
            <v>0</v>
          </cell>
          <cell r="M227">
            <v>2</v>
          </cell>
          <cell r="N227">
            <v>2</v>
          </cell>
          <cell r="O227">
            <v>2</v>
          </cell>
          <cell r="P227">
            <v>2</v>
          </cell>
          <cell r="Q227">
            <v>1</v>
          </cell>
          <cell r="R227">
            <v>2</v>
          </cell>
          <cell r="S227">
            <v>2</v>
          </cell>
          <cell r="T227">
            <v>2</v>
          </cell>
          <cell r="U227">
            <v>2</v>
          </cell>
          <cell r="V227" t="str">
            <v>OPD patient</v>
          </cell>
          <cell r="AJ227" t="str">
            <v>left corona radiata, left middle frontal gyrus and left pre frontal cortex infarct</v>
          </cell>
          <cell r="AK227" t="str">
            <v>left ICA origin floating thrombus + plaques causing &lt; 50% stenosis</v>
          </cell>
          <cell r="AS227">
            <v>1</v>
          </cell>
          <cell r="AT227">
            <v>1</v>
          </cell>
          <cell r="AU227">
            <v>2</v>
          </cell>
        </row>
        <row r="228">
          <cell r="A228" t="str">
            <v>Surekha Kale</v>
          </cell>
          <cell r="C228">
            <v>240000033245</v>
          </cell>
          <cell r="D228">
            <v>51</v>
          </cell>
          <cell r="E228">
            <v>2</v>
          </cell>
          <cell r="F228">
            <v>45390</v>
          </cell>
          <cell r="G228">
            <v>0.5</v>
          </cell>
          <cell r="H228">
            <v>45391</v>
          </cell>
          <cell r="J228">
            <v>8888714581</v>
          </cell>
          <cell r="L228">
            <v>10</v>
          </cell>
          <cell r="M228">
            <v>1</v>
          </cell>
          <cell r="N228">
            <v>1</v>
          </cell>
          <cell r="O228">
            <v>2</v>
          </cell>
          <cell r="P228">
            <v>2</v>
          </cell>
          <cell r="Q228">
            <v>1</v>
          </cell>
          <cell r="R228">
            <v>2</v>
          </cell>
          <cell r="S228">
            <v>2</v>
          </cell>
          <cell r="T228">
            <v>2</v>
          </cell>
          <cell r="U228">
            <v>2</v>
          </cell>
          <cell r="W228">
            <v>12.8</v>
          </cell>
          <cell r="X228">
            <v>40.700000000000003</v>
          </cell>
          <cell r="Y228">
            <v>82.7</v>
          </cell>
          <cell r="Z228">
            <v>12.81</v>
          </cell>
          <cell r="AA228">
            <v>7.3</v>
          </cell>
          <cell r="AB228">
            <v>207</v>
          </cell>
          <cell r="AC228">
            <v>148</v>
          </cell>
          <cell r="AD228">
            <v>40</v>
          </cell>
          <cell r="AE228">
            <v>19</v>
          </cell>
          <cell r="AF228">
            <v>95</v>
          </cell>
          <cell r="AG228">
            <v>224</v>
          </cell>
          <cell r="AJ228" t="str">
            <v>left recurrent artery of huebener infarct and left internal watershed infarct</v>
          </cell>
          <cell r="AK228" t="str">
            <v>involvinf high frontal cortex, head of rt caudate nucelus and anterior part of putamen, Atherosclerotic plaque causing complete luminal narrowing at the origin of the rt ICA non visualized of the rt ICA and Rt MCA</v>
          </cell>
          <cell r="AM228">
            <v>8</v>
          </cell>
          <cell r="AN228">
            <v>1</v>
          </cell>
          <cell r="AO228">
            <v>3</v>
          </cell>
          <cell r="AP228">
            <v>3</v>
          </cell>
          <cell r="AQ228">
            <v>4</v>
          </cell>
          <cell r="AS228">
            <v>1</v>
          </cell>
          <cell r="AT228">
            <v>1</v>
          </cell>
          <cell r="AU228">
            <v>2</v>
          </cell>
          <cell r="AZ228">
            <v>1</v>
          </cell>
          <cell r="BA228">
            <v>95</v>
          </cell>
        </row>
        <row r="229">
          <cell r="A229" t="str">
            <v>Sumit Pawar</v>
          </cell>
          <cell r="C229">
            <v>240000037353</v>
          </cell>
          <cell r="D229">
            <v>35</v>
          </cell>
          <cell r="E229">
            <v>1</v>
          </cell>
          <cell r="F229">
            <v>45405</v>
          </cell>
          <cell r="G229">
            <v>0.4375</v>
          </cell>
          <cell r="H229">
            <v>45405</v>
          </cell>
          <cell r="J229">
            <v>9881490701</v>
          </cell>
          <cell r="K229">
            <v>907565071</v>
          </cell>
          <cell r="L229">
            <v>17</v>
          </cell>
          <cell r="M229">
            <v>2</v>
          </cell>
          <cell r="N229">
            <v>2</v>
          </cell>
          <cell r="O229">
            <v>2</v>
          </cell>
          <cell r="P229">
            <v>2</v>
          </cell>
          <cell r="Q229">
            <v>2</v>
          </cell>
          <cell r="R229">
            <v>2</v>
          </cell>
          <cell r="S229">
            <v>2</v>
          </cell>
          <cell r="T229">
            <v>2</v>
          </cell>
          <cell r="U229">
            <v>2</v>
          </cell>
          <cell r="W229">
            <v>15.2</v>
          </cell>
          <cell r="X229">
            <v>44.7</v>
          </cell>
          <cell r="Y229">
            <v>90.7</v>
          </cell>
          <cell r="Z229">
            <v>19.920000000000002</v>
          </cell>
          <cell r="AB229">
            <v>150</v>
          </cell>
          <cell r="AC229">
            <v>101</v>
          </cell>
          <cell r="AD229">
            <v>28</v>
          </cell>
          <cell r="AE229">
            <v>21</v>
          </cell>
          <cell r="AF229">
            <v>105</v>
          </cell>
          <cell r="AG229">
            <v>238</v>
          </cell>
          <cell r="AJ229" t="str">
            <v xml:space="preserve">left corona radiata infarct </v>
          </cell>
          <cell r="AK229" t="str">
            <v>left ICA 99% stenosis with clot till left M2 occlusion</v>
          </cell>
          <cell r="AM229">
            <v>7</v>
          </cell>
          <cell r="AN229">
            <v>1</v>
          </cell>
          <cell r="AO229">
            <v>3</v>
          </cell>
          <cell r="AP229">
            <v>2</v>
          </cell>
          <cell r="AQ229">
            <v>4</v>
          </cell>
          <cell r="AS229">
            <v>1</v>
          </cell>
          <cell r="AT229">
            <v>1</v>
          </cell>
          <cell r="AU229">
            <v>2</v>
          </cell>
          <cell r="AX229">
            <v>1</v>
          </cell>
          <cell r="AZ229">
            <v>0</v>
          </cell>
          <cell r="BA229">
            <v>100</v>
          </cell>
        </row>
        <row r="230">
          <cell r="A230" t="str">
            <v>Prem singh janala</v>
          </cell>
          <cell r="C230">
            <v>240000035534</v>
          </cell>
          <cell r="D230">
            <v>52</v>
          </cell>
          <cell r="E230">
            <v>1</v>
          </cell>
          <cell r="F230">
            <v>45398</v>
          </cell>
          <cell r="G230">
            <v>0.91666666666666663</v>
          </cell>
          <cell r="H230">
            <v>45399</v>
          </cell>
          <cell r="L230">
            <v>8</v>
          </cell>
          <cell r="M230">
            <v>1</v>
          </cell>
          <cell r="N230">
            <v>1</v>
          </cell>
          <cell r="O230">
            <v>1</v>
          </cell>
          <cell r="P230">
            <v>2</v>
          </cell>
          <cell r="Q230">
            <v>2</v>
          </cell>
          <cell r="R230">
            <v>2</v>
          </cell>
          <cell r="S230">
            <v>2</v>
          </cell>
          <cell r="T230">
            <v>2</v>
          </cell>
          <cell r="U230">
            <v>2</v>
          </cell>
          <cell r="V230" t="str">
            <v>rheumatoid arthritis, obese</v>
          </cell>
          <cell r="W230">
            <v>10.4</v>
          </cell>
          <cell r="X230">
            <v>32.700000000000003</v>
          </cell>
          <cell r="Y230">
            <v>75.900000000000006</v>
          </cell>
          <cell r="Z230">
            <v>9.31</v>
          </cell>
          <cell r="AB230">
            <v>277</v>
          </cell>
          <cell r="AD230">
            <v>38</v>
          </cell>
          <cell r="AF230">
            <v>627</v>
          </cell>
          <cell r="AG230">
            <v>497</v>
          </cell>
          <cell r="AJ230" t="str">
            <v>left corona radiata and posterior limb of internal capsule infarct</v>
          </cell>
          <cell r="AK230" t="str">
            <v xml:space="preserve">Rt ICA plaque &lt;50% stenosis </v>
          </cell>
          <cell r="AM230">
            <v>9</v>
          </cell>
          <cell r="AN230">
            <v>1</v>
          </cell>
          <cell r="AO230">
            <v>3</v>
          </cell>
          <cell r="AP230">
            <v>3</v>
          </cell>
          <cell r="AQ230">
            <v>5</v>
          </cell>
          <cell r="AS230">
            <v>1</v>
          </cell>
          <cell r="AT230">
            <v>1</v>
          </cell>
          <cell r="AU230">
            <v>2</v>
          </cell>
          <cell r="AZ230">
            <v>1</v>
          </cell>
          <cell r="BA230">
            <v>90</v>
          </cell>
        </row>
        <row r="231">
          <cell r="A231" t="str">
            <v>Mali subhadra</v>
          </cell>
          <cell r="C231">
            <v>230000022720</v>
          </cell>
          <cell r="D231">
            <v>75</v>
          </cell>
          <cell r="E231">
            <v>2</v>
          </cell>
          <cell r="F231">
            <v>45398</v>
          </cell>
          <cell r="G231">
            <v>0.3125</v>
          </cell>
          <cell r="H231">
            <v>45398</v>
          </cell>
          <cell r="J231">
            <v>9890084283</v>
          </cell>
          <cell r="K231">
            <v>9970450799</v>
          </cell>
          <cell r="L231">
            <v>26</v>
          </cell>
          <cell r="M231">
            <v>1</v>
          </cell>
          <cell r="N231">
            <v>2</v>
          </cell>
          <cell r="O231">
            <v>2</v>
          </cell>
          <cell r="P231">
            <v>2</v>
          </cell>
          <cell r="Q231">
            <v>2</v>
          </cell>
          <cell r="R231">
            <v>2</v>
          </cell>
          <cell r="S231">
            <v>2</v>
          </cell>
          <cell r="T231">
            <v>2</v>
          </cell>
          <cell r="U231">
            <v>2</v>
          </cell>
          <cell r="V231" t="str">
            <v>heart failure</v>
          </cell>
          <cell r="W231">
            <v>12.7</v>
          </cell>
          <cell r="X231">
            <v>39</v>
          </cell>
          <cell r="Y231">
            <v>88.7</v>
          </cell>
          <cell r="Z231">
            <v>14.48</v>
          </cell>
          <cell r="AJ231" t="str">
            <v>rt mca inferior division infarct, old left PICA infarct</v>
          </cell>
          <cell r="AK231" t="str">
            <v>Rt MCA inferior division occlusion</v>
          </cell>
          <cell r="AM231">
            <v>6</v>
          </cell>
          <cell r="AN231">
            <v>1</v>
          </cell>
          <cell r="AO231">
            <v>3</v>
          </cell>
          <cell r="AP231">
            <v>3</v>
          </cell>
          <cell r="AQ231">
            <v>4</v>
          </cell>
          <cell r="AS231">
            <v>1</v>
          </cell>
          <cell r="AT231">
            <v>1</v>
          </cell>
          <cell r="AZ231">
            <v>6</v>
          </cell>
        </row>
        <row r="232">
          <cell r="A232" t="str">
            <v>Ratnamala Gaikwad</v>
          </cell>
          <cell r="C232">
            <v>240000034649</v>
          </cell>
          <cell r="D232">
            <v>68</v>
          </cell>
          <cell r="E232">
            <v>2</v>
          </cell>
          <cell r="F232">
            <v>45395</v>
          </cell>
          <cell r="G232">
            <v>0.91666666666666663</v>
          </cell>
          <cell r="H232">
            <v>45395</v>
          </cell>
          <cell r="J232">
            <v>9021100108</v>
          </cell>
          <cell r="L232">
            <v>0</v>
          </cell>
          <cell r="M232">
            <v>1</v>
          </cell>
          <cell r="N232">
            <v>2</v>
          </cell>
          <cell r="O232">
            <v>2</v>
          </cell>
          <cell r="P232">
            <v>2</v>
          </cell>
          <cell r="Q232">
            <v>2</v>
          </cell>
          <cell r="R232">
            <v>2</v>
          </cell>
          <cell r="S232">
            <v>2</v>
          </cell>
          <cell r="T232">
            <v>2</v>
          </cell>
          <cell r="U232">
            <v>2</v>
          </cell>
          <cell r="V232" t="str">
            <v>past H/O of stroke</v>
          </cell>
          <cell r="W232">
            <v>10.8</v>
          </cell>
          <cell r="X232">
            <v>33.9</v>
          </cell>
          <cell r="Y232">
            <v>73.599999999999994</v>
          </cell>
          <cell r="Z232">
            <v>6.18</v>
          </cell>
          <cell r="AA232">
            <v>6.9</v>
          </cell>
          <cell r="AB232">
            <v>239</v>
          </cell>
          <cell r="AC232">
            <v>156.4</v>
          </cell>
          <cell r="AD232">
            <v>48</v>
          </cell>
          <cell r="AE232">
            <v>34.6</v>
          </cell>
          <cell r="AF232">
            <v>173</v>
          </cell>
          <cell r="AG232">
            <v>1560</v>
          </cell>
          <cell r="AJ232" t="str">
            <v>Rt MCA PCA watershed infarct</v>
          </cell>
          <cell r="AM232">
            <v>10</v>
          </cell>
          <cell r="AN232">
            <v>1</v>
          </cell>
          <cell r="AO232">
            <v>3</v>
          </cell>
          <cell r="AP232">
            <v>3</v>
          </cell>
          <cell r="AQ232">
            <v>5</v>
          </cell>
          <cell r="AS232">
            <v>1</v>
          </cell>
          <cell r="AT232">
            <v>1</v>
          </cell>
          <cell r="AU232">
            <v>2</v>
          </cell>
          <cell r="AZ232">
            <v>2</v>
          </cell>
          <cell r="BA232">
            <v>70</v>
          </cell>
        </row>
        <row r="233">
          <cell r="A233" t="str">
            <v>Rajani Dahrashivkar</v>
          </cell>
          <cell r="C233">
            <v>240000034634</v>
          </cell>
          <cell r="D233">
            <v>62</v>
          </cell>
          <cell r="E233">
            <v>2</v>
          </cell>
          <cell r="F233">
            <v>45395</v>
          </cell>
          <cell r="G233">
            <v>0.35416666666666669</v>
          </cell>
          <cell r="H233">
            <v>45395</v>
          </cell>
          <cell r="I233">
            <v>45397</v>
          </cell>
          <cell r="J233">
            <v>9922328960</v>
          </cell>
          <cell r="K233">
            <v>9764824635</v>
          </cell>
          <cell r="L233">
            <v>12</v>
          </cell>
          <cell r="M233">
            <v>1</v>
          </cell>
          <cell r="N233">
            <v>2</v>
          </cell>
          <cell r="O233">
            <v>2</v>
          </cell>
          <cell r="P233">
            <v>2</v>
          </cell>
          <cell r="Q233">
            <v>1</v>
          </cell>
          <cell r="R233">
            <v>2</v>
          </cell>
          <cell r="S233">
            <v>2</v>
          </cell>
          <cell r="T233">
            <v>2</v>
          </cell>
          <cell r="U233">
            <v>2</v>
          </cell>
          <cell r="V233" t="str">
            <v>K/C/O rheumathoid arthritis</v>
          </cell>
          <cell r="W233">
            <v>12.5</v>
          </cell>
          <cell r="X233">
            <v>37.299999999999997</v>
          </cell>
          <cell r="Y233">
            <v>106.6</v>
          </cell>
          <cell r="Z233">
            <v>46.2</v>
          </cell>
          <cell r="AA233">
            <v>151.4</v>
          </cell>
          <cell r="AB233">
            <v>210</v>
          </cell>
          <cell r="AC233">
            <v>151.4</v>
          </cell>
          <cell r="AD233">
            <v>40</v>
          </cell>
          <cell r="AE233">
            <v>18.600000000000001</v>
          </cell>
          <cell r="AF233">
            <v>93</v>
          </cell>
          <cell r="AG233">
            <v>221</v>
          </cell>
          <cell r="AJ233" t="str">
            <v>right M1 infarct</v>
          </cell>
          <cell r="AM233">
            <v>7</v>
          </cell>
          <cell r="AN233">
            <v>1</v>
          </cell>
          <cell r="AO233">
            <v>3</v>
          </cell>
          <cell r="AP233">
            <v>3</v>
          </cell>
          <cell r="AQ233">
            <v>5</v>
          </cell>
          <cell r="AS233">
            <v>1</v>
          </cell>
          <cell r="AT233">
            <v>1</v>
          </cell>
          <cell r="AU233">
            <v>2</v>
          </cell>
          <cell r="AZ233">
            <v>1</v>
          </cell>
          <cell r="BA233">
            <v>80</v>
          </cell>
        </row>
        <row r="234">
          <cell r="A234" t="str">
            <v>Savitra Tambat</v>
          </cell>
          <cell r="C234">
            <v>240000033024</v>
          </cell>
          <cell r="D234">
            <v>72</v>
          </cell>
          <cell r="E234">
            <v>2</v>
          </cell>
          <cell r="F234">
            <v>45388</v>
          </cell>
          <cell r="H234">
            <v>45390</v>
          </cell>
          <cell r="J234">
            <v>8788481734</v>
          </cell>
          <cell r="L234">
            <v>6</v>
          </cell>
          <cell r="M234">
            <v>1</v>
          </cell>
          <cell r="N234">
            <v>2</v>
          </cell>
          <cell r="O234">
            <v>2</v>
          </cell>
          <cell r="P234">
            <v>2</v>
          </cell>
          <cell r="Q234">
            <v>2</v>
          </cell>
          <cell r="R234">
            <v>2</v>
          </cell>
          <cell r="S234">
            <v>2</v>
          </cell>
          <cell r="T234">
            <v>1</v>
          </cell>
          <cell r="U234">
            <v>2</v>
          </cell>
          <cell r="V234" t="str">
            <v xml:space="preserve">past history stroke in 2019, </v>
          </cell>
          <cell r="W234">
            <v>9.5</v>
          </cell>
          <cell r="X234">
            <v>29.2</v>
          </cell>
          <cell r="Y234">
            <v>78.400000000000006</v>
          </cell>
          <cell r="AG234">
            <v>2000</v>
          </cell>
          <cell r="AJ234" t="str">
            <v>B/L deep watershed infarct</v>
          </cell>
          <cell r="AK234" t="str">
            <v>Acute nhi in B?L centrum semiovale b/l corona radiata, body and splenium of callosum &amp; B/L parieto-occipital regions, likely to be embolic stroke</v>
          </cell>
          <cell r="AM234">
            <v>8</v>
          </cell>
          <cell r="AS234">
            <v>1</v>
          </cell>
          <cell r="AT234">
            <v>1</v>
          </cell>
          <cell r="AU234">
            <v>2</v>
          </cell>
          <cell r="AZ234">
            <v>1</v>
          </cell>
          <cell r="BA234">
            <v>85</v>
          </cell>
        </row>
        <row r="235">
          <cell r="A235" t="str">
            <v>Surekha Naik</v>
          </cell>
          <cell r="C235">
            <v>240000032777</v>
          </cell>
          <cell r="D235">
            <v>70</v>
          </cell>
          <cell r="E235">
            <v>2</v>
          </cell>
          <cell r="F235">
            <v>45388</v>
          </cell>
          <cell r="G235">
            <v>0.85416666666666663</v>
          </cell>
          <cell r="H235">
            <v>45389</v>
          </cell>
          <cell r="J235">
            <v>9822010884</v>
          </cell>
          <cell r="K235">
            <v>7666534560</v>
          </cell>
          <cell r="L235">
            <v>0</v>
          </cell>
          <cell r="M235">
            <v>1</v>
          </cell>
          <cell r="N235">
            <v>1</v>
          </cell>
          <cell r="O235">
            <v>2</v>
          </cell>
          <cell r="P235">
            <v>2</v>
          </cell>
          <cell r="Q235">
            <v>1</v>
          </cell>
          <cell r="R235">
            <v>2</v>
          </cell>
          <cell r="S235">
            <v>2</v>
          </cell>
          <cell r="T235">
            <v>2</v>
          </cell>
          <cell r="U235">
            <v>2</v>
          </cell>
          <cell r="V235" t="str">
            <v>Thyrodectomy, osteoarthritis</v>
          </cell>
          <cell r="W235">
            <v>10.3</v>
          </cell>
          <cell r="X235">
            <v>32.5</v>
          </cell>
          <cell r="Y235">
            <v>87.1</v>
          </cell>
          <cell r="AA235">
            <v>9.9</v>
          </cell>
          <cell r="AB235">
            <v>126</v>
          </cell>
          <cell r="AC235">
            <v>61</v>
          </cell>
          <cell r="AD235">
            <v>34</v>
          </cell>
          <cell r="AE235">
            <v>31</v>
          </cell>
          <cell r="AF235">
            <v>155</v>
          </cell>
          <cell r="AG235">
            <v>1114</v>
          </cell>
          <cell r="AJ235" t="str">
            <v xml:space="preserve">acute NHI in rt frontal &amp; rt centrum semiovale infarct </v>
          </cell>
          <cell r="AM235">
            <v>10</v>
          </cell>
          <cell r="AS235">
            <v>1</v>
          </cell>
          <cell r="AT235">
            <v>1</v>
          </cell>
          <cell r="AU235">
            <v>2</v>
          </cell>
          <cell r="AZ235">
            <v>1</v>
          </cell>
          <cell r="BA235">
            <v>85</v>
          </cell>
        </row>
        <row r="236">
          <cell r="A236" t="str">
            <v>Potdar Tukaram</v>
          </cell>
          <cell r="C236">
            <v>240000032786</v>
          </cell>
          <cell r="D236">
            <v>76</v>
          </cell>
          <cell r="E236">
            <v>1</v>
          </cell>
          <cell r="F236">
            <v>45388</v>
          </cell>
          <cell r="G236">
            <v>0.85416666666666663</v>
          </cell>
          <cell r="H236">
            <v>45389</v>
          </cell>
          <cell r="J236">
            <v>9226948505</v>
          </cell>
          <cell r="K236">
            <v>7249813749</v>
          </cell>
          <cell r="L236">
            <v>13</v>
          </cell>
          <cell r="M236">
            <v>1</v>
          </cell>
          <cell r="N236">
            <v>2</v>
          </cell>
          <cell r="O236">
            <v>2</v>
          </cell>
          <cell r="P236">
            <v>1</v>
          </cell>
          <cell r="Q236">
            <v>1</v>
          </cell>
          <cell r="R236">
            <v>2</v>
          </cell>
          <cell r="S236">
            <v>2</v>
          </cell>
          <cell r="T236">
            <v>2</v>
          </cell>
          <cell r="U236">
            <v>2</v>
          </cell>
          <cell r="V236" t="str">
            <v>BKA 2017 Traumatic</v>
          </cell>
          <cell r="W236">
            <v>13.1</v>
          </cell>
          <cell r="AA236">
            <v>5.7</v>
          </cell>
          <cell r="AB236">
            <v>175</v>
          </cell>
          <cell r="AC236">
            <v>112.4</v>
          </cell>
          <cell r="AD236">
            <v>36</v>
          </cell>
          <cell r="AE236">
            <v>26.6</v>
          </cell>
          <cell r="AF236">
            <v>133</v>
          </cell>
          <cell r="AG236">
            <v>332</v>
          </cell>
          <cell r="AJ236" t="str">
            <v>Rt PCa infarct and PLIC infarct complete Rt CCA occlusion</v>
          </cell>
          <cell r="AM236">
            <v>9</v>
          </cell>
          <cell r="AN236">
            <v>1</v>
          </cell>
          <cell r="AO236">
            <v>3</v>
          </cell>
          <cell r="AP236">
            <v>3</v>
          </cell>
          <cell r="AQ236">
            <v>5</v>
          </cell>
          <cell r="AS236">
            <v>1</v>
          </cell>
          <cell r="AT236">
            <v>2</v>
          </cell>
          <cell r="AU236">
            <v>1</v>
          </cell>
          <cell r="AV236">
            <v>1</v>
          </cell>
          <cell r="AZ236">
            <v>6</v>
          </cell>
        </row>
        <row r="237">
          <cell r="A237" t="str">
            <v>khandale chandrakant</v>
          </cell>
          <cell r="C237">
            <v>240000031873</v>
          </cell>
          <cell r="D237">
            <v>58</v>
          </cell>
          <cell r="E237">
            <v>1</v>
          </cell>
          <cell r="F237">
            <v>45384</v>
          </cell>
          <cell r="G237">
            <v>0.25</v>
          </cell>
          <cell r="H237">
            <v>45385</v>
          </cell>
          <cell r="J237">
            <v>9763068303</v>
          </cell>
          <cell r="L237">
            <v>2</v>
          </cell>
          <cell r="M237">
            <v>1</v>
          </cell>
          <cell r="N237">
            <v>1</v>
          </cell>
          <cell r="O237">
            <v>2</v>
          </cell>
          <cell r="P237">
            <v>2</v>
          </cell>
          <cell r="Q237">
            <v>2</v>
          </cell>
          <cell r="R237">
            <v>2</v>
          </cell>
          <cell r="S237">
            <v>2</v>
          </cell>
          <cell r="T237">
            <v>1</v>
          </cell>
          <cell r="U237">
            <v>2</v>
          </cell>
          <cell r="V237" t="str">
            <v>today 4/4/24- morning 4am wakeup stroke, last known well 23:30hrs, Had TIA on 2/04/2024</v>
          </cell>
          <cell r="W237">
            <v>12.4</v>
          </cell>
          <cell r="X237">
            <v>38.6</v>
          </cell>
          <cell r="Y237">
            <v>83.2</v>
          </cell>
          <cell r="Z237">
            <v>18.309999999999999</v>
          </cell>
          <cell r="AA237">
            <v>9.1999999999999993</v>
          </cell>
          <cell r="AB237">
            <v>115</v>
          </cell>
          <cell r="AC237">
            <v>68.2</v>
          </cell>
          <cell r="AD237">
            <v>19</v>
          </cell>
          <cell r="AE237">
            <v>27.8</v>
          </cell>
          <cell r="AF237">
            <v>139</v>
          </cell>
          <cell r="AG237">
            <v>209</v>
          </cell>
          <cell r="AJ237" t="str">
            <v>Right internal watershed infarct and Rt Fronto-parietal and Occipital region</v>
          </cell>
          <cell r="AK237" t="str">
            <v>Rt ICA 99% stenosis at origin, Left ICA 95% stenosis at origin, Rt ICA at CCA bifurcation, Left vertebral artery hypoplastic</v>
          </cell>
          <cell r="AM237">
            <v>10</v>
          </cell>
          <cell r="AN237">
            <v>1</v>
          </cell>
          <cell r="AO237">
            <v>3</v>
          </cell>
          <cell r="AP237">
            <v>3</v>
          </cell>
          <cell r="AQ237">
            <v>5</v>
          </cell>
          <cell r="AS237">
            <v>1</v>
          </cell>
          <cell r="AT237">
            <v>1</v>
          </cell>
          <cell r="AU237">
            <v>2</v>
          </cell>
          <cell r="AZ237">
            <v>1</v>
          </cell>
          <cell r="BA237">
            <v>100</v>
          </cell>
        </row>
        <row r="238">
          <cell r="A238" t="str">
            <v>Dattatray Kulkarni</v>
          </cell>
          <cell r="C238">
            <v>240000032171</v>
          </cell>
          <cell r="D238">
            <v>75</v>
          </cell>
          <cell r="E238">
            <v>1</v>
          </cell>
          <cell r="F238">
            <v>45386</v>
          </cell>
          <cell r="G238">
            <v>0.47916666666666669</v>
          </cell>
          <cell r="H238">
            <v>45387</v>
          </cell>
          <cell r="J238">
            <v>9923064112</v>
          </cell>
          <cell r="K238">
            <v>7972930241</v>
          </cell>
          <cell r="L238">
            <v>18</v>
          </cell>
          <cell r="M238">
            <v>2</v>
          </cell>
          <cell r="N238">
            <v>2</v>
          </cell>
          <cell r="O238">
            <v>2</v>
          </cell>
          <cell r="P238">
            <v>2</v>
          </cell>
          <cell r="Q238">
            <v>2</v>
          </cell>
          <cell r="R238">
            <v>2</v>
          </cell>
          <cell r="S238">
            <v>2</v>
          </cell>
          <cell r="T238">
            <v>2</v>
          </cell>
          <cell r="U238">
            <v>2</v>
          </cell>
          <cell r="V238" t="str">
            <v>Suspected peripheral vascular disease</v>
          </cell>
          <cell r="W238">
            <v>6.7</v>
          </cell>
          <cell r="X238">
            <v>20.6</v>
          </cell>
          <cell r="Y238">
            <v>83.4</v>
          </cell>
          <cell r="Z238">
            <v>224.26</v>
          </cell>
          <cell r="AB238">
            <v>93</v>
          </cell>
          <cell r="AC238">
            <v>33.799999999999997</v>
          </cell>
          <cell r="AD238">
            <v>15</v>
          </cell>
          <cell r="AE238">
            <v>44.2</v>
          </cell>
          <cell r="AF238">
            <v>221</v>
          </cell>
          <cell r="AG238">
            <v>148</v>
          </cell>
          <cell r="AJ238" t="str">
            <v>Acute NHI in the rt fronto-parieto-temporal lobe, paucty of cortical segments of rt MCA with delayed emptying</v>
          </cell>
          <cell r="AK238" t="str">
            <v>normal</v>
          </cell>
          <cell r="AM238">
            <v>8</v>
          </cell>
          <cell r="AN238">
            <v>1</v>
          </cell>
          <cell r="AO238">
            <v>3</v>
          </cell>
          <cell r="AP238">
            <v>3</v>
          </cell>
          <cell r="AQ238">
            <v>5</v>
          </cell>
          <cell r="AS238">
            <v>1</v>
          </cell>
          <cell r="AT238">
            <v>1</v>
          </cell>
          <cell r="AU238">
            <v>2</v>
          </cell>
          <cell r="AZ238">
            <v>1</v>
          </cell>
          <cell r="BA238">
            <v>70</v>
          </cell>
        </row>
        <row r="239">
          <cell r="A239" t="str">
            <v>Shinde Dharmaji</v>
          </cell>
          <cell r="C239">
            <v>240000031207</v>
          </cell>
          <cell r="D239">
            <v>52</v>
          </cell>
          <cell r="E239">
            <v>1</v>
          </cell>
          <cell r="F239">
            <v>45383</v>
          </cell>
          <cell r="G239">
            <v>0.66666666666666663</v>
          </cell>
          <cell r="H239">
            <v>45384</v>
          </cell>
          <cell r="J239">
            <v>9604168667</v>
          </cell>
          <cell r="L239">
            <v>19</v>
          </cell>
          <cell r="M239">
            <v>2</v>
          </cell>
          <cell r="N239">
            <v>2</v>
          </cell>
          <cell r="O239">
            <v>1</v>
          </cell>
          <cell r="P239">
            <v>2</v>
          </cell>
          <cell r="Q239">
            <v>1</v>
          </cell>
          <cell r="R239">
            <v>2</v>
          </cell>
          <cell r="S239">
            <v>2</v>
          </cell>
          <cell r="T239">
            <v>2</v>
          </cell>
          <cell r="U239">
            <v>2</v>
          </cell>
          <cell r="W239">
            <v>16.8</v>
          </cell>
          <cell r="X239">
            <v>50.4</v>
          </cell>
          <cell r="Y239">
            <v>102.9</v>
          </cell>
          <cell r="Z239">
            <v>86.48</v>
          </cell>
          <cell r="AA239">
            <v>5.3</v>
          </cell>
          <cell r="AB239">
            <v>113</v>
          </cell>
          <cell r="AC239">
            <v>67.400000000000006</v>
          </cell>
          <cell r="AD239">
            <v>38</v>
          </cell>
          <cell r="AE239">
            <v>7.6</v>
          </cell>
          <cell r="AF239">
            <v>38</v>
          </cell>
          <cell r="AG239">
            <v>221</v>
          </cell>
          <cell r="AJ239" t="str">
            <v>outside scan: lt MCA hypertense sign, Lt MCI patchy infarct</v>
          </cell>
          <cell r="AK239" t="str">
            <v>Lt MCA M1 stenosis, Lt ICA occlusion</v>
          </cell>
          <cell r="AM239">
            <v>8</v>
          </cell>
          <cell r="AN239">
            <v>2</v>
          </cell>
          <cell r="AO239">
            <v>2</v>
          </cell>
          <cell r="AP239">
            <v>1</v>
          </cell>
          <cell r="AQ239">
            <v>4</v>
          </cell>
          <cell r="AS239">
            <v>1</v>
          </cell>
          <cell r="AT239">
            <v>2</v>
          </cell>
          <cell r="AU239">
            <v>2</v>
          </cell>
          <cell r="AZ239">
            <v>0</v>
          </cell>
          <cell r="BA239">
            <v>100</v>
          </cell>
        </row>
        <row r="240">
          <cell r="A240" t="str">
            <v>Kudale Kantilal</v>
          </cell>
          <cell r="C240">
            <v>230000023836</v>
          </cell>
          <cell r="D240">
            <v>74</v>
          </cell>
          <cell r="E240">
            <v>1</v>
          </cell>
          <cell r="H240">
            <v>45384</v>
          </cell>
          <cell r="J240">
            <v>9011783896</v>
          </cell>
          <cell r="L240">
            <v>15</v>
          </cell>
          <cell r="M240">
            <v>1</v>
          </cell>
          <cell r="N240">
            <v>1</v>
          </cell>
          <cell r="O240">
            <v>2</v>
          </cell>
          <cell r="P240">
            <v>2</v>
          </cell>
          <cell r="Q240">
            <v>2</v>
          </cell>
          <cell r="R240">
            <v>2</v>
          </cell>
          <cell r="S240">
            <v>2</v>
          </cell>
          <cell r="T240">
            <v>1</v>
          </cell>
          <cell r="U240">
            <v>2</v>
          </cell>
          <cell r="V240" t="str">
            <v>peripheral vascular disease</v>
          </cell>
          <cell r="W240">
            <v>9.9</v>
          </cell>
          <cell r="X240">
            <v>30.3</v>
          </cell>
          <cell r="Y240">
            <v>85.9</v>
          </cell>
          <cell r="Z240">
            <v>16.739999999999998</v>
          </cell>
          <cell r="AA240">
            <v>7.6</v>
          </cell>
          <cell r="AB240">
            <v>148</v>
          </cell>
          <cell r="AC240">
            <v>67.400000000000006</v>
          </cell>
          <cell r="AD240">
            <v>34</v>
          </cell>
          <cell r="AE240">
            <v>46.6</v>
          </cell>
          <cell r="AF240">
            <v>233</v>
          </cell>
          <cell r="AG240">
            <v>286</v>
          </cell>
          <cell r="AJ240" t="str">
            <v>left internal watershed infarct acute, rt MCA-PCA; MCA ACA watershed infarcts</v>
          </cell>
          <cell r="AK240" t="str">
            <v>Rt ICA 95% stenosis, Lt ICA 99% Stenosis, Rt vertebral artery 60-70% stenosis, mild basilar artery 90% stenosis</v>
          </cell>
          <cell r="AM240">
            <v>9</v>
          </cell>
          <cell r="AN240">
            <v>1</v>
          </cell>
          <cell r="AO240">
            <v>3</v>
          </cell>
          <cell r="AP240">
            <v>3</v>
          </cell>
          <cell r="AQ240">
            <v>5</v>
          </cell>
          <cell r="AS240">
            <v>1</v>
          </cell>
          <cell r="AT240">
            <v>1</v>
          </cell>
          <cell r="AU240">
            <v>2</v>
          </cell>
          <cell r="AZ240">
            <v>0</v>
          </cell>
          <cell r="BA240">
            <v>100</v>
          </cell>
        </row>
        <row r="241">
          <cell r="A241" t="str">
            <v>Jadhav Pandurang</v>
          </cell>
          <cell r="C241">
            <v>240000031562</v>
          </cell>
          <cell r="D241">
            <v>50</v>
          </cell>
          <cell r="E241">
            <v>1</v>
          </cell>
          <cell r="F241">
            <v>45385</v>
          </cell>
          <cell r="G241">
            <v>8.3333333333333329E-2</v>
          </cell>
          <cell r="H241">
            <v>45385</v>
          </cell>
          <cell r="I241">
            <v>45385</v>
          </cell>
          <cell r="J241">
            <v>9689125965</v>
          </cell>
          <cell r="L241">
            <v>3</v>
          </cell>
          <cell r="M241">
            <v>2</v>
          </cell>
          <cell r="N241">
            <v>1</v>
          </cell>
          <cell r="O241">
            <v>1</v>
          </cell>
          <cell r="P241">
            <v>1</v>
          </cell>
          <cell r="Q241">
            <v>2</v>
          </cell>
          <cell r="R241">
            <v>2</v>
          </cell>
          <cell r="S241">
            <v>2</v>
          </cell>
          <cell r="T241">
            <v>2</v>
          </cell>
          <cell r="U241">
            <v>2</v>
          </cell>
          <cell r="AJ241" t="str">
            <v>left posterior limb of internal capsule infarct</v>
          </cell>
          <cell r="AK241" t="str">
            <v>left ICA 80% stenosis</v>
          </cell>
          <cell r="AM241">
            <v>10</v>
          </cell>
          <cell r="AN241">
            <v>1</v>
          </cell>
          <cell r="AO241">
            <v>3</v>
          </cell>
          <cell r="AP241">
            <v>3</v>
          </cell>
          <cell r="AQ241">
            <v>5</v>
          </cell>
          <cell r="AS241">
            <v>1</v>
          </cell>
          <cell r="AT241">
            <v>1</v>
          </cell>
          <cell r="AZ241">
            <v>0</v>
          </cell>
          <cell r="BA241">
            <v>100</v>
          </cell>
        </row>
        <row r="242">
          <cell r="A242" t="str">
            <v>Ashwini Tamhankar</v>
          </cell>
          <cell r="C242">
            <v>240000032182</v>
          </cell>
          <cell r="D242">
            <v>75</v>
          </cell>
          <cell r="E242">
            <v>2</v>
          </cell>
          <cell r="F242">
            <v>45387</v>
          </cell>
          <cell r="G242">
            <v>0.29166666666666669</v>
          </cell>
          <cell r="H242">
            <v>45387</v>
          </cell>
          <cell r="J242">
            <v>9763800800</v>
          </cell>
          <cell r="M242">
            <v>1</v>
          </cell>
          <cell r="N242">
            <v>1</v>
          </cell>
          <cell r="O242">
            <v>2</v>
          </cell>
          <cell r="P242">
            <v>2</v>
          </cell>
          <cell r="Q242">
            <v>2</v>
          </cell>
          <cell r="R242">
            <v>2</v>
          </cell>
          <cell r="S242">
            <v>2</v>
          </cell>
          <cell r="T242">
            <v>2</v>
          </cell>
          <cell r="U242">
            <v>2</v>
          </cell>
          <cell r="V242" t="str">
            <v>Hypothyroidism, lymphoepithelial cyst</v>
          </cell>
          <cell r="W242">
            <v>11.7</v>
          </cell>
          <cell r="X242">
            <v>37.299999999999997</v>
          </cell>
          <cell r="Y242">
            <v>65.400000000000006</v>
          </cell>
          <cell r="Z242">
            <v>18.29</v>
          </cell>
          <cell r="AA242">
            <v>10.3</v>
          </cell>
          <cell r="AB242">
            <v>206</v>
          </cell>
          <cell r="AC242">
            <v>144</v>
          </cell>
          <cell r="AD242">
            <v>35</v>
          </cell>
          <cell r="AE242">
            <v>27</v>
          </cell>
          <cell r="AF242">
            <v>135</v>
          </cell>
          <cell r="AG242">
            <v>444</v>
          </cell>
          <cell r="AJ242" t="str">
            <v>acute NHi in rt corona radiata, temporal lobe and Rt centrum semiovale and rt periventricular white matter</v>
          </cell>
          <cell r="AS242">
            <v>1</v>
          </cell>
          <cell r="AT242">
            <v>1</v>
          </cell>
          <cell r="AU242">
            <v>2</v>
          </cell>
        </row>
        <row r="243">
          <cell r="A243" t="str">
            <v>Pawar Uttam April</v>
          </cell>
          <cell r="C243">
            <v>240000072703</v>
          </cell>
          <cell r="D243">
            <v>67</v>
          </cell>
          <cell r="E243">
            <v>1</v>
          </cell>
          <cell r="F243">
            <v>45391</v>
          </cell>
          <cell r="G243">
            <v>0.25</v>
          </cell>
          <cell r="H243">
            <v>45393</v>
          </cell>
          <cell r="J243">
            <v>7661944723</v>
          </cell>
          <cell r="L243">
            <v>4</v>
          </cell>
          <cell r="M243">
            <v>1</v>
          </cell>
          <cell r="N243">
            <v>1</v>
          </cell>
          <cell r="O243">
            <v>2</v>
          </cell>
          <cell r="P243">
            <v>2</v>
          </cell>
          <cell r="Q243">
            <v>2</v>
          </cell>
          <cell r="R243">
            <v>2</v>
          </cell>
          <cell r="V243" t="str">
            <v>old cva, Rt corona radiata infarct, centrum semiovale infarct</v>
          </cell>
          <cell r="W243">
            <v>15.5</v>
          </cell>
          <cell r="X243">
            <v>47.1</v>
          </cell>
          <cell r="Y243">
            <v>90</v>
          </cell>
          <cell r="AA243">
            <v>7.4</v>
          </cell>
          <cell r="AB243">
            <v>115</v>
          </cell>
          <cell r="AC243">
            <v>52.2</v>
          </cell>
          <cell r="AD243">
            <v>31</v>
          </cell>
          <cell r="AE243">
            <v>31.8</v>
          </cell>
          <cell r="AF243">
            <v>159</v>
          </cell>
          <cell r="AG243">
            <v>400</v>
          </cell>
          <cell r="AJ243" t="str">
            <v>acute left parietal and Rt frontal lacunar infarct</v>
          </cell>
          <cell r="AS243">
            <v>1</v>
          </cell>
          <cell r="AT243">
            <v>1</v>
          </cell>
          <cell r="AU243">
            <v>2</v>
          </cell>
        </row>
        <row r="244">
          <cell r="A244" t="str">
            <v>Belvalkar Madhav</v>
          </cell>
          <cell r="C244">
            <v>240000032930</v>
          </cell>
          <cell r="D244">
            <v>75</v>
          </cell>
          <cell r="E244">
            <v>1</v>
          </cell>
          <cell r="F244">
            <v>45388</v>
          </cell>
          <cell r="G244">
            <v>8.3333333333333329E-2</v>
          </cell>
          <cell r="H244">
            <v>45392</v>
          </cell>
          <cell r="J244">
            <v>9765965928</v>
          </cell>
          <cell r="L244">
            <v>2</v>
          </cell>
          <cell r="M244">
            <v>1</v>
          </cell>
          <cell r="N244">
            <v>1</v>
          </cell>
          <cell r="O244">
            <v>2</v>
          </cell>
          <cell r="P244">
            <v>2</v>
          </cell>
          <cell r="Q244">
            <v>2</v>
          </cell>
          <cell r="R244">
            <v>2</v>
          </cell>
          <cell r="S244">
            <v>2</v>
          </cell>
          <cell r="T244">
            <v>1</v>
          </cell>
          <cell r="U244">
            <v>2</v>
          </cell>
          <cell r="W244">
            <v>11.2</v>
          </cell>
          <cell r="X244">
            <v>36.9</v>
          </cell>
          <cell r="Y244">
            <v>7.7</v>
          </cell>
          <cell r="Z244">
            <v>28</v>
          </cell>
          <cell r="AA244">
            <v>10.7</v>
          </cell>
          <cell r="AB244">
            <v>152</v>
          </cell>
          <cell r="AC244">
            <v>98.8</v>
          </cell>
          <cell r="AD244">
            <v>31</v>
          </cell>
          <cell r="AE244">
            <v>21.2</v>
          </cell>
          <cell r="AF244">
            <v>111</v>
          </cell>
          <cell r="AG244">
            <v>345</v>
          </cell>
          <cell r="AJ244" t="str">
            <v xml:space="preserve">Rt corona radiata a/c infarct with hemorrhagic transformation </v>
          </cell>
          <cell r="AK244" t="str">
            <v>A/c thromobus oin rt pulmonary artery, rest normal</v>
          </cell>
          <cell r="AM244">
            <v>9</v>
          </cell>
          <cell r="AN244">
            <v>1</v>
          </cell>
          <cell r="AO244">
            <v>5</v>
          </cell>
          <cell r="AP244">
            <v>3</v>
          </cell>
          <cell r="AQ244">
            <v>5</v>
          </cell>
          <cell r="AS244">
            <v>1</v>
          </cell>
          <cell r="AT244">
            <v>1</v>
          </cell>
          <cell r="AU244">
            <v>2</v>
          </cell>
          <cell r="AZ244">
            <v>0</v>
          </cell>
          <cell r="BA244">
            <v>100</v>
          </cell>
        </row>
        <row r="245">
          <cell r="A245" t="str">
            <v>Tabassum Khan</v>
          </cell>
          <cell r="C245">
            <v>240000025576</v>
          </cell>
          <cell r="D245">
            <v>26</v>
          </cell>
          <cell r="E245">
            <v>2</v>
          </cell>
          <cell r="F245">
            <v>45365</v>
          </cell>
          <cell r="G245">
            <v>0.54166666666666663</v>
          </cell>
          <cell r="H245">
            <v>45365</v>
          </cell>
          <cell r="J245">
            <v>9922687786</v>
          </cell>
          <cell r="K245">
            <v>8888668595</v>
          </cell>
          <cell r="L245">
            <v>11</v>
          </cell>
          <cell r="M245">
            <v>2</v>
          </cell>
          <cell r="N245">
            <v>2</v>
          </cell>
          <cell r="O245">
            <v>2</v>
          </cell>
          <cell r="P245">
            <v>2</v>
          </cell>
          <cell r="Q245">
            <v>2</v>
          </cell>
          <cell r="R245">
            <v>2</v>
          </cell>
          <cell r="S245">
            <v>2</v>
          </cell>
          <cell r="T245">
            <v>2</v>
          </cell>
          <cell r="U245">
            <v>2</v>
          </cell>
          <cell r="V245" t="str">
            <v>Takayasus arthritis 2021</v>
          </cell>
          <cell r="W245">
            <v>8.8000000000000007</v>
          </cell>
          <cell r="X245">
            <v>29.3</v>
          </cell>
          <cell r="Y245">
            <v>67.8</v>
          </cell>
          <cell r="Z245">
            <v>5.0599999999999996</v>
          </cell>
          <cell r="AA245">
            <v>5.2</v>
          </cell>
          <cell r="AB245">
            <v>174</v>
          </cell>
          <cell r="AC245">
            <v>124.2</v>
          </cell>
          <cell r="AD245">
            <v>28</v>
          </cell>
          <cell r="AE245">
            <v>21.8</v>
          </cell>
          <cell r="AF245">
            <v>109</v>
          </cell>
          <cell r="AG245">
            <v>731</v>
          </cell>
          <cell r="AJ245" t="str">
            <v>left corona radiata and left putamen acute infarct</v>
          </cell>
          <cell r="AK245" t="str">
            <v>left CCA occluded, left ICA reformed and circle of origin, left M1 thrombus</v>
          </cell>
          <cell r="AM245">
            <v>10</v>
          </cell>
          <cell r="AN245">
            <v>1</v>
          </cell>
          <cell r="AO245">
            <v>5</v>
          </cell>
          <cell r="AP245">
            <v>3</v>
          </cell>
          <cell r="AQ245">
            <v>5</v>
          </cell>
          <cell r="AS245">
            <v>1</v>
          </cell>
          <cell r="AT245">
            <v>2</v>
          </cell>
          <cell r="AU245">
            <v>1</v>
          </cell>
          <cell r="AV245">
            <v>2</v>
          </cell>
          <cell r="AZ245">
            <v>0</v>
          </cell>
          <cell r="BA245">
            <v>100</v>
          </cell>
        </row>
        <row r="246">
          <cell r="A246" t="str">
            <v>Jamadar Shantai</v>
          </cell>
          <cell r="C246">
            <v>240000026031</v>
          </cell>
          <cell r="D246">
            <v>65</v>
          </cell>
          <cell r="E246">
            <v>2</v>
          </cell>
          <cell r="F246">
            <v>45365</v>
          </cell>
          <cell r="G246">
            <v>0.91666666666666663</v>
          </cell>
          <cell r="H246">
            <v>45367</v>
          </cell>
          <cell r="J246">
            <v>8668549830</v>
          </cell>
          <cell r="L246">
            <v>23</v>
          </cell>
          <cell r="M246">
            <v>1</v>
          </cell>
          <cell r="N246">
            <v>2</v>
          </cell>
          <cell r="O246">
            <v>2</v>
          </cell>
          <cell r="P246">
            <v>2</v>
          </cell>
          <cell r="Q246">
            <v>1</v>
          </cell>
          <cell r="R246">
            <v>2</v>
          </cell>
          <cell r="S246">
            <v>2</v>
          </cell>
          <cell r="T246">
            <v>2</v>
          </cell>
          <cell r="U246">
            <v>2</v>
          </cell>
          <cell r="W246">
            <v>13.2</v>
          </cell>
          <cell r="AB246">
            <v>128</v>
          </cell>
          <cell r="AC246">
            <v>60.4</v>
          </cell>
          <cell r="AD246">
            <v>44</v>
          </cell>
          <cell r="AE246">
            <v>23.6</v>
          </cell>
          <cell r="AF246">
            <v>118</v>
          </cell>
          <cell r="AJ246" t="str">
            <v>left MCA territory patchy infarct, left MCA ACA watershed, Left MCA PCA watershed infarct</v>
          </cell>
          <cell r="AK246" t="str">
            <v>left ICA thrombus from origin 100%, Left MCA normal</v>
          </cell>
          <cell r="AM246">
            <v>8</v>
          </cell>
          <cell r="AN246">
            <v>1</v>
          </cell>
          <cell r="AO246">
            <v>2</v>
          </cell>
          <cell r="AP246">
            <v>3</v>
          </cell>
          <cell r="AQ246">
            <v>5</v>
          </cell>
          <cell r="AS246">
            <v>1</v>
          </cell>
          <cell r="AT246">
            <v>1</v>
          </cell>
        </row>
        <row r="247">
          <cell r="A247" t="str">
            <v>Kishor Deshmukh</v>
          </cell>
          <cell r="C247">
            <v>240000030005</v>
          </cell>
          <cell r="D247">
            <v>59</v>
          </cell>
          <cell r="E247">
            <v>1</v>
          </cell>
          <cell r="F247">
            <v>45377</v>
          </cell>
          <cell r="H247">
            <v>45379</v>
          </cell>
          <cell r="J247">
            <v>9325593827</v>
          </cell>
          <cell r="L247">
            <v>1</v>
          </cell>
          <cell r="M247">
            <v>1</v>
          </cell>
          <cell r="N247">
            <v>1</v>
          </cell>
          <cell r="O247">
            <v>1</v>
          </cell>
          <cell r="P247">
            <v>1</v>
          </cell>
          <cell r="Q247">
            <v>2</v>
          </cell>
          <cell r="R247">
            <v>2</v>
          </cell>
          <cell r="S247">
            <v>2</v>
          </cell>
          <cell r="T247">
            <v>2</v>
          </cell>
          <cell r="U247">
            <v>2</v>
          </cell>
          <cell r="W247">
            <v>13.8</v>
          </cell>
          <cell r="X247">
            <v>42.3</v>
          </cell>
          <cell r="Y247">
            <v>85.6</v>
          </cell>
          <cell r="Z247">
            <v>17.78</v>
          </cell>
          <cell r="AA247">
            <v>12.4</v>
          </cell>
          <cell r="AB247">
            <v>195</v>
          </cell>
          <cell r="AC247">
            <v>55</v>
          </cell>
          <cell r="AD247">
            <v>40</v>
          </cell>
          <cell r="AE247">
            <v>100</v>
          </cell>
          <cell r="AF247">
            <v>500</v>
          </cell>
          <cell r="AG247">
            <v>239</v>
          </cell>
          <cell r="AJ247" t="str">
            <v>left internal watershed infarct</v>
          </cell>
          <cell r="AK247" t="str">
            <v>left ICA &gt;90% stenosis, Lt supraclinoid ICA minimal stenosis</v>
          </cell>
          <cell r="AM247">
            <v>10</v>
          </cell>
          <cell r="AN247">
            <v>1</v>
          </cell>
          <cell r="AO247">
            <v>5</v>
          </cell>
          <cell r="AP247">
            <v>3</v>
          </cell>
          <cell r="AQ247">
            <v>5</v>
          </cell>
          <cell r="AS247">
            <v>1</v>
          </cell>
          <cell r="AT247">
            <v>1</v>
          </cell>
          <cell r="AU247">
            <v>2</v>
          </cell>
          <cell r="AZ247">
            <v>0</v>
          </cell>
          <cell r="BA247">
            <v>100</v>
          </cell>
        </row>
        <row r="248">
          <cell r="A248" t="str">
            <v>Shivkumar Belrole</v>
          </cell>
          <cell r="C248">
            <v>240000028724</v>
          </cell>
          <cell r="D248">
            <v>38</v>
          </cell>
          <cell r="E248">
            <v>1</v>
          </cell>
          <cell r="F248">
            <v>45375</v>
          </cell>
          <cell r="G248">
            <v>0.27083333333333331</v>
          </cell>
          <cell r="H248">
            <v>45375</v>
          </cell>
          <cell r="J248">
            <v>9850178326</v>
          </cell>
          <cell r="K248">
            <v>9763879893</v>
          </cell>
          <cell r="L248">
            <v>16</v>
          </cell>
          <cell r="M248">
            <v>2</v>
          </cell>
          <cell r="N248">
            <v>1</v>
          </cell>
          <cell r="O248">
            <v>2</v>
          </cell>
          <cell r="P248">
            <v>2</v>
          </cell>
          <cell r="Q248">
            <v>2</v>
          </cell>
          <cell r="R248">
            <v>2</v>
          </cell>
          <cell r="S248">
            <v>2</v>
          </cell>
          <cell r="T248">
            <v>2</v>
          </cell>
          <cell r="U248">
            <v>2</v>
          </cell>
          <cell r="W248">
            <v>12.7</v>
          </cell>
          <cell r="X248">
            <v>40.4</v>
          </cell>
          <cell r="Y248">
            <v>72.900000000000006</v>
          </cell>
          <cell r="Z248">
            <v>10.33</v>
          </cell>
          <cell r="AA248">
            <v>12.7</v>
          </cell>
          <cell r="AB248">
            <v>159</v>
          </cell>
          <cell r="AC248">
            <v>106.4</v>
          </cell>
          <cell r="AD248">
            <v>34</v>
          </cell>
          <cell r="AE248">
            <v>18.600000000000001</v>
          </cell>
          <cell r="AF248">
            <v>93</v>
          </cell>
          <cell r="AG248">
            <v>248</v>
          </cell>
          <cell r="AJ248" t="str">
            <v>Acute NHI in rt fronto-parieto-temporal region &amp; Rt GC region</v>
          </cell>
          <cell r="AK248" t="str">
            <v>large Hypodensity in rt fronto-temporal region &amp; GC region restricted, Complete thrombotic occlusion of distal M1 segment of Rt MCA &amp; inferior devision of M2 segment of rt MCA noted</v>
          </cell>
          <cell r="AM248">
            <v>5</v>
          </cell>
          <cell r="AN248">
            <v>1</v>
          </cell>
          <cell r="AO248">
            <v>4</v>
          </cell>
          <cell r="AP248">
            <v>3</v>
          </cell>
          <cell r="AQ248">
            <v>5</v>
          </cell>
          <cell r="AS248">
            <v>1</v>
          </cell>
          <cell r="AT248">
            <v>1</v>
          </cell>
          <cell r="AU248">
            <v>2</v>
          </cell>
          <cell r="AZ248">
            <v>1</v>
          </cell>
          <cell r="BA248">
            <v>80</v>
          </cell>
        </row>
        <row r="249">
          <cell r="A249" t="str">
            <v>Shivaji Jadhav</v>
          </cell>
          <cell r="C249">
            <v>240000028811</v>
          </cell>
          <cell r="D249">
            <v>66</v>
          </cell>
          <cell r="E249">
            <v>1</v>
          </cell>
          <cell r="F249">
            <v>45376</v>
          </cell>
          <cell r="G249">
            <v>0.60416666666666663</v>
          </cell>
          <cell r="H249">
            <v>45376</v>
          </cell>
          <cell r="J249">
            <v>9767366400</v>
          </cell>
          <cell r="K249">
            <v>9850714691</v>
          </cell>
          <cell r="L249">
            <v>3</v>
          </cell>
          <cell r="M249">
            <v>1</v>
          </cell>
          <cell r="N249">
            <v>1</v>
          </cell>
          <cell r="O249">
            <v>2</v>
          </cell>
          <cell r="P249">
            <v>2</v>
          </cell>
          <cell r="Q249">
            <v>2</v>
          </cell>
          <cell r="R249">
            <v>2</v>
          </cell>
          <cell r="S249">
            <v>2</v>
          </cell>
          <cell r="T249">
            <v>1</v>
          </cell>
          <cell r="U249">
            <v>2</v>
          </cell>
          <cell r="V249" t="str">
            <v>HF with pacemaker insitu</v>
          </cell>
          <cell r="W249">
            <v>12.2</v>
          </cell>
          <cell r="X249">
            <v>38.799999999999997</v>
          </cell>
          <cell r="Y249">
            <v>96</v>
          </cell>
          <cell r="AA249">
            <v>13</v>
          </cell>
          <cell r="AG249">
            <v>304</v>
          </cell>
          <cell r="AJ249" t="str">
            <v>acute NHI in rt post-central gyrus, left posterior parietal region and rt occipital region, chronic lacunar infarct in B/L thalami lentiform nucleus and left corona radiata</v>
          </cell>
          <cell r="AM249">
            <v>9</v>
          </cell>
          <cell r="AN249">
            <v>1</v>
          </cell>
          <cell r="AO249">
            <v>4</v>
          </cell>
          <cell r="AP249">
            <v>3</v>
          </cell>
          <cell r="AQ249">
            <v>5</v>
          </cell>
          <cell r="AS249">
            <v>1</v>
          </cell>
          <cell r="AT249">
            <v>1</v>
          </cell>
          <cell r="AU249">
            <v>2</v>
          </cell>
          <cell r="AZ249">
            <v>4</v>
          </cell>
          <cell r="BA249">
            <v>35</v>
          </cell>
        </row>
        <row r="250">
          <cell r="A250" t="str">
            <v>Lalbahadur Singh</v>
          </cell>
          <cell r="C250">
            <v>240000030601</v>
          </cell>
          <cell r="D250">
            <v>70</v>
          </cell>
          <cell r="E250">
            <v>1</v>
          </cell>
          <cell r="F250">
            <v>45380</v>
          </cell>
          <cell r="G250">
            <v>0.875</v>
          </cell>
          <cell r="H250">
            <v>45381</v>
          </cell>
          <cell r="L250">
            <v>14</v>
          </cell>
          <cell r="M250">
            <v>2</v>
          </cell>
          <cell r="N250">
            <v>2</v>
          </cell>
          <cell r="O250">
            <v>1</v>
          </cell>
          <cell r="P250">
            <v>1</v>
          </cell>
          <cell r="Q250">
            <v>2</v>
          </cell>
          <cell r="R250">
            <v>2</v>
          </cell>
          <cell r="S250">
            <v>2</v>
          </cell>
          <cell r="T250">
            <v>2</v>
          </cell>
          <cell r="U250">
            <v>2</v>
          </cell>
          <cell r="W250">
            <v>13.5</v>
          </cell>
          <cell r="X250">
            <v>41.4</v>
          </cell>
          <cell r="Y250">
            <v>87.6</v>
          </cell>
          <cell r="Z250">
            <v>41.69</v>
          </cell>
          <cell r="AA250">
            <v>6.9</v>
          </cell>
          <cell r="AB250">
            <v>195</v>
          </cell>
          <cell r="AC250">
            <v>125.2</v>
          </cell>
          <cell r="AD250">
            <v>50</v>
          </cell>
          <cell r="AE250">
            <v>19.8</v>
          </cell>
          <cell r="AF250">
            <v>99</v>
          </cell>
          <cell r="AJ250" t="str">
            <v>rt PCA-MCA watershed and Rt territory watershed infarct</v>
          </cell>
          <cell r="AK250" t="str">
            <v>rt M1 thrombosis, ? Rt ICA stenosis</v>
          </cell>
          <cell r="AM250">
            <v>8</v>
          </cell>
          <cell r="AN250">
            <v>2</v>
          </cell>
          <cell r="AO250">
            <v>2</v>
          </cell>
          <cell r="AP250">
            <v>3</v>
          </cell>
          <cell r="AQ250">
            <v>4</v>
          </cell>
          <cell r="AS250">
            <v>1</v>
          </cell>
          <cell r="AT250">
            <v>2</v>
          </cell>
          <cell r="AU250">
            <v>2</v>
          </cell>
          <cell r="AZ250">
            <v>1</v>
          </cell>
          <cell r="BA250">
            <v>80</v>
          </cell>
        </row>
        <row r="251">
          <cell r="A251" t="str">
            <v>Shakuntala Shelar</v>
          </cell>
          <cell r="C251">
            <v>240000030842</v>
          </cell>
          <cell r="D251">
            <v>83</v>
          </cell>
          <cell r="E251">
            <v>2</v>
          </cell>
          <cell r="F251">
            <v>45382</v>
          </cell>
          <cell r="G251">
            <v>0.95833333333333337</v>
          </cell>
          <cell r="H251">
            <v>45383</v>
          </cell>
          <cell r="J251">
            <v>9423013112</v>
          </cell>
          <cell r="K251">
            <v>9921366341</v>
          </cell>
          <cell r="L251">
            <v>8</v>
          </cell>
          <cell r="M251">
            <v>2</v>
          </cell>
          <cell r="N251">
            <v>2</v>
          </cell>
          <cell r="O251">
            <v>2</v>
          </cell>
          <cell r="P251">
            <v>2</v>
          </cell>
          <cell r="Q251">
            <v>2</v>
          </cell>
          <cell r="R251">
            <v>2</v>
          </cell>
          <cell r="S251">
            <v>2</v>
          </cell>
          <cell r="T251">
            <v>2</v>
          </cell>
          <cell r="U251">
            <v>2</v>
          </cell>
          <cell r="V251" t="str">
            <v>Cabreast 2019, post op mastectomy</v>
          </cell>
          <cell r="W251">
            <v>12.4</v>
          </cell>
          <cell r="X251">
            <v>38.5</v>
          </cell>
          <cell r="Y251">
            <v>96</v>
          </cell>
          <cell r="Z251">
            <v>39.909999999999997</v>
          </cell>
          <cell r="AA251">
            <v>6.1</v>
          </cell>
          <cell r="AB251">
            <v>190</v>
          </cell>
          <cell r="AC251">
            <v>126.2</v>
          </cell>
          <cell r="AD251">
            <v>48</v>
          </cell>
          <cell r="AE251">
            <v>15.8</v>
          </cell>
          <cell r="AF251">
            <v>79</v>
          </cell>
          <cell r="AG251">
            <v>148</v>
          </cell>
          <cell r="AJ251" t="str">
            <v>left posterior limb internal capsule acute infarct</v>
          </cell>
          <cell r="AK251" t="str">
            <v>normal</v>
          </cell>
          <cell r="AM251">
            <v>9</v>
          </cell>
          <cell r="AN251">
            <v>1</v>
          </cell>
          <cell r="AO251">
            <v>4</v>
          </cell>
          <cell r="AP251">
            <v>3</v>
          </cell>
          <cell r="AQ251">
            <v>5</v>
          </cell>
          <cell r="AS251">
            <v>1</v>
          </cell>
          <cell r="AT251">
            <v>1</v>
          </cell>
          <cell r="AU251">
            <v>2</v>
          </cell>
          <cell r="AZ251">
            <v>0</v>
          </cell>
          <cell r="BA251">
            <v>100</v>
          </cell>
        </row>
        <row r="252">
          <cell r="A252" t="str">
            <v>ARUN CHICHALKAR</v>
          </cell>
          <cell r="C252">
            <v>240000041009</v>
          </cell>
          <cell r="D252">
            <v>69</v>
          </cell>
          <cell r="E252">
            <v>1</v>
          </cell>
          <cell r="F252">
            <v>45418</v>
          </cell>
          <cell r="G252">
            <v>0.875</v>
          </cell>
          <cell r="H252">
            <v>45419</v>
          </cell>
          <cell r="I252">
            <v>45420</v>
          </cell>
          <cell r="J252">
            <v>8087797608</v>
          </cell>
          <cell r="L252">
            <v>1</v>
          </cell>
          <cell r="M252">
            <v>2</v>
          </cell>
          <cell r="N252">
            <v>1</v>
          </cell>
          <cell r="O252">
            <v>2</v>
          </cell>
          <cell r="P252">
            <v>2</v>
          </cell>
          <cell r="Q252">
            <v>1</v>
          </cell>
          <cell r="R252">
            <v>2</v>
          </cell>
          <cell r="S252">
            <v>2</v>
          </cell>
          <cell r="T252">
            <v>2</v>
          </cell>
          <cell r="U252">
            <v>2</v>
          </cell>
          <cell r="V252" t="str">
            <v>PAST HISTROY OF STROKE 2015</v>
          </cell>
          <cell r="W252">
            <v>14.5</v>
          </cell>
          <cell r="X252">
            <v>42.8</v>
          </cell>
          <cell r="Y252">
            <v>96.2</v>
          </cell>
          <cell r="Z252">
            <v>69.89</v>
          </cell>
          <cell r="AB252">
            <v>128</v>
          </cell>
          <cell r="AC252">
            <v>81.2</v>
          </cell>
          <cell r="AD252">
            <v>26</v>
          </cell>
          <cell r="AE252">
            <v>20.8</v>
          </cell>
          <cell r="AF252">
            <v>104</v>
          </cell>
          <cell r="AG252">
            <v>171</v>
          </cell>
          <cell r="AJ252" t="str">
            <v xml:space="preserve">TINY NHI IN LEFT THALAMUS AND LEFT TEMPORAL LOBE. LACUNAR INFARCT IN CORONA RADIATA. </v>
          </cell>
          <cell r="AK252" t="str">
            <v>SMALL HYPODENSITY IN LEFT THALAMUS WITH ACUTE NHI. MILD NARROWING OF M1 SEGMENT OF RIGHT MCA</v>
          </cell>
          <cell r="AM252">
            <v>9</v>
          </cell>
          <cell r="AN252">
            <v>1</v>
          </cell>
          <cell r="AO252">
            <v>4</v>
          </cell>
          <cell r="AP252">
            <v>3</v>
          </cell>
          <cell r="AQ252">
            <v>5</v>
          </cell>
          <cell r="AS252">
            <v>1</v>
          </cell>
          <cell r="AT252">
            <v>1</v>
          </cell>
          <cell r="AU252">
            <v>2</v>
          </cell>
          <cell r="AZ252">
            <v>0</v>
          </cell>
          <cell r="BA252">
            <v>100</v>
          </cell>
        </row>
        <row r="253">
          <cell r="A253" t="str">
            <v>LATIF MUNIR</v>
          </cell>
          <cell r="C253">
            <v>240000032305</v>
          </cell>
          <cell r="D253">
            <v>59</v>
          </cell>
          <cell r="E253">
            <v>1</v>
          </cell>
          <cell r="F253">
            <v>45408</v>
          </cell>
          <cell r="G253">
            <v>0.875</v>
          </cell>
          <cell r="H253">
            <v>45408</v>
          </cell>
          <cell r="I253">
            <v>45409</v>
          </cell>
          <cell r="J253">
            <v>7387563186</v>
          </cell>
          <cell r="K253">
            <v>9665374777</v>
          </cell>
          <cell r="L253">
            <v>0</v>
          </cell>
          <cell r="M253">
            <v>1</v>
          </cell>
          <cell r="N253">
            <v>2</v>
          </cell>
          <cell r="O253">
            <v>2</v>
          </cell>
          <cell r="P253">
            <v>2</v>
          </cell>
          <cell r="Q253">
            <v>2</v>
          </cell>
          <cell r="R253">
            <v>2</v>
          </cell>
          <cell r="S253">
            <v>2</v>
          </cell>
          <cell r="T253">
            <v>2</v>
          </cell>
          <cell r="U253">
            <v>2</v>
          </cell>
          <cell r="W253">
            <v>13.6</v>
          </cell>
          <cell r="X253">
            <v>40.9</v>
          </cell>
          <cell r="Y253">
            <v>87.7</v>
          </cell>
          <cell r="Z253">
            <v>24.17</v>
          </cell>
          <cell r="AA253">
            <v>5.2</v>
          </cell>
          <cell r="AG253">
            <v>243</v>
          </cell>
          <cell r="AJ253" t="str">
            <v>RT CENTRUM SEMIOVALE INFARCT</v>
          </cell>
          <cell r="AK253" t="str">
            <v>NORMAL</v>
          </cell>
          <cell r="AM253">
            <v>9</v>
          </cell>
          <cell r="AN253">
            <v>1</v>
          </cell>
          <cell r="AO253">
            <v>3</v>
          </cell>
          <cell r="AP253">
            <v>3</v>
          </cell>
          <cell r="AQ253">
            <v>5</v>
          </cell>
          <cell r="AS253">
            <v>1</v>
          </cell>
          <cell r="AT253">
            <v>1</v>
          </cell>
          <cell r="AU253">
            <v>2</v>
          </cell>
          <cell r="AZ253">
            <v>0</v>
          </cell>
          <cell r="BA253">
            <v>100</v>
          </cell>
        </row>
        <row r="254">
          <cell r="A254" t="str">
            <v>BHAGWATI RATHOD</v>
          </cell>
          <cell r="C254">
            <v>240000034809</v>
          </cell>
          <cell r="D254">
            <v>69</v>
          </cell>
          <cell r="E254">
            <v>2</v>
          </cell>
          <cell r="F254">
            <v>45396</v>
          </cell>
          <cell r="G254">
            <v>0.875</v>
          </cell>
          <cell r="H254">
            <v>45409</v>
          </cell>
          <cell r="I254">
            <v>45413</v>
          </cell>
          <cell r="J254">
            <v>8421477977</v>
          </cell>
          <cell r="L254">
            <v>16</v>
          </cell>
          <cell r="M254">
            <v>2</v>
          </cell>
          <cell r="N254">
            <v>2</v>
          </cell>
          <cell r="O254">
            <v>2</v>
          </cell>
          <cell r="P254">
            <v>2</v>
          </cell>
          <cell r="Q254">
            <v>2</v>
          </cell>
          <cell r="R254">
            <v>2</v>
          </cell>
          <cell r="S254">
            <v>2</v>
          </cell>
          <cell r="T254">
            <v>2</v>
          </cell>
          <cell r="U254">
            <v>2</v>
          </cell>
          <cell r="W254">
            <v>11.5</v>
          </cell>
          <cell r="X254">
            <v>36</v>
          </cell>
          <cell r="Y254">
            <v>91.2</v>
          </cell>
          <cell r="Z254">
            <v>4.91</v>
          </cell>
          <cell r="AB254">
            <v>186</v>
          </cell>
          <cell r="AG254">
            <v>2000</v>
          </cell>
          <cell r="AH254" t="str">
            <v>VENOUS DOPPLER- NORMAL</v>
          </cell>
          <cell r="AJ254" t="str">
            <v>LEFT MCA INFARCT</v>
          </cell>
          <cell r="AK254" t="str">
            <v>LT M1 SEGMENT AND SUPERIOR DIVISION OF M2 SEGMENT SHOWS NORMAL OPACIFICATION. ABRUPT CUTOFF OF CONTRAST OPACIFICATION FROM INFERIOR DIVISION OF LEFT MCA. THE DISTAL SEGMENTS OF MCA MARKEDLY ATTENUATED. MILD NARROWING NOTED AT TERMINAL OF LEFT M1 SEGMENT</v>
          </cell>
          <cell r="AM254">
            <v>10</v>
          </cell>
          <cell r="AN254">
            <v>1</v>
          </cell>
          <cell r="AO254">
            <v>3</v>
          </cell>
          <cell r="AP254">
            <v>3</v>
          </cell>
          <cell r="AQ254">
            <v>5</v>
          </cell>
          <cell r="AS254">
            <v>1</v>
          </cell>
          <cell r="AT254">
            <v>1</v>
          </cell>
          <cell r="AU254">
            <v>2</v>
          </cell>
          <cell r="AZ254">
            <v>0</v>
          </cell>
          <cell r="BA254">
            <v>95</v>
          </cell>
        </row>
        <row r="255">
          <cell r="A255" t="str">
            <v>kulkarni arvind</v>
          </cell>
          <cell r="C255">
            <v>240000040579</v>
          </cell>
          <cell r="D255">
            <v>72</v>
          </cell>
          <cell r="E255">
            <v>1</v>
          </cell>
          <cell r="F255">
            <v>45417</v>
          </cell>
          <cell r="G255">
            <v>0.4375</v>
          </cell>
          <cell r="H255">
            <v>45417</v>
          </cell>
          <cell r="I255">
            <v>45420</v>
          </cell>
          <cell r="J255">
            <v>9448400036</v>
          </cell>
          <cell r="L255">
            <v>6</v>
          </cell>
          <cell r="M255">
            <v>2</v>
          </cell>
          <cell r="N255">
            <v>2</v>
          </cell>
          <cell r="O255">
            <v>2</v>
          </cell>
          <cell r="P255">
            <v>2</v>
          </cell>
          <cell r="Q255">
            <v>2</v>
          </cell>
          <cell r="R255">
            <v>2</v>
          </cell>
          <cell r="S255">
            <v>2</v>
          </cell>
          <cell r="T255">
            <v>2</v>
          </cell>
          <cell r="U255">
            <v>2</v>
          </cell>
          <cell r="V255" t="str">
            <v>OLD TIA MAY 2023 ON DAPT, K/C/O SEIZURE DISORDER</v>
          </cell>
          <cell r="W255">
            <v>9.9</v>
          </cell>
          <cell r="Z255">
            <v>33.11</v>
          </cell>
          <cell r="AB255">
            <v>196</v>
          </cell>
          <cell r="AD255">
            <v>37</v>
          </cell>
          <cell r="AE255">
            <v>28.4</v>
          </cell>
          <cell r="AF255">
            <v>142</v>
          </cell>
          <cell r="AG255">
            <v>303</v>
          </cell>
          <cell r="AH255" t="str">
            <v>2D ECHO- BRADY CARDIA</v>
          </cell>
          <cell r="AJ255" t="str">
            <v>CHRONIC INFARCT IN B/L CEREBELLAR HEMISPHERE</v>
          </cell>
          <cell r="AK255" t="str">
            <v>NORMAL</v>
          </cell>
          <cell r="AM255">
            <v>10</v>
          </cell>
          <cell r="AN255">
            <v>1</v>
          </cell>
          <cell r="AO255">
            <v>3</v>
          </cell>
          <cell r="AP255">
            <v>3</v>
          </cell>
          <cell r="AQ255">
            <v>5</v>
          </cell>
          <cell r="AS255">
            <v>1</v>
          </cell>
          <cell r="AT255">
            <v>2</v>
          </cell>
          <cell r="AU255">
            <v>1</v>
          </cell>
          <cell r="AV255">
            <v>1</v>
          </cell>
          <cell r="AZ255">
            <v>0</v>
          </cell>
          <cell r="BA255">
            <v>100</v>
          </cell>
        </row>
        <row r="256">
          <cell r="A256" t="str">
            <v>BASAVRAJ HADPAD</v>
          </cell>
          <cell r="C256">
            <v>240000038700</v>
          </cell>
          <cell r="D256">
            <v>44</v>
          </cell>
          <cell r="E256">
            <v>1</v>
          </cell>
          <cell r="F256">
            <v>45410</v>
          </cell>
          <cell r="G256">
            <v>0.95833333333333337</v>
          </cell>
          <cell r="H256">
            <v>45410</v>
          </cell>
          <cell r="I256">
            <v>45414</v>
          </cell>
          <cell r="J256">
            <v>9209005740</v>
          </cell>
          <cell r="L256">
            <v>4</v>
          </cell>
          <cell r="M256">
            <v>2</v>
          </cell>
          <cell r="N256">
            <v>2</v>
          </cell>
          <cell r="O256">
            <v>2</v>
          </cell>
          <cell r="P256">
            <v>2</v>
          </cell>
          <cell r="Q256">
            <v>1</v>
          </cell>
          <cell r="R256">
            <v>2</v>
          </cell>
          <cell r="S256">
            <v>2</v>
          </cell>
          <cell r="T256">
            <v>2</v>
          </cell>
          <cell r="U256">
            <v>2</v>
          </cell>
          <cell r="W256">
            <v>12.1</v>
          </cell>
          <cell r="X256">
            <v>35.6</v>
          </cell>
          <cell r="Y256">
            <v>111.3</v>
          </cell>
          <cell r="Z256">
            <v>82.46</v>
          </cell>
          <cell r="AA256">
            <v>5.3</v>
          </cell>
          <cell r="AB256">
            <v>144</v>
          </cell>
          <cell r="AC256">
            <v>100.8</v>
          </cell>
          <cell r="AD256">
            <v>28</v>
          </cell>
          <cell r="AE256">
            <v>15.2</v>
          </cell>
          <cell r="AF256">
            <v>76</v>
          </cell>
          <cell r="AG256">
            <v>220</v>
          </cell>
          <cell r="AJ256" t="str">
            <v>RIGHT INFERIOR DIVISION OF MCA INFARCT</v>
          </cell>
          <cell r="AK256" t="str">
            <v>RIGHT INFERIOR DIVISION OF MCA THROMBOSIS. RT CCA BIFURCATION. SMALL PLAQUE SEEN NOT OCCLUDING.</v>
          </cell>
          <cell r="AM256">
            <v>8</v>
          </cell>
          <cell r="AN256">
            <v>1</v>
          </cell>
          <cell r="AO256">
            <v>5</v>
          </cell>
          <cell r="AP256">
            <v>3</v>
          </cell>
          <cell r="AQ256">
            <v>5</v>
          </cell>
          <cell r="AS256">
            <v>1</v>
          </cell>
          <cell r="AT256">
            <v>1</v>
          </cell>
          <cell r="AU256">
            <v>2</v>
          </cell>
          <cell r="AZ256">
            <v>0</v>
          </cell>
          <cell r="BA256">
            <v>100</v>
          </cell>
        </row>
        <row r="257">
          <cell r="A257" t="str">
            <v>PRABHAWATI BHARGUDE</v>
          </cell>
          <cell r="C257">
            <v>24000003773</v>
          </cell>
          <cell r="D257">
            <v>75</v>
          </cell>
          <cell r="E257">
            <v>2</v>
          </cell>
          <cell r="F257">
            <v>45405</v>
          </cell>
          <cell r="G257">
            <v>0.33333333333333331</v>
          </cell>
          <cell r="H257">
            <v>45406</v>
          </cell>
          <cell r="I257">
            <v>45407</v>
          </cell>
          <cell r="J257">
            <v>8007999211</v>
          </cell>
          <cell r="L257">
            <v>2</v>
          </cell>
          <cell r="M257">
            <v>1</v>
          </cell>
          <cell r="N257">
            <v>1</v>
          </cell>
          <cell r="O257">
            <v>2</v>
          </cell>
          <cell r="P257">
            <v>2</v>
          </cell>
          <cell r="Q257">
            <v>1</v>
          </cell>
          <cell r="R257">
            <v>2</v>
          </cell>
          <cell r="S257">
            <v>2</v>
          </cell>
          <cell r="T257">
            <v>2</v>
          </cell>
          <cell r="U257">
            <v>2</v>
          </cell>
          <cell r="W257">
            <v>10.8</v>
          </cell>
          <cell r="X257">
            <v>33.5</v>
          </cell>
          <cell r="Y257">
            <v>82.2</v>
          </cell>
          <cell r="AJ257" t="str">
            <v xml:space="preserve">RT PRE FRRONTAL CORTEX INFARCT (OUTSIDE MRI) </v>
          </cell>
          <cell r="AK257" t="str">
            <v>NORMAL- RT ICA 30-40% STENOSIS AT ORIGIN</v>
          </cell>
          <cell r="AM257">
            <v>10</v>
          </cell>
          <cell r="AN257">
            <v>1</v>
          </cell>
          <cell r="AO257">
            <v>3</v>
          </cell>
          <cell r="AP257">
            <v>3</v>
          </cell>
          <cell r="AQ257">
            <v>5</v>
          </cell>
          <cell r="AS257">
            <v>1</v>
          </cell>
          <cell r="AT257">
            <v>1</v>
          </cell>
          <cell r="AU257">
            <v>2</v>
          </cell>
          <cell r="AZ257">
            <v>0</v>
          </cell>
          <cell r="BA257">
            <v>100</v>
          </cell>
        </row>
        <row r="258">
          <cell r="A258" t="str">
            <v>BHAGWAT RATAN</v>
          </cell>
          <cell r="C258">
            <v>230000053311</v>
          </cell>
          <cell r="D258">
            <v>55</v>
          </cell>
          <cell r="E258">
            <v>2</v>
          </cell>
          <cell r="F258">
            <v>45219</v>
          </cell>
          <cell r="G258">
            <v>0.54166666666666663</v>
          </cell>
          <cell r="H258">
            <v>45219</v>
          </cell>
          <cell r="I258">
            <v>45220</v>
          </cell>
          <cell r="J258">
            <v>7498754557</v>
          </cell>
          <cell r="L258">
            <v>8</v>
          </cell>
          <cell r="M258">
            <v>1</v>
          </cell>
          <cell r="N258">
            <v>1</v>
          </cell>
          <cell r="O258">
            <v>2</v>
          </cell>
          <cell r="P258">
            <v>2</v>
          </cell>
          <cell r="Q258">
            <v>2</v>
          </cell>
          <cell r="R258">
            <v>2</v>
          </cell>
          <cell r="S258">
            <v>2</v>
          </cell>
          <cell r="T258">
            <v>2</v>
          </cell>
          <cell r="U258">
            <v>2</v>
          </cell>
          <cell r="W258">
            <v>10.4</v>
          </cell>
          <cell r="Z258">
            <v>16.39</v>
          </cell>
          <cell r="AA258">
            <v>5.8</v>
          </cell>
          <cell r="AB258">
            <v>186</v>
          </cell>
          <cell r="AC258">
            <v>130.19999999999999</v>
          </cell>
          <cell r="AD258">
            <v>34</v>
          </cell>
          <cell r="AE258">
            <v>21.8</v>
          </cell>
          <cell r="AF258">
            <v>109</v>
          </cell>
          <cell r="AG258">
            <v>148</v>
          </cell>
          <cell r="AJ258" t="str">
            <v>Patchy acute non hemorrhagic infarcts in left frontal region. Patchy acute non hemorrhagic lacunar infarcts in left fronto-parieto-temporal region, splenium of corpus callosum in watershed territory.</v>
          </cell>
          <cell r="AK258" t="str">
            <v xml:space="preserve">90% stenosis of left ICA with ruptured atherosclerotic plaque in left ICA </v>
          </cell>
          <cell r="AS258">
            <v>1</v>
          </cell>
          <cell r="AT258">
            <v>1</v>
          </cell>
          <cell r="AU258">
            <v>2</v>
          </cell>
          <cell r="AZ258">
            <v>1</v>
          </cell>
          <cell r="BA258">
            <v>85</v>
          </cell>
        </row>
        <row r="259">
          <cell r="A259" t="str">
            <v>Dhumal Shakuntala</v>
          </cell>
          <cell r="C259">
            <v>240000043565</v>
          </cell>
          <cell r="D259">
            <v>47</v>
          </cell>
          <cell r="E259">
            <v>2</v>
          </cell>
          <cell r="F259">
            <v>45426</v>
          </cell>
          <cell r="G259">
            <v>0.29166666666666669</v>
          </cell>
          <cell r="H259">
            <v>45427</v>
          </cell>
          <cell r="I259">
            <v>45429</v>
          </cell>
          <cell r="J259">
            <v>9545440049</v>
          </cell>
          <cell r="L259">
            <v>5</v>
          </cell>
          <cell r="M259">
            <v>2</v>
          </cell>
          <cell r="N259">
            <v>1</v>
          </cell>
          <cell r="O259">
            <v>2</v>
          </cell>
          <cell r="P259">
            <v>2</v>
          </cell>
          <cell r="Q259">
            <v>1</v>
          </cell>
          <cell r="R259">
            <v>2</v>
          </cell>
          <cell r="S259">
            <v>2</v>
          </cell>
          <cell r="T259">
            <v>2</v>
          </cell>
          <cell r="U259">
            <v>2</v>
          </cell>
          <cell r="W259">
            <v>12.6</v>
          </cell>
          <cell r="X259">
            <v>38.299999999999997</v>
          </cell>
          <cell r="Y259">
            <v>77</v>
          </cell>
          <cell r="Z259">
            <v>3.26</v>
          </cell>
          <cell r="AA259">
            <v>13</v>
          </cell>
          <cell r="AG259">
            <v>2000</v>
          </cell>
          <cell r="AJ259" t="str">
            <v>PATCHY INFARCTS IN B/L ACA MCA AND OLD RIGHT INTERNAL WATERSHED INFARCTS</v>
          </cell>
          <cell r="AK259" t="str">
            <v>RT ICA NARROWING 50% AT ORIGIN AND CAVERNOUS SEGMENT OF RT ICA OCCLUDED/TIGHT STENOSIS</v>
          </cell>
          <cell r="AL259" t="str">
            <v>LEFT MCA AND ACA OPACIFIED</v>
          </cell>
          <cell r="AM259">
            <v>9</v>
          </cell>
          <cell r="AN259">
            <v>1</v>
          </cell>
          <cell r="AO259">
            <v>3</v>
          </cell>
          <cell r="AP259">
            <v>3</v>
          </cell>
          <cell r="AQ259">
            <v>5</v>
          </cell>
          <cell r="AS259">
            <v>1</v>
          </cell>
          <cell r="AT259">
            <v>1</v>
          </cell>
          <cell r="AU259">
            <v>2</v>
          </cell>
          <cell r="AZ259">
            <v>0</v>
          </cell>
        </row>
        <row r="260">
          <cell r="A260" t="str">
            <v>ASHOK GITE</v>
          </cell>
          <cell r="C260">
            <v>240000048201</v>
          </cell>
          <cell r="D260">
            <v>57</v>
          </cell>
          <cell r="E260">
            <v>1</v>
          </cell>
          <cell r="F260">
            <v>45442</v>
          </cell>
          <cell r="G260">
            <v>0.64583333333333337</v>
          </cell>
          <cell r="H260">
            <v>45442</v>
          </cell>
          <cell r="I260">
            <v>45448</v>
          </cell>
          <cell r="J260">
            <v>9975292865</v>
          </cell>
          <cell r="K260">
            <v>9096159020</v>
          </cell>
          <cell r="L260">
            <v>7</v>
          </cell>
          <cell r="M260">
            <v>1</v>
          </cell>
          <cell r="N260">
            <v>1</v>
          </cell>
          <cell r="O260">
            <v>2</v>
          </cell>
          <cell r="P260">
            <v>2</v>
          </cell>
          <cell r="Q260">
            <v>1</v>
          </cell>
          <cell r="R260">
            <v>2</v>
          </cell>
          <cell r="S260">
            <v>2</v>
          </cell>
          <cell r="T260">
            <v>1</v>
          </cell>
          <cell r="U260">
            <v>2</v>
          </cell>
          <cell r="W260">
            <v>14.3</v>
          </cell>
          <cell r="X260">
            <v>44.4</v>
          </cell>
          <cell r="Y260">
            <v>81.8</v>
          </cell>
          <cell r="Z260">
            <v>20.170000000000002</v>
          </cell>
          <cell r="AA260">
            <v>7</v>
          </cell>
          <cell r="AB260">
            <v>141</v>
          </cell>
          <cell r="AC260">
            <v>88.4</v>
          </cell>
          <cell r="AD260">
            <v>29</v>
          </cell>
          <cell r="AE260">
            <v>23.6</v>
          </cell>
          <cell r="AF260">
            <v>118</v>
          </cell>
          <cell r="AG260">
            <v>208</v>
          </cell>
          <cell r="AJ260" t="str">
            <v>RT CORONA RADIATA MEDIAL TEMPORAL LOBE PATCHY INFARCT IN RT PERIATAL REGION AND LEFT CAUDATE REGION</v>
          </cell>
          <cell r="AK260" t="str">
            <v xml:space="preserve">RIGHT M1 SRENOSI. CALCIFIED PLAQUES IN RT CCA AND CAROTID BIFURCATION. LEFT V4 SEGMENT FOCAL STENOSIS. </v>
          </cell>
          <cell r="AM260">
            <v>7</v>
          </cell>
          <cell r="AN260">
            <v>1</v>
          </cell>
          <cell r="AO260">
            <v>2</v>
          </cell>
          <cell r="AP260">
            <v>2</v>
          </cell>
          <cell r="AQ260">
            <v>5</v>
          </cell>
          <cell r="AS260">
            <v>1</v>
          </cell>
          <cell r="AT260">
            <v>1</v>
          </cell>
          <cell r="AU260">
            <v>2</v>
          </cell>
          <cell r="AZ260">
            <v>0</v>
          </cell>
          <cell r="BA260">
            <v>100</v>
          </cell>
        </row>
        <row r="261">
          <cell r="A261" t="str">
            <v>TARABAI KALASKAR</v>
          </cell>
          <cell r="C261">
            <v>240000046385</v>
          </cell>
          <cell r="D261">
            <v>78</v>
          </cell>
          <cell r="E261">
            <v>2</v>
          </cell>
          <cell r="F261">
            <v>45422</v>
          </cell>
          <cell r="G261">
            <v>0.33333333333333331</v>
          </cell>
          <cell r="H261">
            <v>45436</v>
          </cell>
          <cell r="J261">
            <v>9422740953</v>
          </cell>
          <cell r="K261">
            <v>8856956910</v>
          </cell>
          <cell r="M261">
            <v>1</v>
          </cell>
          <cell r="N261">
            <v>1</v>
          </cell>
          <cell r="O261">
            <v>2</v>
          </cell>
          <cell r="P261">
            <v>2</v>
          </cell>
          <cell r="Q261">
            <v>2</v>
          </cell>
          <cell r="R261">
            <v>2</v>
          </cell>
          <cell r="S261">
            <v>2</v>
          </cell>
          <cell r="T261">
            <v>1</v>
          </cell>
          <cell r="U261">
            <v>2</v>
          </cell>
          <cell r="W261">
            <v>9.4</v>
          </cell>
          <cell r="X261">
            <v>28.3</v>
          </cell>
          <cell r="Y261">
            <v>78.5</v>
          </cell>
          <cell r="Z261">
            <v>6.81</v>
          </cell>
          <cell r="AG261">
            <v>2000</v>
          </cell>
          <cell r="AJ261" t="str">
            <v>ACUTE NHI IN B/L ACA TERRITORY</v>
          </cell>
          <cell r="AK261" t="str">
            <v>NO CTA</v>
          </cell>
          <cell r="AS261">
            <v>1</v>
          </cell>
          <cell r="AT261">
            <v>1</v>
          </cell>
          <cell r="AU261">
            <v>2</v>
          </cell>
          <cell r="AZ261">
            <v>2</v>
          </cell>
          <cell r="BA261">
            <v>70</v>
          </cell>
        </row>
        <row r="262">
          <cell r="A262" t="str">
            <v>PARVATI SALUNKHE</v>
          </cell>
          <cell r="C262">
            <v>240000047870</v>
          </cell>
          <cell r="D262">
            <v>48</v>
          </cell>
          <cell r="E262">
            <v>2</v>
          </cell>
          <cell r="F262">
            <v>45442</v>
          </cell>
          <cell r="G262">
            <v>8.3333333333333329E-2</v>
          </cell>
          <cell r="H262">
            <v>45442</v>
          </cell>
          <cell r="I262">
            <v>45450</v>
          </cell>
          <cell r="J262">
            <v>7088751810</v>
          </cell>
          <cell r="L262">
            <v>7</v>
          </cell>
          <cell r="M262">
            <v>2</v>
          </cell>
          <cell r="N262">
            <v>2</v>
          </cell>
          <cell r="O262">
            <v>2</v>
          </cell>
          <cell r="P262">
            <v>2</v>
          </cell>
          <cell r="Q262">
            <v>1</v>
          </cell>
          <cell r="R262">
            <v>2</v>
          </cell>
          <cell r="S262">
            <v>2</v>
          </cell>
          <cell r="T262">
            <v>2</v>
          </cell>
          <cell r="U262">
            <v>2</v>
          </cell>
          <cell r="W262">
            <v>11.3</v>
          </cell>
          <cell r="X262">
            <v>33.200000000000003</v>
          </cell>
          <cell r="Y262">
            <v>87.9</v>
          </cell>
          <cell r="AJ262" t="str">
            <v>LEFT LONG INSULAR ARTERY INFARCT</v>
          </cell>
          <cell r="AK262" t="str">
            <v>RT VERTEBRAL ARTERY HYPOPLASTIC/ THROMBOSED, REST NORMAL</v>
          </cell>
          <cell r="AM262">
            <v>9</v>
          </cell>
          <cell r="AN262">
            <v>1</v>
          </cell>
          <cell r="AO262">
            <v>5</v>
          </cell>
          <cell r="AP262">
            <v>3</v>
          </cell>
          <cell r="AQ262">
            <v>5</v>
          </cell>
          <cell r="AS262">
            <v>1</v>
          </cell>
          <cell r="AT262">
            <v>1</v>
          </cell>
          <cell r="AU262">
            <v>2</v>
          </cell>
          <cell r="AZ262">
            <v>0</v>
          </cell>
          <cell r="BA262">
            <v>100</v>
          </cell>
        </row>
        <row r="263">
          <cell r="A263" t="str">
            <v>RANJANE KISAN</v>
          </cell>
          <cell r="C263">
            <v>240000043524</v>
          </cell>
          <cell r="D263">
            <v>75</v>
          </cell>
          <cell r="E263">
            <v>1</v>
          </cell>
          <cell r="F263">
            <v>45425</v>
          </cell>
          <cell r="G263">
            <v>0.58333333333333337</v>
          </cell>
          <cell r="H263">
            <v>45427</v>
          </cell>
          <cell r="J263">
            <v>9821116548</v>
          </cell>
          <cell r="L263">
            <v>24</v>
          </cell>
          <cell r="M263">
            <v>1</v>
          </cell>
          <cell r="N263">
            <v>1</v>
          </cell>
          <cell r="O263">
            <v>2</v>
          </cell>
          <cell r="P263">
            <v>2</v>
          </cell>
          <cell r="Q263">
            <v>2</v>
          </cell>
          <cell r="R263">
            <v>2</v>
          </cell>
          <cell r="S263">
            <v>2</v>
          </cell>
          <cell r="T263">
            <v>2</v>
          </cell>
          <cell r="U263">
            <v>2</v>
          </cell>
          <cell r="V263" t="str">
            <v>PAST H/O STROKE POST OPT L4 DECOMPRESSION, PULOMONORY EDEMA</v>
          </cell>
          <cell r="W263">
            <v>13</v>
          </cell>
          <cell r="X263">
            <v>39.5</v>
          </cell>
          <cell r="Y263">
            <v>78.5</v>
          </cell>
          <cell r="AJ263" t="str">
            <v>LEFT MCA-PCA WATERSHED INFARCT. ACUTE INFARCT IN LEFT FRONTO-PARIETO-OCCIPITAL REGION</v>
          </cell>
          <cell r="AK263" t="str">
            <v>NORMAL</v>
          </cell>
          <cell r="AM263">
            <v>9</v>
          </cell>
          <cell r="AN263">
            <v>1</v>
          </cell>
          <cell r="AO263">
            <v>3</v>
          </cell>
          <cell r="AP263">
            <v>2</v>
          </cell>
          <cell r="AQ263">
            <v>5</v>
          </cell>
          <cell r="AS263">
            <v>1</v>
          </cell>
          <cell r="AT263">
            <v>1</v>
          </cell>
          <cell r="AU263">
            <v>2</v>
          </cell>
        </row>
        <row r="264">
          <cell r="A264" t="str">
            <v>RAJESH SHAH</v>
          </cell>
          <cell r="C264">
            <v>240000045139</v>
          </cell>
          <cell r="D264">
            <v>62</v>
          </cell>
          <cell r="E264">
            <v>1</v>
          </cell>
          <cell r="F264">
            <v>45432</v>
          </cell>
          <cell r="G264">
            <v>0.83333333333333337</v>
          </cell>
          <cell r="H264">
            <v>45432</v>
          </cell>
          <cell r="J264">
            <v>9890800209</v>
          </cell>
          <cell r="L264">
            <v>17</v>
          </cell>
          <cell r="M264">
            <v>2</v>
          </cell>
          <cell r="N264">
            <v>2</v>
          </cell>
          <cell r="O264">
            <v>2</v>
          </cell>
          <cell r="P264">
            <v>2</v>
          </cell>
          <cell r="Q264">
            <v>2</v>
          </cell>
          <cell r="R264">
            <v>2</v>
          </cell>
          <cell r="S264">
            <v>2</v>
          </cell>
          <cell r="T264">
            <v>1</v>
          </cell>
          <cell r="U264">
            <v>2</v>
          </cell>
          <cell r="W264">
            <v>13</v>
          </cell>
          <cell r="X264">
            <v>40.799999999999997</v>
          </cell>
          <cell r="Y264">
            <v>82.9</v>
          </cell>
          <cell r="Z264">
            <v>25.09</v>
          </cell>
          <cell r="AA264">
            <v>6.3</v>
          </cell>
          <cell r="AB264">
            <v>146</v>
          </cell>
          <cell r="AC264">
            <v>100</v>
          </cell>
          <cell r="AD264">
            <v>30</v>
          </cell>
          <cell r="AE264">
            <v>16</v>
          </cell>
          <cell r="AF264">
            <v>80</v>
          </cell>
          <cell r="AG264">
            <v>148</v>
          </cell>
          <cell r="AJ264" t="str">
            <v>New areas of acute non-hemorrhagic infarcts in right fronto-parieto-temporo- occipital region Intraparenchymal bleed in left gangliocapsular region with subfalcine herniation and extension of the bleed into the ventricles</v>
          </cell>
          <cell r="AK264" t="str">
            <v>left m1 stenosis , left ica terminal occlusion</v>
          </cell>
          <cell r="AM264">
            <v>6</v>
          </cell>
          <cell r="AN264">
            <v>2</v>
          </cell>
          <cell r="AO264">
            <v>2</v>
          </cell>
          <cell r="AP264">
            <v>2</v>
          </cell>
          <cell r="AS264">
            <v>1</v>
          </cell>
          <cell r="AT264">
            <v>2</v>
          </cell>
          <cell r="AU264">
            <v>1</v>
          </cell>
          <cell r="AV264">
            <v>2</v>
          </cell>
        </row>
        <row r="265">
          <cell r="A265" t="str">
            <v>Kumawat Rameshwar</v>
          </cell>
          <cell r="C265">
            <v>240000048377</v>
          </cell>
          <cell r="D265">
            <v>61</v>
          </cell>
          <cell r="E265">
            <v>1</v>
          </cell>
          <cell r="F265">
            <v>45443</v>
          </cell>
          <cell r="G265">
            <v>0.54166666666666663</v>
          </cell>
          <cell r="H265">
            <v>45443</v>
          </cell>
          <cell r="I265">
            <v>45444</v>
          </cell>
          <cell r="J265">
            <v>8446008244</v>
          </cell>
          <cell r="L265">
            <v>3</v>
          </cell>
          <cell r="M265">
            <v>1</v>
          </cell>
          <cell r="N265">
            <v>2</v>
          </cell>
          <cell r="O265">
            <v>1</v>
          </cell>
          <cell r="P265">
            <v>2</v>
          </cell>
          <cell r="Q265">
            <v>2</v>
          </cell>
          <cell r="R265">
            <v>2</v>
          </cell>
          <cell r="S265">
            <v>2</v>
          </cell>
          <cell r="T265">
            <v>2</v>
          </cell>
          <cell r="U265">
            <v>2</v>
          </cell>
          <cell r="W265">
            <v>14.3</v>
          </cell>
          <cell r="X265">
            <v>42</v>
          </cell>
          <cell r="Y265">
            <v>95.8</v>
          </cell>
          <cell r="Z265">
            <v>42.56</v>
          </cell>
          <cell r="AA265">
            <v>5.9</v>
          </cell>
          <cell r="AB265">
            <v>152</v>
          </cell>
          <cell r="AC265">
            <v>95.6</v>
          </cell>
          <cell r="AD265">
            <v>35</v>
          </cell>
          <cell r="AE265">
            <v>21.4</v>
          </cell>
          <cell r="AF265">
            <v>107</v>
          </cell>
          <cell r="AG265">
            <v>148</v>
          </cell>
          <cell r="AJ265" t="str">
            <v>left putamen, external capsule acute infarct . left occipital infarct</v>
          </cell>
          <cell r="AK265" t="str">
            <v>normal</v>
          </cell>
          <cell r="AM265">
            <v>9</v>
          </cell>
          <cell r="AN265">
            <v>1</v>
          </cell>
          <cell r="AO265">
            <v>3</v>
          </cell>
          <cell r="AP265">
            <v>3</v>
          </cell>
          <cell r="AQ265">
            <v>5</v>
          </cell>
          <cell r="AS265">
            <v>1</v>
          </cell>
          <cell r="AT265">
            <v>1</v>
          </cell>
          <cell r="AU265">
            <v>2</v>
          </cell>
        </row>
        <row r="266">
          <cell r="A266" t="str">
            <v>PARDESHI KIRAN</v>
          </cell>
          <cell r="C266">
            <v>240000041820</v>
          </cell>
          <cell r="D266">
            <v>71</v>
          </cell>
          <cell r="E266">
            <v>1</v>
          </cell>
          <cell r="F266">
            <v>45421</v>
          </cell>
          <cell r="G266">
            <v>0.58333333333333337</v>
          </cell>
          <cell r="H266">
            <v>45421</v>
          </cell>
          <cell r="J266">
            <v>9011817556</v>
          </cell>
          <cell r="L266">
            <v>3</v>
          </cell>
          <cell r="M266">
            <v>2</v>
          </cell>
          <cell r="N266">
            <v>2</v>
          </cell>
          <cell r="O266">
            <v>1</v>
          </cell>
          <cell r="P266">
            <v>2</v>
          </cell>
          <cell r="Q266">
            <v>1</v>
          </cell>
          <cell r="R266">
            <v>2</v>
          </cell>
          <cell r="S266">
            <v>2</v>
          </cell>
          <cell r="T266">
            <v>2</v>
          </cell>
          <cell r="U266">
            <v>2</v>
          </cell>
          <cell r="W266">
            <v>18</v>
          </cell>
          <cell r="X266">
            <v>53.8</v>
          </cell>
          <cell r="Y266">
            <v>105.9</v>
          </cell>
          <cell r="Z266">
            <v>29.81</v>
          </cell>
          <cell r="AG266">
            <v>148</v>
          </cell>
          <cell r="AJ266" t="str">
            <v>LEFT INSULAR REGION TINY INFARCT</v>
          </cell>
          <cell r="AK266" t="str">
            <v>LEFT M1 STENOSIS AND BASILAR ARTERY RIGHT STENOSIS. NARROWING IN LEFT V4 SEGMENT. PLAQUES IN CAVERNOUS SEGMENT OF BOTH ICA</v>
          </cell>
          <cell r="AM266">
            <v>8</v>
          </cell>
          <cell r="AN266">
            <v>1</v>
          </cell>
          <cell r="AO266">
            <v>2</v>
          </cell>
          <cell r="AP266">
            <v>2</v>
          </cell>
          <cell r="AQ266">
            <v>4</v>
          </cell>
          <cell r="AS266">
            <v>1</v>
          </cell>
          <cell r="AT266">
            <v>1</v>
          </cell>
          <cell r="AU266">
            <v>2</v>
          </cell>
          <cell r="AZ266">
            <v>0</v>
          </cell>
          <cell r="BA266">
            <v>100</v>
          </cell>
        </row>
        <row r="267">
          <cell r="A267" t="str">
            <v>VILAS GAIKWAD</v>
          </cell>
          <cell r="C267">
            <v>240000044347</v>
          </cell>
          <cell r="D267">
            <v>51</v>
          </cell>
          <cell r="E267">
            <v>1</v>
          </cell>
          <cell r="F267">
            <v>45430</v>
          </cell>
          <cell r="G267">
            <v>0.34375</v>
          </cell>
          <cell r="H267">
            <v>45430</v>
          </cell>
          <cell r="J267">
            <v>8149081492</v>
          </cell>
          <cell r="L267">
            <v>20</v>
          </cell>
          <cell r="M267">
            <v>2</v>
          </cell>
          <cell r="N267">
            <v>2</v>
          </cell>
          <cell r="O267">
            <v>1</v>
          </cell>
          <cell r="P267">
            <v>1</v>
          </cell>
          <cell r="Q267">
            <v>1</v>
          </cell>
          <cell r="R267">
            <v>2</v>
          </cell>
          <cell r="S267">
            <v>2</v>
          </cell>
          <cell r="T267">
            <v>2</v>
          </cell>
          <cell r="U267">
            <v>2</v>
          </cell>
          <cell r="W267">
            <v>8.5</v>
          </cell>
          <cell r="X267">
            <v>29.3</v>
          </cell>
          <cell r="Y267">
            <v>59.7</v>
          </cell>
          <cell r="Z267">
            <v>4.3600000000000003</v>
          </cell>
          <cell r="AA267">
            <v>8.1999999999999993</v>
          </cell>
          <cell r="AB267">
            <v>90</v>
          </cell>
          <cell r="AC267">
            <v>42.2</v>
          </cell>
          <cell r="AD267">
            <v>21</v>
          </cell>
          <cell r="AE267">
            <v>26.3</v>
          </cell>
          <cell r="AF267">
            <v>134</v>
          </cell>
          <cell r="AG267">
            <v>795</v>
          </cell>
          <cell r="AJ267" t="str">
            <v>Acute non-hemorrhagic infarct in left MCA territory.</v>
          </cell>
          <cell r="AK267" t="str">
            <v>Normal CTA of intracranial arteries with filling defect in the left carotid bifurcation</v>
          </cell>
          <cell r="AM267">
            <v>3</v>
          </cell>
          <cell r="AN267">
            <v>2</v>
          </cell>
          <cell r="AO267">
            <v>2</v>
          </cell>
          <cell r="AP267">
            <v>2</v>
          </cell>
          <cell r="AQ267">
            <v>3</v>
          </cell>
          <cell r="AS267">
            <v>1</v>
          </cell>
          <cell r="AT267">
            <v>2</v>
          </cell>
          <cell r="AU267">
            <v>1</v>
          </cell>
          <cell r="AV267">
            <v>1</v>
          </cell>
          <cell r="AZ267">
            <v>3</v>
          </cell>
          <cell r="BA267">
            <v>55</v>
          </cell>
        </row>
        <row r="268">
          <cell r="A268" t="str">
            <v>DEVENDRA SINGH</v>
          </cell>
          <cell r="C268">
            <v>240000043531</v>
          </cell>
          <cell r="D268">
            <v>54</v>
          </cell>
          <cell r="E268">
            <v>1</v>
          </cell>
          <cell r="F268">
            <v>45426</v>
          </cell>
          <cell r="G268">
            <v>0.29166666666666669</v>
          </cell>
          <cell r="H268">
            <v>45427</v>
          </cell>
          <cell r="J268">
            <v>9405605463</v>
          </cell>
          <cell r="K268">
            <v>9766993768</v>
          </cell>
          <cell r="L268">
            <v>3</v>
          </cell>
          <cell r="M268">
            <v>1</v>
          </cell>
          <cell r="N268">
            <v>2</v>
          </cell>
          <cell r="O268">
            <v>1</v>
          </cell>
          <cell r="P268">
            <v>1</v>
          </cell>
          <cell r="Q268">
            <v>1</v>
          </cell>
          <cell r="R268">
            <v>2</v>
          </cell>
          <cell r="S268">
            <v>2</v>
          </cell>
          <cell r="T268">
            <v>2</v>
          </cell>
          <cell r="U268">
            <v>2</v>
          </cell>
          <cell r="V268" t="str">
            <v>PAST H/O STROKE 4 YRS AGO- LT HEMIPARESIS, MRS-0</v>
          </cell>
          <cell r="W268">
            <v>16</v>
          </cell>
          <cell r="X268">
            <v>47.2</v>
          </cell>
          <cell r="Y268">
            <v>96.7</v>
          </cell>
          <cell r="Z268">
            <v>16.260000000000002</v>
          </cell>
          <cell r="AA268">
            <v>5.4</v>
          </cell>
          <cell r="AG268">
            <v>178</v>
          </cell>
          <cell r="AJ268" t="str">
            <v>left external capsule and putamen infarct. old right corona radiata infarct</v>
          </cell>
          <cell r="AK268" t="str">
            <v>normal</v>
          </cell>
          <cell r="AM268">
            <v>8</v>
          </cell>
          <cell r="AN268">
            <v>1</v>
          </cell>
          <cell r="AO268">
            <v>3</v>
          </cell>
          <cell r="AP268">
            <v>3</v>
          </cell>
          <cell r="AQ268">
            <v>5</v>
          </cell>
          <cell r="AS268">
            <v>1</v>
          </cell>
          <cell r="AT268">
            <v>1</v>
          </cell>
          <cell r="AU268">
            <v>2</v>
          </cell>
          <cell r="AZ268">
            <v>0</v>
          </cell>
          <cell r="BA268">
            <v>100</v>
          </cell>
        </row>
        <row r="269">
          <cell r="A269" t="str">
            <v>bidhya bista</v>
          </cell>
          <cell r="C269">
            <v>240000043170</v>
          </cell>
          <cell r="D269">
            <v>40</v>
          </cell>
          <cell r="E269">
            <v>2</v>
          </cell>
          <cell r="F269">
            <v>45426</v>
          </cell>
          <cell r="G269">
            <v>0.29166666666666669</v>
          </cell>
          <cell r="H269">
            <v>45426</v>
          </cell>
          <cell r="I269">
            <v>45449</v>
          </cell>
          <cell r="J269">
            <v>9766095390</v>
          </cell>
          <cell r="L269">
            <v>4</v>
          </cell>
          <cell r="M269">
            <v>2</v>
          </cell>
          <cell r="N269">
            <v>2</v>
          </cell>
          <cell r="O269">
            <v>2</v>
          </cell>
          <cell r="P269">
            <v>2</v>
          </cell>
          <cell r="Q269">
            <v>2</v>
          </cell>
          <cell r="R269">
            <v>2</v>
          </cell>
          <cell r="S269">
            <v>2</v>
          </cell>
          <cell r="T269">
            <v>2</v>
          </cell>
          <cell r="U269">
            <v>1</v>
          </cell>
          <cell r="V269" t="str">
            <v xml:space="preserve">mitral valve replacement 2013. </v>
          </cell>
          <cell r="W269">
            <v>11.4</v>
          </cell>
          <cell r="AB269">
            <v>144</v>
          </cell>
          <cell r="AC269">
            <v>80</v>
          </cell>
          <cell r="AD269">
            <v>52</v>
          </cell>
          <cell r="AE269">
            <v>12</v>
          </cell>
          <cell r="AF269">
            <v>60</v>
          </cell>
          <cell r="AJ269" t="str">
            <v>left insular infarct</v>
          </cell>
          <cell r="AK269" t="str">
            <v>left mca m3 thrombous</v>
          </cell>
          <cell r="AM269">
            <v>8</v>
          </cell>
          <cell r="AN269">
            <v>1</v>
          </cell>
          <cell r="AO269">
            <v>3</v>
          </cell>
          <cell r="AP269">
            <v>3</v>
          </cell>
          <cell r="AQ269">
            <v>5</v>
          </cell>
          <cell r="AS269">
            <v>1</v>
          </cell>
          <cell r="AT269">
            <v>1</v>
          </cell>
          <cell r="AU269">
            <v>2</v>
          </cell>
          <cell r="AW269">
            <v>2</v>
          </cell>
          <cell r="AZ269">
            <v>0</v>
          </cell>
          <cell r="BA269">
            <v>100</v>
          </cell>
        </row>
        <row r="270">
          <cell r="A270" t="str">
            <v>SATISH BHALERAO</v>
          </cell>
          <cell r="C270">
            <v>240000042486</v>
          </cell>
          <cell r="D270">
            <v>41</v>
          </cell>
          <cell r="E270">
            <v>1</v>
          </cell>
          <cell r="F270">
            <v>45424</v>
          </cell>
          <cell r="G270">
            <v>0.46875</v>
          </cell>
          <cell r="H270">
            <v>45424</v>
          </cell>
          <cell r="J270">
            <v>8600702229</v>
          </cell>
          <cell r="L270">
            <v>9</v>
          </cell>
          <cell r="M270">
            <v>1</v>
          </cell>
          <cell r="N270">
            <v>1</v>
          </cell>
          <cell r="O270">
            <v>2</v>
          </cell>
          <cell r="P270">
            <v>2</v>
          </cell>
          <cell r="Q270">
            <v>1</v>
          </cell>
          <cell r="R270">
            <v>2</v>
          </cell>
          <cell r="S270">
            <v>2</v>
          </cell>
          <cell r="T270">
            <v>1</v>
          </cell>
          <cell r="U270">
            <v>2</v>
          </cell>
          <cell r="W270">
            <v>14.8</v>
          </cell>
          <cell r="X270">
            <v>43.8</v>
          </cell>
          <cell r="Y270">
            <v>90.6</v>
          </cell>
          <cell r="Z270">
            <v>32.46</v>
          </cell>
          <cell r="AA270">
            <v>6.1</v>
          </cell>
          <cell r="AB270">
            <v>229</v>
          </cell>
          <cell r="AD270">
            <v>34</v>
          </cell>
          <cell r="AF270">
            <v>553</v>
          </cell>
          <cell r="AG270">
            <v>213</v>
          </cell>
          <cell r="AJ270" t="str">
            <v>RIGHT MCA INFERIOR DIVISION INFARCT, NECK VESSEL SHOW MULTIPLE ARTEFACTS AND ARE GROSSLY NORMAL</v>
          </cell>
          <cell r="AK270" t="str">
            <v>RT MCA INFERIOR DIVISION OCCLUSION</v>
          </cell>
          <cell r="AM270">
            <v>8</v>
          </cell>
          <cell r="AN270">
            <v>1</v>
          </cell>
          <cell r="AO270">
            <v>2</v>
          </cell>
          <cell r="AP270">
            <v>2</v>
          </cell>
          <cell r="AQ270">
            <v>5</v>
          </cell>
          <cell r="AS270">
            <v>1</v>
          </cell>
          <cell r="AT270">
            <v>2</v>
          </cell>
          <cell r="AU270">
            <v>1</v>
          </cell>
          <cell r="AV270">
            <v>1</v>
          </cell>
          <cell r="AZ270">
            <v>0</v>
          </cell>
          <cell r="BA270">
            <v>100</v>
          </cell>
        </row>
        <row r="271">
          <cell r="A271" t="str">
            <v>VAISHALI DESHPANDE</v>
          </cell>
          <cell r="C271">
            <v>240000046440</v>
          </cell>
          <cell r="D271">
            <v>69</v>
          </cell>
          <cell r="E271">
            <v>2</v>
          </cell>
          <cell r="F271">
            <v>45437</v>
          </cell>
          <cell r="G271">
            <v>0.3125</v>
          </cell>
          <cell r="H271">
            <v>45437</v>
          </cell>
          <cell r="I271">
            <v>45439</v>
          </cell>
          <cell r="J271">
            <v>9850146471</v>
          </cell>
          <cell r="L271">
            <v>1</v>
          </cell>
          <cell r="M271">
            <v>2</v>
          </cell>
          <cell r="N271">
            <v>1</v>
          </cell>
          <cell r="O271">
            <v>2</v>
          </cell>
          <cell r="P271">
            <v>2</v>
          </cell>
          <cell r="Q271">
            <v>2</v>
          </cell>
          <cell r="R271">
            <v>2</v>
          </cell>
          <cell r="S271">
            <v>2</v>
          </cell>
          <cell r="T271">
            <v>2</v>
          </cell>
          <cell r="U271">
            <v>2</v>
          </cell>
          <cell r="V271" t="str">
            <v>CA URINARY BLADDER, THROMBOCYTOPENIA</v>
          </cell>
          <cell r="W271">
            <v>10.3</v>
          </cell>
          <cell r="X271">
            <v>31</v>
          </cell>
          <cell r="Y271">
            <v>85.2</v>
          </cell>
          <cell r="Z271">
            <v>11.88</v>
          </cell>
          <cell r="AB271">
            <v>176</v>
          </cell>
          <cell r="AD271">
            <v>5</v>
          </cell>
          <cell r="AE271">
            <v>89.2</v>
          </cell>
          <cell r="AF271">
            <v>446</v>
          </cell>
          <cell r="AG271">
            <v>504</v>
          </cell>
          <cell r="AJ271" t="str">
            <v>LEFT PCA-MCA TINY WATERSHED INFARCT, RT FRONTAL CAVERNOMA</v>
          </cell>
          <cell r="AK271" t="str">
            <v>NORMAL</v>
          </cell>
          <cell r="AM271">
            <v>10</v>
          </cell>
          <cell r="AN271">
            <v>1</v>
          </cell>
          <cell r="AO271">
            <v>3</v>
          </cell>
          <cell r="AP271">
            <v>3</v>
          </cell>
          <cell r="AQ271">
            <v>5</v>
          </cell>
          <cell r="AS271">
            <v>1</v>
          </cell>
          <cell r="AT271">
            <v>1</v>
          </cell>
          <cell r="AU271">
            <v>2</v>
          </cell>
          <cell r="AZ271">
            <v>0</v>
          </cell>
          <cell r="BA271">
            <v>100</v>
          </cell>
        </row>
        <row r="272">
          <cell r="A272" t="str">
            <v>RAJKUMAR SHINDE</v>
          </cell>
          <cell r="C272">
            <v>240000044669</v>
          </cell>
          <cell r="D272">
            <v>32</v>
          </cell>
          <cell r="E272">
            <v>1</v>
          </cell>
          <cell r="F272">
            <v>45430</v>
          </cell>
          <cell r="G272">
            <v>0.625</v>
          </cell>
          <cell r="H272">
            <v>45431</v>
          </cell>
          <cell r="I272">
            <v>45432</v>
          </cell>
          <cell r="J272">
            <v>9164331863</v>
          </cell>
          <cell r="L272">
            <v>0</v>
          </cell>
          <cell r="M272">
            <v>1</v>
          </cell>
          <cell r="N272">
            <v>2</v>
          </cell>
          <cell r="O272">
            <v>1</v>
          </cell>
          <cell r="P272">
            <v>2</v>
          </cell>
          <cell r="Q272">
            <v>2</v>
          </cell>
          <cell r="R272">
            <v>2</v>
          </cell>
          <cell r="S272">
            <v>2</v>
          </cell>
          <cell r="T272">
            <v>2</v>
          </cell>
          <cell r="U272">
            <v>2</v>
          </cell>
          <cell r="W272">
            <v>17.3</v>
          </cell>
          <cell r="X272">
            <v>52.1</v>
          </cell>
          <cell r="Y272">
            <v>86.9</v>
          </cell>
          <cell r="Z272">
            <v>24.67</v>
          </cell>
          <cell r="AA272">
            <v>5.3</v>
          </cell>
          <cell r="AB272">
            <v>203</v>
          </cell>
          <cell r="AC272">
            <v>131.6</v>
          </cell>
          <cell r="AD272">
            <v>43</v>
          </cell>
          <cell r="AE272">
            <v>28.4</v>
          </cell>
          <cell r="AF272">
            <v>142</v>
          </cell>
          <cell r="AG272">
            <v>2000</v>
          </cell>
          <cell r="AJ272" t="str">
            <v>OUTSIDE SCAN - LEFT PERIVENTRICULAR INFARCT</v>
          </cell>
          <cell r="AK272" t="str">
            <v>NORMAL</v>
          </cell>
          <cell r="AM272">
            <v>9</v>
          </cell>
          <cell r="AN272">
            <v>1</v>
          </cell>
          <cell r="AO272">
            <v>3</v>
          </cell>
          <cell r="AP272">
            <v>3</v>
          </cell>
          <cell r="AS272">
            <v>1</v>
          </cell>
          <cell r="AT272">
            <v>1</v>
          </cell>
          <cell r="AU272">
            <v>2</v>
          </cell>
          <cell r="AZ272">
            <v>0</v>
          </cell>
          <cell r="BA272">
            <v>100</v>
          </cell>
        </row>
        <row r="273">
          <cell r="A273" t="str">
            <v>SAMBHAJI SHINDE</v>
          </cell>
          <cell r="C273">
            <v>240000046077</v>
          </cell>
          <cell r="D273">
            <v>63</v>
          </cell>
          <cell r="E273">
            <v>1</v>
          </cell>
          <cell r="F273">
            <v>45435</v>
          </cell>
          <cell r="G273">
            <v>0.25</v>
          </cell>
          <cell r="H273">
            <v>45435</v>
          </cell>
          <cell r="I273">
            <v>45440</v>
          </cell>
          <cell r="J273">
            <v>9372820801</v>
          </cell>
          <cell r="L273">
            <v>5</v>
          </cell>
          <cell r="M273">
            <v>2</v>
          </cell>
          <cell r="N273">
            <v>2</v>
          </cell>
          <cell r="O273">
            <v>1</v>
          </cell>
          <cell r="P273">
            <v>2</v>
          </cell>
          <cell r="Q273">
            <v>1</v>
          </cell>
          <cell r="R273">
            <v>2</v>
          </cell>
          <cell r="S273">
            <v>2</v>
          </cell>
          <cell r="T273">
            <v>2</v>
          </cell>
          <cell r="U273">
            <v>2</v>
          </cell>
          <cell r="V273" t="str">
            <v>TIA 2 YRS BACK</v>
          </cell>
          <cell r="W273">
            <v>13.3</v>
          </cell>
          <cell r="X273">
            <v>41.6</v>
          </cell>
          <cell r="Y273">
            <v>88.7</v>
          </cell>
          <cell r="Z273">
            <v>81.180000000000007</v>
          </cell>
          <cell r="AA273">
            <v>5.8</v>
          </cell>
          <cell r="AB273">
            <v>174</v>
          </cell>
          <cell r="AC273">
            <v>111.66</v>
          </cell>
          <cell r="AD273">
            <v>33</v>
          </cell>
          <cell r="AE273">
            <v>29.4</v>
          </cell>
          <cell r="AF273">
            <v>147</v>
          </cell>
          <cell r="AG273">
            <v>148</v>
          </cell>
          <cell r="AJ273" t="str">
            <v>ACUTE NHI IN LEFT CENTRUM SEMIOVALE AND CORONA RADIATA</v>
          </cell>
          <cell r="AK273" t="str">
            <v>PARTIALLY OCCLUDING THROMBUS FORMATION IN LT SUBCLEVIAN ARTERY AND LEFT CCA. CALCIFIED ATHEROSCLEROTIC PLAQUE IN THE LFT ICA</v>
          </cell>
          <cell r="AM273">
            <v>9</v>
          </cell>
          <cell r="AN273">
            <v>1</v>
          </cell>
          <cell r="AO273">
            <v>3</v>
          </cell>
          <cell r="AP273">
            <v>3</v>
          </cell>
          <cell r="AQ273">
            <v>5</v>
          </cell>
          <cell r="AS273">
            <v>1</v>
          </cell>
          <cell r="AT273">
            <v>1</v>
          </cell>
          <cell r="AU273">
            <v>2</v>
          </cell>
          <cell r="AZ273">
            <v>0</v>
          </cell>
          <cell r="BA273">
            <v>100</v>
          </cell>
        </row>
        <row r="274">
          <cell r="A274" t="str">
            <v>PATIL DHANRAJ</v>
          </cell>
          <cell r="C274">
            <v>240000046727</v>
          </cell>
          <cell r="D274">
            <v>78</v>
          </cell>
          <cell r="E274">
            <v>1</v>
          </cell>
          <cell r="F274">
            <v>45437</v>
          </cell>
          <cell r="G274">
            <v>0.97916666666666663</v>
          </cell>
          <cell r="H274">
            <v>45437</v>
          </cell>
          <cell r="J274">
            <v>9423002874</v>
          </cell>
          <cell r="L274">
            <v>16</v>
          </cell>
          <cell r="M274">
            <v>1</v>
          </cell>
          <cell r="N274">
            <v>1</v>
          </cell>
          <cell r="O274">
            <v>2</v>
          </cell>
          <cell r="P274">
            <v>2</v>
          </cell>
          <cell r="Q274">
            <v>1</v>
          </cell>
          <cell r="R274">
            <v>2</v>
          </cell>
          <cell r="S274">
            <v>1</v>
          </cell>
          <cell r="T274">
            <v>1</v>
          </cell>
          <cell r="U274">
            <v>2</v>
          </cell>
          <cell r="V274" t="str">
            <v>PAST H/O STROKE- LEFT PCA MCA INFARCT, COPD</v>
          </cell>
          <cell r="W274">
            <v>13.1</v>
          </cell>
          <cell r="X274">
            <v>39.9</v>
          </cell>
          <cell r="Y274">
            <v>84.2</v>
          </cell>
          <cell r="Z274">
            <v>8.3000000000000007</v>
          </cell>
          <cell r="AA274">
            <v>6.4</v>
          </cell>
          <cell r="AB274">
            <v>157</v>
          </cell>
          <cell r="AC274">
            <v>90.4</v>
          </cell>
          <cell r="AD274">
            <v>43</v>
          </cell>
          <cell r="AE274">
            <v>23.6</v>
          </cell>
          <cell r="AF274">
            <v>118</v>
          </cell>
          <cell r="AJ274" t="str">
            <v>RT MCA M3 BLOCK RT INSULAR, RT FRONTAL PARENCHYMAL INFARCT</v>
          </cell>
          <cell r="AK274" t="str">
            <v>LEFT ICA 50% STENOSIS, LEFT M1 STENOSIS</v>
          </cell>
          <cell r="AM274">
            <v>8</v>
          </cell>
          <cell r="AN274">
            <v>1</v>
          </cell>
          <cell r="AO274">
            <v>2</v>
          </cell>
          <cell r="AP274">
            <v>2</v>
          </cell>
          <cell r="AQ274">
            <v>5</v>
          </cell>
          <cell r="AS274">
            <v>1</v>
          </cell>
          <cell r="AT274">
            <v>2</v>
          </cell>
          <cell r="AU274">
            <v>1</v>
          </cell>
          <cell r="AV274">
            <v>1</v>
          </cell>
          <cell r="AZ274">
            <v>2</v>
          </cell>
          <cell r="BA274">
            <v>65</v>
          </cell>
        </row>
        <row r="275">
          <cell r="A275" t="str">
            <v>KUMBHAR DNYANESHWAR</v>
          </cell>
          <cell r="C275">
            <v>240000044952</v>
          </cell>
          <cell r="D275">
            <v>60</v>
          </cell>
          <cell r="E275">
            <v>1</v>
          </cell>
          <cell r="F275">
            <v>45424</v>
          </cell>
          <cell r="H275">
            <v>45432</v>
          </cell>
          <cell r="I275">
            <v>45435</v>
          </cell>
          <cell r="J275">
            <v>9058123525</v>
          </cell>
          <cell r="L275">
            <v>2</v>
          </cell>
          <cell r="M275">
            <v>1</v>
          </cell>
          <cell r="N275">
            <v>1</v>
          </cell>
          <cell r="O275">
            <v>1</v>
          </cell>
          <cell r="P275">
            <v>2</v>
          </cell>
          <cell r="Q275">
            <v>1</v>
          </cell>
          <cell r="R275">
            <v>1</v>
          </cell>
          <cell r="S275">
            <v>2</v>
          </cell>
          <cell r="T275">
            <v>2</v>
          </cell>
          <cell r="U275">
            <v>2</v>
          </cell>
          <cell r="W275">
            <v>13.1</v>
          </cell>
          <cell r="X275">
            <v>39</v>
          </cell>
          <cell r="Y275">
            <v>97</v>
          </cell>
          <cell r="Z275">
            <v>11.32</v>
          </cell>
          <cell r="AA275">
            <v>8.6999999999999993</v>
          </cell>
          <cell r="AB275">
            <v>299</v>
          </cell>
          <cell r="AD275">
            <v>39</v>
          </cell>
          <cell r="AF275">
            <v>463</v>
          </cell>
          <cell r="AG275">
            <v>2000</v>
          </cell>
          <cell r="AJ275" t="str">
            <v>RT CORONA RADIATA INFARCT</v>
          </cell>
          <cell r="AK275" t="str">
            <v>RT M1 MCA INFARCT, LEFT CCA PLAQUE CAUSING 40-50% STENOSIS</v>
          </cell>
          <cell r="AM275">
            <v>9</v>
          </cell>
          <cell r="AN275">
            <v>1</v>
          </cell>
          <cell r="AO275">
            <v>3</v>
          </cell>
          <cell r="AP275">
            <v>3</v>
          </cell>
          <cell r="AQ275">
            <v>5</v>
          </cell>
          <cell r="AS275">
            <v>1</v>
          </cell>
          <cell r="AT275">
            <v>1</v>
          </cell>
          <cell r="AU275">
            <v>2</v>
          </cell>
          <cell r="AZ275">
            <v>0</v>
          </cell>
          <cell r="BA275">
            <v>100</v>
          </cell>
        </row>
        <row r="276">
          <cell r="A276" t="str">
            <v>VINAYAK KAKADE</v>
          </cell>
          <cell r="C276">
            <v>240000038815</v>
          </cell>
          <cell r="D276">
            <v>79</v>
          </cell>
          <cell r="E276">
            <v>1</v>
          </cell>
          <cell r="F276">
            <v>45410</v>
          </cell>
          <cell r="G276">
            <v>0.83333333333333337</v>
          </cell>
          <cell r="H276">
            <v>45411</v>
          </cell>
          <cell r="I276">
            <v>45414</v>
          </cell>
          <cell r="J276">
            <v>9767032422</v>
          </cell>
          <cell r="L276">
            <v>3</v>
          </cell>
          <cell r="M276">
            <v>2</v>
          </cell>
          <cell r="N276">
            <v>2</v>
          </cell>
          <cell r="O276">
            <v>2</v>
          </cell>
          <cell r="P276">
            <v>2</v>
          </cell>
          <cell r="Q276">
            <v>2</v>
          </cell>
          <cell r="R276">
            <v>2</v>
          </cell>
          <cell r="S276">
            <v>1</v>
          </cell>
          <cell r="T276">
            <v>1</v>
          </cell>
          <cell r="U276">
            <v>2</v>
          </cell>
          <cell r="V276" t="str">
            <v>PARKINSONS DISEASE</v>
          </cell>
          <cell r="W276">
            <v>10.9</v>
          </cell>
          <cell r="X276">
            <v>33.200000000000003</v>
          </cell>
          <cell r="Y276">
            <v>86.9</v>
          </cell>
          <cell r="Z276">
            <v>11.95</v>
          </cell>
          <cell r="AA276">
            <v>6</v>
          </cell>
          <cell r="AB276">
            <v>122</v>
          </cell>
          <cell r="AC276">
            <v>74</v>
          </cell>
          <cell r="AD276">
            <v>37</v>
          </cell>
          <cell r="AE276">
            <v>11</v>
          </cell>
          <cell r="AF276">
            <v>55</v>
          </cell>
          <cell r="AG276">
            <v>401</v>
          </cell>
          <cell r="AJ276" t="str">
            <v>RT PCA-MCA WATERSHED INFARCT, OLD GLIOSIS LEFT PCA MCA WATERSHED INFARCT</v>
          </cell>
          <cell r="AK276" t="str">
            <v>SMALL CALCIFIC PLAQUES SEEN IN CAROTIDS AT THE BIFURCATION WITHOUT SIGNIFICANT STENOSIS. LEFT MCA PAUCITY OF DISTAL BRANCHES</v>
          </cell>
          <cell r="AM276">
            <v>9</v>
          </cell>
          <cell r="AN276">
            <v>1</v>
          </cell>
          <cell r="AO276">
            <v>2</v>
          </cell>
          <cell r="AP276">
            <v>3</v>
          </cell>
          <cell r="AQ276">
            <v>4</v>
          </cell>
          <cell r="AS276">
            <v>1</v>
          </cell>
          <cell r="AT276">
            <v>1</v>
          </cell>
          <cell r="AU276">
            <v>2</v>
          </cell>
          <cell r="AZ276">
            <v>0</v>
          </cell>
          <cell r="BA276">
            <v>95</v>
          </cell>
        </row>
        <row r="277">
          <cell r="A277" t="str">
            <v>Kshirsagar Utkarsh 2</v>
          </cell>
          <cell r="C277">
            <v>240000040622</v>
          </cell>
          <cell r="D277">
            <v>33</v>
          </cell>
          <cell r="E277">
            <v>1</v>
          </cell>
          <cell r="F277">
            <v>45422</v>
          </cell>
          <cell r="G277">
            <v>0.33333333333333331</v>
          </cell>
          <cell r="H277">
            <v>45422</v>
          </cell>
          <cell r="I277">
            <v>45427</v>
          </cell>
          <cell r="J277">
            <v>7387900224</v>
          </cell>
          <cell r="L277">
            <v>2</v>
          </cell>
          <cell r="M277">
            <v>2</v>
          </cell>
          <cell r="N277">
            <v>2</v>
          </cell>
          <cell r="O277">
            <v>1</v>
          </cell>
          <cell r="P277">
            <v>1</v>
          </cell>
          <cell r="Q277">
            <v>2</v>
          </cell>
          <cell r="R277">
            <v>2</v>
          </cell>
          <cell r="S277">
            <v>2</v>
          </cell>
          <cell r="T277">
            <v>2</v>
          </cell>
          <cell r="U277">
            <v>2</v>
          </cell>
          <cell r="V277" t="str">
            <v>PAST H/O OF STRKE 1 WEEK AGO WITH ICA FLOOTING THROMBUS</v>
          </cell>
          <cell r="W277">
            <v>12.6</v>
          </cell>
          <cell r="X277">
            <v>37.299999999999997</v>
          </cell>
          <cell r="Y277">
            <v>107.2</v>
          </cell>
          <cell r="AJ277" t="str">
            <v>LEFT MCA INFERIOR DIVISION INFARCT</v>
          </cell>
          <cell r="AK277" t="str">
            <v xml:space="preserve">LEFT MCA M3 OCCLUSION DUE TO THROMBUS. FLOATING THROMBUS HAS DISAPPERED. LEFT ICA SMALL PLAQUE &lt; 30% CAUSING OCCLUSION </v>
          </cell>
          <cell r="AM277">
            <v>9</v>
          </cell>
          <cell r="AN277">
            <v>1</v>
          </cell>
          <cell r="AO277">
            <v>5</v>
          </cell>
          <cell r="AP277">
            <v>3</v>
          </cell>
          <cell r="AQ277">
            <v>5</v>
          </cell>
          <cell r="AS277">
            <v>1</v>
          </cell>
          <cell r="AT277">
            <v>2</v>
          </cell>
          <cell r="AU277">
            <v>1</v>
          </cell>
          <cell r="AV277">
            <v>1</v>
          </cell>
          <cell r="AZ277">
            <v>0</v>
          </cell>
          <cell r="BA277">
            <v>100</v>
          </cell>
        </row>
        <row r="278">
          <cell r="A278" t="str">
            <v>Kshirsagar Utkarsh 1</v>
          </cell>
          <cell r="C278">
            <v>240000040622</v>
          </cell>
          <cell r="D278">
            <v>35</v>
          </cell>
          <cell r="E278">
            <v>1</v>
          </cell>
          <cell r="F278">
            <v>45417</v>
          </cell>
          <cell r="G278">
            <v>0.77083333333333337</v>
          </cell>
          <cell r="H278">
            <v>45417</v>
          </cell>
          <cell r="J278">
            <v>7387900224</v>
          </cell>
          <cell r="L278">
            <v>1</v>
          </cell>
          <cell r="M278">
            <v>2</v>
          </cell>
          <cell r="N278">
            <v>2</v>
          </cell>
          <cell r="O278">
            <v>1</v>
          </cell>
          <cell r="P278">
            <v>2</v>
          </cell>
          <cell r="Q278">
            <v>1</v>
          </cell>
          <cell r="R278">
            <v>2</v>
          </cell>
          <cell r="S278">
            <v>2</v>
          </cell>
          <cell r="T278">
            <v>2</v>
          </cell>
          <cell r="U278">
            <v>2</v>
          </cell>
          <cell r="W278">
            <v>11.6</v>
          </cell>
          <cell r="X278">
            <v>33.299999999999997</v>
          </cell>
          <cell r="Y278">
            <v>107.1</v>
          </cell>
          <cell r="Z278">
            <v>130.54</v>
          </cell>
          <cell r="AA278">
            <v>4.8</v>
          </cell>
          <cell r="AB278">
            <v>136</v>
          </cell>
          <cell r="AC278">
            <v>95.6</v>
          </cell>
          <cell r="AD278">
            <v>27</v>
          </cell>
          <cell r="AE278">
            <v>13.4</v>
          </cell>
          <cell r="AF278">
            <v>67</v>
          </cell>
          <cell r="AG278">
            <v>373</v>
          </cell>
          <cell r="AJ278" t="str">
            <v>LEFT ACA INFARCT</v>
          </cell>
          <cell r="AK278" t="str">
            <v xml:space="preserve">LEFT CCA PLAQUE CAUSING 30-40%  STENOSIS WITH FREE FLOATING AND LEFT ACA TANDEM OCCLUSION. </v>
          </cell>
          <cell r="AM278">
            <v>10</v>
          </cell>
          <cell r="AN278">
            <v>1</v>
          </cell>
          <cell r="AO278">
            <v>3</v>
          </cell>
          <cell r="AP278">
            <v>3</v>
          </cell>
          <cell r="AQ278">
            <v>5</v>
          </cell>
          <cell r="AS278">
            <v>1</v>
          </cell>
          <cell r="AT278">
            <v>1</v>
          </cell>
          <cell r="AU278">
            <v>2</v>
          </cell>
          <cell r="AZ278">
            <v>0</v>
          </cell>
          <cell r="BA278">
            <v>100</v>
          </cell>
        </row>
        <row r="279">
          <cell r="A279" t="str">
            <v>sambhaji Wavare</v>
          </cell>
          <cell r="C279">
            <v>240000058594</v>
          </cell>
          <cell r="D279">
            <v>48</v>
          </cell>
          <cell r="E279">
            <v>1</v>
          </cell>
          <cell r="F279">
            <v>45477</v>
          </cell>
          <cell r="G279">
            <v>0.47916666666666669</v>
          </cell>
          <cell r="H279">
            <v>45478</v>
          </cell>
          <cell r="I279">
            <v>45479</v>
          </cell>
          <cell r="J279">
            <v>7249567458</v>
          </cell>
          <cell r="K279">
            <v>7709499969</v>
          </cell>
          <cell r="L279">
            <v>6</v>
          </cell>
          <cell r="M279">
            <v>1</v>
          </cell>
          <cell r="N279">
            <v>2</v>
          </cell>
          <cell r="O279">
            <v>2</v>
          </cell>
          <cell r="P279">
            <v>2</v>
          </cell>
          <cell r="Q279">
            <v>2</v>
          </cell>
          <cell r="R279">
            <v>2</v>
          </cell>
          <cell r="S279">
            <v>2</v>
          </cell>
          <cell r="T279">
            <v>2</v>
          </cell>
          <cell r="U279">
            <v>2</v>
          </cell>
          <cell r="W279">
            <v>13</v>
          </cell>
          <cell r="Z279">
            <v>17.5</v>
          </cell>
          <cell r="AB279">
            <v>198</v>
          </cell>
          <cell r="AC279">
            <v>142</v>
          </cell>
          <cell r="AD279">
            <v>34</v>
          </cell>
          <cell r="AE279">
            <v>21.4</v>
          </cell>
          <cell r="AF279">
            <v>107</v>
          </cell>
          <cell r="AG279">
            <v>320</v>
          </cell>
          <cell r="AJ279" t="str">
            <v>Right PLIC and corona radiata infarct</v>
          </cell>
          <cell r="AK279" t="str">
            <v>normal</v>
          </cell>
          <cell r="AM279">
            <v>10</v>
          </cell>
          <cell r="AN279">
            <v>1</v>
          </cell>
          <cell r="AO279">
            <v>5</v>
          </cell>
          <cell r="AP279">
            <v>3</v>
          </cell>
          <cell r="AQ279">
            <v>5</v>
          </cell>
          <cell r="AS279">
            <v>1</v>
          </cell>
          <cell r="AT279">
            <v>1</v>
          </cell>
          <cell r="AU279">
            <v>2</v>
          </cell>
          <cell r="AZ279">
            <v>0</v>
          </cell>
          <cell r="BA279">
            <v>100</v>
          </cell>
        </row>
        <row r="280">
          <cell r="A280" t="str">
            <v>Shinde Genu Bappu</v>
          </cell>
          <cell r="C280">
            <v>240000061390</v>
          </cell>
          <cell r="D280">
            <v>58</v>
          </cell>
          <cell r="E280">
            <v>1</v>
          </cell>
          <cell r="F280">
            <v>45487</v>
          </cell>
          <cell r="G280">
            <v>0.41666666666666669</v>
          </cell>
          <cell r="H280">
            <v>45487</v>
          </cell>
          <cell r="J280">
            <v>9832956169</v>
          </cell>
          <cell r="L280">
            <v>2</v>
          </cell>
          <cell r="M280">
            <v>1</v>
          </cell>
          <cell r="N280">
            <v>2</v>
          </cell>
          <cell r="O280">
            <v>2</v>
          </cell>
          <cell r="P280">
            <v>2</v>
          </cell>
          <cell r="Q280">
            <v>1</v>
          </cell>
          <cell r="R280">
            <v>2</v>
          </cell>
          <cell r="S280">
            <v>2</v>
          </cell>
          <cell r="T280">
            <v>2</v>
          </cell>
          <cell r="U280">
            <v>2</v>
          </cell>
          <cell r="V280" t="str">
            <v>OPD case</v>
          </cell>
          <cell r="AJ280" t="str">
            <v>Right centrum semiovale infarct</v>
          </cell>
          <cell r="AK280" t="str">
            <v>normal</v>
          </cell>
          <cell r="AM280">
            <v>10</v>
          </cell>
          <cell r="AN280">
            <v>1</v>
          </cell>
          <cell r="AO280">
            <v>5</v>
          </cell>
          <cell r="AP280">
            <v>3</v>
          </cell>
          <cell r="AQ280">
            <v>5</v>
          </cell>
          <cell r="AS280">
            <v>1</v>
          </cell>
          <cell r="AT280">
            <v>1</v>
          </cell>
          <cell r="AU280">
            <v>2</v>
          </cell>
          <cell r="AZ280">
            <v>0</v>
          </cell>
          <cell r="BA280">
            <v>100</v>
          </cell>
        </row>
        <row r="281">
          <cell r="A281" t="str">
            <v>Keshavbai Shinde</v>
          </cell>
          <cell r="C281">
            <v>240000059976</v>
          </cell>
          <cell r="D281">
            <v>50</v>
          </cell>
          <cell r="E281">
            <v>2</v>
          </cell>
          <cell r="F281">
            <v>45483</v>
          </cell>
          <cell r="G281">
            <v>0.28125</v>
          </cell>
          <cell r="H281">
            <v>45483</v>
          </cell>
          <cell r="J281">
            <v>9096343363</v>
          </cell>
          <cell r="L281">
            <v>3</v>
          </cell>
          <cell r="M281">
            <v>2</v>
          </cell>
          <cell r="N281">
            <v>2</v>
          </cell>
          <cell r="O281">
            <v>2</v>
          </cell>
          <cell r="P281">
            <v>2</v>
          </cell>
          <cell r="Q281">
            <v>1</v>
          </cell>
          <cell r="R281">
            <v>2</v>
          </cell>
          <cell r="S281">
            <v>2</v>
          </cell>
          <cell r="T281">
            <v>2</v>
          </cell>
          <cell r="U281">
            <v>2</v>
          </cell>
          <cell r="W281">
            <v>13.2</v>
          </cell>
          <cell r="X281">
            <v>40.299999999999997</v>
          </cell>
          <cell r="Y281">
            <v>76.5</v>
          </cell>
          <cell r="Z281">
            <v>7.35</v>
          </cell>
          <cell r="AA281">
            <v>5.8</v>
          </cell>
          <cell r="AB281">
            <v>173</v>
          </cell>
          <cell r="AC281">
            <v>102.8</v>
          </cell>
          <cell r="AD281">
            <v>39</v>
          </cell>
          <cell r="AE281">
            <v>31.2</v>
          </cell>
          <cell r="AF281">
            <v>156</v>
          </cell>
          <cell r="AG281">
            <v>1099</v>
          </cell>
          <cell r="AJ281" t="str">
            <v>left insular infarct</v>
          </cell>
          <cell r="AK281" t="str">
            <v>left ica occluded from origin (100%) and left M3 infarct</v>
          </cell>
          <cell r="AM281">
            <v>10</v>
          </cell>
          <cell r="AN281">
            <v>2</v>
          </cell>
          <cell r="AO281">
            <v>2</v>
          </cell>
          <cell r="AP281">
            <v>1</v>
          </cell>
          <cell r="AQ281">
            <v>4</v>
          </cell>
          <cell r="AS281">
            <v>1</v>
          </cell>
          <cell r="AT281">
            <v>1</v>
          </cell>
          <cell r="AU281">
            <v>2</v>
          </cell>
          <cell r="AZ281">
            <v>0</v>
          </cell>
          <cell r="BA281">
            <v>100</v>
          </cell>
        </row>
        <row r="282">
          <cell r="A282" t="str">
            <v>Shinde Suman</v>
          </cell>
          <cell r="C282">
            <v>240000059229</v>
          </cell>
          <cell r="D282">
            <v>65</v>
          </cell>
          <cell r="E282">
            <v>2</v>
          </cell>
          <cell r="F282">
            <v>45480</v>
          </cell>
          <cell r="G282">
            <v>0.90625</v>
          </cell>
          <cell r="H282">
            <v>45480</v>
          </cell>
          <cell r="J282">
            <v>9096181488</v>
          </cell>
          <cell r="L282">
            <v>6</v>
          </cell>
          <cell r="M282">
            <v>2</v>
          </cell>
          <cell r="N282">
            <v>2</v>
          </cell>
          <cell r="O282">
            <v>2</v>
          </cell>
          <cell r="P282">
            <v>2</v>
          </cell>
          <cell r="Q282">
            <v>1</v>
          </cell>
          <cell r="R282">
            <v>2</v>
          </cell>
          <cell r="S282">
            <v>1</v>
          </cell>
          <cell r="T282">
            <v>2</v>
          </cell>
          <cell r="U282">
            <v>2</v>
          </cell>
          <cell r="W282">
            <v>12.3</v>
          </cell>
          <cell r="X282">
            <v>37.200000000000003</v>
          </cell>
          <cell r="Y282">
            <v>92.4</v>
          </cell>
          <cell r="Z282">
            <v>10.210000000000001</v>
          </cell>
          <cell r="AG282">
            <v>2000</v>
          </cell>
          <cell r="AJ282" t="str">
            <v>acute infarct Rt superior &amp; middle frontal gyrus</v>
          </cell>
          <cell r="AK282" t="str">
            <v>mild left M1 stenosis rt normal</v>
          </cell>
          <cell r="AM282">
            <v>10</v>
          </cell>
          <cell r="AN282">
            <v>1</v>
          </cell>
          <cell r="AO282">
            <v>3</v>
          </cell>
          <cell r="AP282">
            <v>3</v>
          </cell>
          <cell r="AQ282">
            <v>4</v>
          </cell>
          <cell r="AS282">
            <v>1</v>
          </cell>
          <cell r="AT282">
            <v>2</v>
          </cell>
          <cell r="AU282">
            <v>1</v>
          </cell>
          <cell r="AV282">
            <v>2</v>
          </cell>
          <cell r="AZ282">
            <v>0</v>
          </cell>
          <cell r="BA282">
            <v>100</v>
          </cell>
        </row>
        <row r="283">
          <cell r="A283" t="str">
            <v>Achitrao Gaikwad</v>
          </cell>
          <cell r="C283">
            <v>240000046877</v>
          </cell>
          <cell r="D283">
            <v>63</v>
          </cell>
          <cell r="E283">
            <v>1</v>
          </cell>
          <cell r="F283">
            <v>45478</v>
          </cell>
          <cell r="G283">
            <v>0</v>
          </cell>
          <cell r="H283">
            <v>45478</v>
          </cell>
          <cell r="I283">
            <v>45479</v>
          </cell>
          <cell r="J283">
            <v>9881472683</v>
          </cell>
          <cell r="L283">
            <v>1</v>
          </cell>
          <cell r="M283">
            <v>1</v>
          </cell>
          <cell r="N283">
            <v>2</v>
          </cell>
          <cell r="O283">
            <v>2</v>
          </cell>
          <cell r="P283">
            <v>2</v>
          </cell>
          <cell r="Q283">
            <v>2</v>
          </cell>
          <cell r="R283">
            <v>2</v>
          </cell>
          <cell r="S283">
            <v>2</v>
          </cell>
          <cell r="T283">
            <v>2</v>
          </cell>
          <cell r="U283">
            <v>2</v>
          </cell>
          <cell r="W283">
            <v>13.8</v>
          </cell>
          <cell r="X283">
            <v>43.2</v>
          </cell>
          <cell r="Y283">
            <v>83.9</v>
          </cell>
          <cell r="Z283">
            <v>23.18</v>
          </cell>
          <cell r="AB283">
            <v>191</v>
          </cell>
          <cell r="AC283">
            <v>123.4</v>
          </cell>
          <cell r="AD283">
            <v>37</v>
          </cell>
          <cell r="AE283">
            <v>30.6</v>
          </cell>
          <cell r="AF283">
            <v>153</v>
          </cell>
          <cell r="AG283">
            <v>170</v>
          </cell>
          <cell r="AK283" t="str">
            <v>left parieto occipital and splenium corpus calloral infarct</v>
          </cell>
          <cell r="AM283">
            <v>9</v>
          </cell>
          <cell r="AN283">
            <v>1</v>
          </cell>
          <cell r="AO283">
            <v>5</v>
          </cell>
          <cell r="AP283">
            <v>3</v>
          </cell>
          <cell r="AQ283">
            <v>5</v>
          </cell>
          <cell r="AS283">
            <v>1</v>
          </cell>
          <cell r="AT283">
            <v>1</v>
          </cell>
          <cell r="AU283">
            <v>2</v>
          </cell>
          <cell r="AZ283">
            <v>0</v>
          </cell>
          <cell r="BA283">
            <v>100</v>
          </cell>
        </row>
        <row r="284">
          <cell r="A284" t="str">
            <v>Sunil Dhane</v>
          </cell>
          <cell r="C284">
            <v>240000059246</v>
          </cell>
          <cell r="D284">
            <v>50</v>
          </cell>
          <cell r="E284">
            <v>1</v>
          </cell>
          <cell r="F284">
            <v>45481</v>
          </cell>
          <cell r="G284">
            <v>0.16666666666666666</v>
          </cell>
          <cell r="H284">
            <v>45481</v>
          </cell>
          <cell r="J284">
            <v>9922075213</v>
          </cell>
          <cell r="L284">
            <v>17</v>
          </cell>
          <cell r="M284">
            <v>2</v>
          </cell>
          <cell r="N284">
            <v>2</v>
          </cell>
          <cell r="O284">
            <v>1</v>
          </cell>
          <cell r="P284">
            <v>2</v>
          </cell>
          <cell r="Q284">
            <v>2</v>
          </cell>
          <cell r="R284">
            <v>2</v>
          </cell>
          <cell r="S284">
            <v>2</v>
          </cell>
          <cell r="T284">
            <v>2</v>
          </cell>
          <cell r="U284">
            <v>2</v>
          </cell>
          <cell r="V284" t="str">
            <v xml:space="preserve">metastatic Ca stomach. march 2024 signet cell cavernoma </v>
          </cell>
          <cell r="W284">
            <v>12.1</v>
          </cell>
          <cell r="X284">
            <v>35.200000000000003</v>
          </cell>
          <cell r="Y284">
            <v>95.6</v>
          </cell>
          <cell r="Z284">
            <v>16.89</v>
          </cell>
          <cell r="AB284">
            <v>193</v>
          </cell>
          <cell r="AC284">
            <v>132.19999999999999</v>
          </cell>
          <cell r="AD284">
            <v>40</v>
          </cell>
          <cell r="AE284">
            <v>20.8</v>
          </cell>
          <cell r="AF284">
            <v>104</v>
          </cell>
          <cell r="AJ284" t="str">
            <v>left distal MCA infarct</v>
          </cell>
          <cell r="AK284" t="str">
            <v xml:space="preserve">left m2 distal thrombus </v>
          </cell>
          <cell r="AM284">
            <v>8</v>
          </cell>
          <cell r="AN284">
            <v>1</v>
          </cell>
          <cell r="AO284">
            <v>3</v>
          </cell>
          <cell r="AP284">
            <v>2</v>
          </cell>
          <cell r="AQ284">
            <v>5</v>
          </cell>
          <cell r="AS284">
            <v>1</v>
          </cell>
          <cell r="AT284">
            <v>1</v>
          </cell>
          <cell r="AU284">
            <v>2</v>
          </cell>
          <cell r="AZ284">
            <v>1</v>
          </cell>
          <cell r="BA284">
            <v>90</v>
          </cell>
        </row>
        <row r="285">
          <cell r="A285" t="str">
            <v>Naik Rajendra</v>
          </cell>
          <cell r="C285">
            <v>240000057501</v>
          </cell>
          <cell r="D285">
            <v>48</v>
          </cell>
          <cell r="E285">
            <v>1</v>
          </cell>
          <cell r="F285">
            <v>45474</v>
          </cell>
          <cell r="G285">
            <v>0.70833333333333337</v>
          </cell>
          <cell r="H285">
            <v>45475</v>
          </cell>
          <cell r="I285">
            <v>45477</v>
          </cell>
          <cell r="J285">
            <v>9850081577</v>
          </cell>
          <cell r="L285">
            <v>0</v>
          </cell>
          <cell r="M285">
            <v>1</v>
          </cell>
          <cell r="N285">
            <v>2</v>
          </cell>
          <cell r="O285">
            <v>1</v>
          </cell>
          <cell r="P285">
            <v>1</v>
          </cell>
          <cell r="Q285">
            <v>2</v>
          </cell>
          <cell r="R285">
            <v>2</v>
          </cell>
          <cell r="S285">
            <v>2</v>
          </cell>
          <cell r="T285">
            <v>2</v>
          </cell>
          <cell r="U285">
            <v>2</v>
          </cell>
          <cell r="W285">
            <v>17.399999999999999</v>
          </cell>
          <cell r="X285">
            <v>50.8</v>
          </cell>
          <cell r="Y285">
            <v>107.3</v>
          </cell>
          <cell r="Z285">
            <v>50</v>
          </cell>
          <cell r="AA285">
            <v>5</v>
          </cell>
          <cell r="AB285">
            <v>193</v>
          </cell>
          <cell r="AC285">
            <v>107.2</v>
          </cell>
          <cell r="AD285">
            <v>39</v>
          </cell>
          <cell r="AE285">
            <v>46.8</v>
          </cell>
          <cell r="AF285">
            <v>234</v>
          </cell>
          <cell r="AJ285" t="str">
            <v>Tiny left pre central gyrus</v>
          </cell>
          <cell r="AK285" t="str">
            <v xml:space="preserve">normal. </v>
          </cell>
          <cell r="AM285">
            <v>9</v>
          </cell>
          <cell r="AN285">
            <v>1</v>
          </cell>
          <cell r="AO285">
            <v>4</v>
          </cell>
          <cell r="AP285">
            <v>3</v>
          </cell>
          <cell r="AQ285">
            <v>5</v>
          </cell>
          <cell r="AS285">
            <v>1</v>
          </cell>
          <cell r="AT285">
            <v>1</v>
          </cell>
          <cell r="AU285">
            <v>2</v>
          </cell>
          <cell r="AZ285">
            <v>0</v>
          </cell>
          <cell r="BA285">
            <v>100</v>
          </cell>
        </row>
        <row r="286">
          <cell r="A286" t="str">
            <v>Dubey Anjali</v>
          </cell>
          <cell r="C286">
            <v>240000057513</v>
          </cell>
          <cell r="D286">
            <v>24</v>
          </cell>
          <cell r="E286">
            <v>2</v>
          </cell>
          <cell r="F286">
            <v>45475</v>
          </cell>
          <cell r="G286">
            <v>6.5972222222222224E-2</v>
          </cell>
          <cell r="H286">
            <v>45475</v>
          </cell>
          <cell r="I286">
            <v>45480</v>
          </cell>
          <cell r="J286">
            <v>8855997524</v>
          </cell>
          <cell r="L286">
            <v>5</v>
          </cell>
          <cell r="M286">
            <v>1</v>
          </cell>
          <cell r="N286">
            <v>2</v>
          </cell>
          <cell r="O286">
            <v>2</v>
          </cell>
          <cell r="P286">
            <v>2</v>
          </cell>
          <cell r="Q286">
            <v>2</v>
          </cell>
          <cell r="R286">
            <v>2</v>
          </cell>
          <cell r="S286">
            <v>2</v>
          </cell>
          <cell r="T286">
            <v>2</v>
          </cell>
          <cell r="U286">
            <v>2</v>
          </cell>
          <cell r="V286" t="str">
            <v>old cva- rt pca mca infarct</v>
          </cell>
          <cell r="W286">
            <v>14.4</v>
          </cell>
          <cell r="X286">
            <v>42.6</v>
          </cell>
          <cell r="Y286">
            <v>89.9</v>
          </cell>
          <cell r="Z286">
            <v>7.87</v>
          </cell>
          <cell r="AA286">
            <v>5.2</v>
          </cell>
          <cell r="AB286">
            <v>207</v>
          </cell>
          <cell r="AC286">
            <v>126.8</v>
          </cell>
          <cell r="AD286">
            <v>39</v>
          </cell>
          <cell r="AE286">
            <v>41.2</v>
          </cell>
          <cell r="AF286">
            <v>206</v>
          </cell>
          <cell r="AG286">
            <v>369</v>
          </cell>
          <cell r="AJ286" t="str">
            <v>right mca infarct</v>
          </cell>
          <cell r="AK286" t="str">
            <v>rt mca superior devision occlusion</v>
          </cell>
          <cell r="AM286">
            <v>8</v>
          </cell>
          <cell r="AN286">
            <v>1</v>
          </cell>
          <cell r="AO286">
            <v>4</v>
          </cell>
          <cell r="AP286">
            <v>3</v>
          </cell>
          <cell r="AQ286">
            <v>5</v>
          </cell>
          <cell r="AS286">
            <v>1</v>
          </cell>
          <cell r="AT286">
            <v>1</v>
          </cell>
          <cell r="AU286">
            <v>2</v>
          </cell>
          <cell r="AZ286">
            <v>0</v>
          </cell>
          <cell r="BA286">
            <v>100</v>
          </cell>
        </row>
        <row r="287">
          <cell r="A287" t="str">
            <v>chavan shivaji</v>
          </cell>
          <cell r="C287">
            <v>240000056670</v>
          </cell>
          <cell r="E287">
            <v>1</v>
          </cell>
          <cell r="F287">
            <v>45471</v>
          </cell>
          <cell r="G287">
            <v>0.5</v>
          </cell>
          <cell r="H287">
            <v>45471</v>
          </cell>
          <cell r="I287">
            <v>45474</v>
          </cell>
          <cell r="J287">
            <v>9763443333</v>
          </cell>
          <cell r="L287">
            <v>8</v>
          </cell>
          <cell r="M287">
            <v>1</v>
          </cell>
          <cell r="N287">
            <v>1</v>
          </cell>
          <cell r="O287">
            <v>2</v>
          </cell>
          <cell r="P287">
            <v>2</v>
          </cell>
          <cell r="Q287">
            <v>2</v>
          </cell>
          <cell r="R287">
            <v>2</v>
          </cell>
          <cell r="S287">
            <v>2</v>
          </cell>
          <cell r="T287">
            <v>2</v>
          </cell>
          <cell r="U287">
            <v>2</v>
          </cell>
          <cell r="W287">
            <v>11.4</v>
          </cell>
          <cell r="X287">
            <v>36.700000000000003</v>
          </cell>
          <cell r="Y287">
            <v>63.4</v>
          </cell>
          <cell r="Z287">
            <v>8.7100000000000009</v>
          </cell>
          <cell r="AA287">
            <v>10.4</v>
          </cell>
          <cell r="AB287">
            <v>86</v>
          </cell>
          <cell r="AC287">
            <v>35.4</v>
          </cell>
          <cell r="AD287">
            <v>24</v>
          </cell>
          <cell r="AE287">
            <v>26.6</v>
          </cell>
          <cell r="AF287">
            <v>133</v>
          </cell>
          <cell r="AG287">
            <v>519</v>
          </cell>
          <cell r="AJ287" t="str">
            <v>left corona radiata infarct and posterior limb of internal capsule</v>
          </cell>
          <cell r="AK287" t="str">
            <v>left m2 distal stenosis</v>
          </cell>
          <cell r="AS287">
            <v>1</v>
          </cell>
          <cell r="AT287">
            <v>1</v>
          </cell>
          <cell r="AU287">
            <v>2</v>
          </cell>
        </row>
        <row r="288">
          <cell r="A288" t="str">
            <v>parvati saste</v>
          </cell>
          <cell r="C288">
            <v>240000055967</v>
          </cell>
          <cell r="E288">
            <v>2</v>
          </cell>
          <cell r="F288">
            <v>45468</v>
          </cell>
          <cell r="G288">
            <v>0.47916666666666669</v>
          </cell>
          <cell r="H288">
            <v>45469</v>
          </cell>
          <cell r="I288">
            <v>45472</v>
          </cell>
          <cell r="J288">
            <v>9881968945</v>
          </cell>
          <cell r="L288">
            <v>21</v>
          </cell>
          <cell r="M288">
            <v>2</v>
          </cell>
          <cell r="N288">
            <v>2</v>
          </cell>
          <cell r="O288">
            <v>2</v>
          </cell>
          <cell r="P288">
            <v>2</v>
          </cell>
          <cell r="Q288">
            <v>2</v>
          </cell>
          <cell r="R288">
            <v>2</v>
          </cell>
          <cell r="S288">
            <v>1</v>
          </cell>
          <cell r="T288">
            <v>2</v>
          </cell>
          <cell r="U288">
            <v>1</v>
          </cell>
          <cell r="V288" t="str">
            <v>past history of 2 CVA 4, 8 yers ago</v>
          </cell>
          <cell r="W288">
            <v>14.4</v>
          </cell>
          <cell r="X288">
            <v>43</v>
          </cell>
          <cell r="Y288">
            <v>97.3</v>
          </cell>
          <cell r="AJ288" t="str">
            <v>Left MCA infarct with hemorrhagic transformtion and midline shift</v>
          </cell>
          <cell r="AK288" t="str">
            <v>Left distal M1 block</v>
          </cell>
          <cell r="AS288">
            <v>1</v>
          </cell>
          <cell r="AT288">
            <v>2</v>
          </cell>
          <cell r="AU288">
            <v>2</v>
          </cell>
        </row>
        <row r="289">
          <cell r="A289" t="str">
            <v>vidhate tanaji</v>
          </cell>
          <cell r="C289">
            <v>24000056684</v>
          </cell>
          <cell r="D289">
            <v>55</v>
          </cell>
          <cell r="E289">
            <v>1</v>
          </cell>
          <cell r="F289">
            <v>45470</v>
          </cell>
          <cell r="G289">
            <v>0.16666666666666666</v>
          </cell>
          <cell r="H289">
            <v>45471</v>
          </cell>
          <cell r="J289">
            <v>8262962259</v>
          </cell>
          <cell r="M289">
            <v>1</v>
          </cell>
          <cell r="N289">
            <v>1</v>
          </cell>
          <cell r="O289">
            <v>2</v>
          </cell>
          <cell r="P289">
            <v>2</v>
          </cell>
          <cell r="Q289">
            <v>2</v>
          </cell>
          <cell r="R289">
            <v>2</v>
          </cell>
          <cell r="S289">
            <v>2</v>
          </cell>
          <cell r="T289">
            <v>1</v>
          </cell>
          <cell r="U289">
            <v>2</v>
          </cell>
          <cell r="V289" t="str">
            <v>new onset AKI, past history of psoriasis</v>
          </cell>
          <cell r="W289">
            <v>12</v>
          </cell>
          <cell r="X289">
            <v>36.6</v>
          </cell>
          <cell r="Y289">
            <v>89.5</v>
          </cell>
          <cell r="Z289">
            <v>18.3</v>
          </cell>
          <cell r="AA289">
            <v>9.3000000000000007</v>
          </cell>
          <cell r="AG289">
            <v>2000</v>
          </cell>
          <cell r="AJ289" t="str">
            <v>outside, right MCA and ACA infarct</v>
          </cell>
        </row>
        <row r="290">
          <cell r="A290" t="str">
            <v>vijay bhilane</v>
          </cell>
          <cell r="C290">
            <v>240000057703</v>
          </cell>
          <cell r="D290">
            <v>71</v>
          </cell>
          <cell r="E290">
            <v>1</v>
          </cell>
          <cell r="F290">
            <v>45473</v>
          </cell>
          <cell r="G290">
            <v>0.33333333333333331</v>
          </cell>
          <cell r="J290">
            <v>9850850331</v>
          </cell>
          <cell r="L290">
            <v>2</v>
          </cell>
          <cell r="M290">
            <v>2</v>
          </cell>
          <cell r="N290">
            <v>2</v>
          </cell>
          <cell r="O290">
            <v>2</v>
          </cell>
          <cell r="P290">
            <v>1</v>
          </cell>
          <cell r="Q290">
            <v>2</v>
          </cell>
          <cell r="R290">
            <v>2</v>
          </cell>
          <cell r="S290">
            <v>2</v>
          </cell>
          <cell r="T290">
            <v>2</v>
          </cell>
          <cell r="U290">
            <v>2</v>
          </cell>
          <cell r="AJ290" t="str">
            <v>Left PCA-MCA watershed infarct</v>
          </cell>
          <cell r="AK290" t="str">
            <v>left ICA cavernous, supraclinoid and terminal segments severe luminal narrowing (&gt;90%)</v>
          </cell>
          <cell r="AZ290">
            <v>0</v>
          </cell>
          <cell r="BA290">
            <v>95</v>
          </cell>
        </row>
        <row r="291">
          <cell r="A291" t="str">
            <v>varsha pawar</v>
          </cell>
          <cell r="C291">
            <v>240000053520</v>
          </cell>
          <cell r="D291">
            <v>38</v>
          </cell>
          <cell r="E291">
            <v>2</v>
          </cell>
          <cell r="F291">
            <v>45462</v>
          </cell>
          <cell r="G291">
            <v>0.30208333333333331</v>
          </cell>
          <cell r="H291">
            <v>45462</v>
          </cell>
          <cell r="J291">
            <v>7666761395</v>
          </cell>
          <cell r="L291">
            <v>17</v>
          </cell>
          <cell r="M291">
            <v>2</v>
          </cell>
          <cell r="N291">
            <v>2</v>
          </cell>
          <cell r="O291">
            <v>2</v>
          </cell>
          <cell r="P291">
            <v>2</v>
          </cell>
          <cell r="Q291">
            <v>2</v>
          </cell>
          <cell r="R291">
            <v>2</v>
          </cell>
          <cell r="S291">
            <v>2</v>
          </cell>
          <cell r="T291">
            <v>2</v>
          </cell>
          <cell r="U291">
            <v>2</v>
          </cell>
          <cell r="V291" t="str">
            <v>congenital heart block 2020 pace maker inserterd</v>
          </cell>
          <cell r="W291">
            <v>12</v>
          </cell>
          <cell r="X291">
            <v>35.4</v>
          </cell>
          <cell r="Y291">
            <v>90</v>
          </cell>
          <cell r="Z291">
            <v>12.7</v>
          </cell>
          <cell r="AA291">
            <v>5.5</v>
          </cell>
          <cell r="AJ291" t="str">
            <v xml:space="preserve">Acute infarct left parieto-temporal and left insular cortex </v>
          </cell>
          <cell r="AK291" t="str">
            <v>Occlusion of left MCA superior division</v>
          </cell>
          <cell r="AS291">
            <v>1</v>
          </cell>
          <cell r="AT291">
            <v>2</v>
          </cell>
          <cell r="AU291">
            <v>1</v>
          </cell>
          <cell r="AV291">
            <v>2</v>
          </cell>
          <cell r="AW291">
            <v>2</v>
          </cell>
          <cell r="AX291">
            <v>2</v>
          </cell>
          <cell r="AY291">
            <v>2</v>
          </cell>
          <cell r="AZ291">
            <v>1</v>
          </cell>
          <cell r="BA291">
            <v>100</v>
          </cell>
        </row>
        <row r="292">
          <cell r="A292" t="str">
            <v>chandrabhagabai gite</v>
          </cell>
          <cell r="C292">
            <v>240000057100</v>
          </cell>
          <cell r="D292">
            <v>77</v>
          </cell>
          <cell r="E292">
            <v>2</v>
          </cell>
          <cell r="F292">
            <v>45472</v>
          </cell>
          <cell r="G292">
            <v>0.5</v>
          </cell>
          <cell r="H292">
            <v>45473</v>
          </cell>
          <cell r="I292">
            <v>45476</v>
          </cell>
          <cell r="J292">
            <v>9067454942</v>
          </cell>
          <cell r="L292">
            <v>1</v>
          </cell>
          <cell r="M292">
            <v>1</v>
          </cell>
          <cell r="N292">
            <v>1</v>
          </cell>
          <cell r="O292">
            <v>2</v>
          </cell>
          <cell r="P292">
            <v>2</v>
          </cell>
          <cell r="Q292">
            <v>2</v>
          </cell>
          <cell r="R292">
            <v>2</v>
          </cell>
          <cell r="S292">
            <v>2</v>
          </cell>
          <cell r="T292">
            <v>2</v>
          </cell>
          <cell r="U292">
            <v>2</v>
          </cell>
          <cell r="W292">
            <v>14</v>
          </cell>
          <cell r="X292">
            <v>42.4</v>
          </cell>
          <cell r="Y292">
            <v>88.9</v>
          </cell>
          <cell r="Z292">
            <v>15.9</v>
          </cell>
          <cell r="AA292">
            <v>10.4</v>
          </cell>
          <cell r="AB292">
            <v>250</v>
          </cell>
          <cell r="AC292">
            <v>126</v>
          </cell>
          <cell r="AD292">
            <v>37</v>
          </cell>
          <cell r="AE292">
            <v>87</v>
          </cell>
          <cell r="AF292">
            <v>435</v>
          </cell>
          <cell r="AJ292" t="str">
            <v>Right ACA MCA, MCA PCA and internal watershed infarct</v>
          </cell>
          <cell r="AK292" t="str">
            <v>Right ICA origin 90% stenosis and right M1 stenosis. Tandom occlusion</v>
          </cell>
          <cell r="AS292">
            <v>1</v>
          </cell>
          <cell r="AT292">
            <v>1</v>
          </cell>
          <cell r="AU292">
            <v>2</v>
          </cell>
          <cell r="AW292">
            <v>2</v>
          </cell>
          <cell r="AX292">
            <v>2</v>
          </cell>
          <cell r="AY292">
            <v>2</v>
          </cell>
          <cell r="AZ292">
            <v>0</v>
          </cell>
          <cell r="BA292">
            <v>100</v>
          </cell>
        </row>
        <row r="293">
          <cell r="A293" t="str">
            <v>maragaje malan</v>
          </cell>
          <cell r="C293">
            <v>240000056787</v>
          </cell>
          <cell r="D293">
            <v>70</v>
          </cell>
          <cell r="E293">
            <v>2</v>
          </cell>
          <cell r="F293">
            <v>45471</v>
          </cell>
          <cell r="G293">
            <v>0.77083333333333337</v>
          </cell>
          <cell r="H293">
            <v>45472</v>
          </cell>
          <cell r="I293">
            <v>45474</v>
          </cell>
          <cell r="L293">
            <v>0</v>
          </cell>
          <cell r="M293">
            <v>1</v>
          </cell>
          <cell r="N293">
            <v>2</v>
          </cell>
          <cell r="O293">
            <v>2</v>
          </cell>
          <cell r="P293">
            <v>2</v>
          </cell>
          <cell r="Q293">
            <v>1</v>
          </cell>
          <cell r="R293">
            <v>2</v>
          </cell>
          <cell r="S293">
            <v>2</v>
          </cell>
          <cell r="T293">
            <v>2</v>
          </cell>
          <cell r="U293">
            <v>2</v>
          </cell>
          <cell r="W293">
            <v>12.5</v>
          </cell>
          <cell r="X293">
            <v>38</v>
          </cell>
          <cell r="Y293">
            <v>84</v>
          </cell>
          <cell r="Z293">
            <v>20.7</v>
          </cell>
          <cell r="AA293">
            <v>6.1</v>
          </cell>
          <cell r="AB293">
            <v>193</v>
          </cell>
          <cell r="AC293">
            <v>115</v>
          </cell>
          <cell r="AD293">
            <v>38</v>
          </cell>
          <cell r="AE293">
            <v>39</v>
          </cell>
          <cell r="AF293">
            <v>196</v>
          </cell>
          <cell r="AG293">
            <v>169</v>
          </cell>
          <cell r="AJ293" t="str">
            <v>tiny lft frontal infarct</v>
          </cell>
          <cell r="AK293" t="str">
            <v>MRA left M1 stenosis</v>
          </cell>
          <cell r="AZ293">
            <v>0</v>
          </cell>
          <cell r="BA293">
            <v>95</v>
          </cell>
        </row>
        <row r="294">
          <cell r="A294" t="str">
            <v>Suresh Acharekar</v>
          </cell>
          <cell r="C294">
            <v>240000051745</v>
          </cell>
          <cell r="D294">
            <v>45</v>
          </cell>
          <cell r="E294">
            <v>1</v>
          </cell>
          <cell r="F294">
            <v>45455</v>
          </cell>
          <cell r="G294">
            <v>0.87152777777777779</v>
          </cell>
          <cell r="H294">
            <v>45455</v>
          </cell>
          <cell r="I294">
            <v>45472</v>
          </cell>
          <cell r="J294">
            <v>9764436141</v>
          </cell>
          <cell r="K294">
            <v>9960874913</v>
          </cell>
          <cell r="L294">
            <v>20</v>
          </cell>
          <cell r="M294">
            <v>1</v>
          </cell>
          <cell r="N294">
            <v>1</v>
          </cell>
          <cell r="O294">
            <v>2</v>
          </cell>
          <cell r="P294">
            <v>2</v>
          </cell>
          <cell r="Q294">
            <v>2</v>
          </cell>
          <cell r="R294">
            <v>2</v>
          </cell>
          <cell r="S294">
            <v>2</v>
          </cell>
          <cell r="T294">
            <v>2</v>
          </cell>
          <cell r="U294">
            <v>2</v>
          </cell>
          <cell r="V294" t="str">
            <v>rentinitis pigmentosa, B/L cataract, B/L SNHL since 10-12 yrs, Ushers syndrome, Farhs disease</v>
          </cell>
          <cell r="W294">
            <v>13.9</v>
          </cell>
          <cell r="X294">
            <v>43.1</v>
          </cell>
          <cell r="Y294">
            <v>91.6</v>
          </cell>
          <cell r="Z294">
            <v>12.63</v>
          </cell>
          <cell r="AA294">
            <v>13</v>
          </cell>
          <cell r="AB294">
            <v>193</v>
          </cell>
          <cell r="AC294">
            <v>124.6</v>
          </cell>
          <cell r="AD294">
            <v>39</v>
          </cell>
          <cell r="AE294">
            <v>29.4</v>
          </cell>
          <cell r="AF294">
            <v>147</v>
          </cell>
          <cell r="AG294">
            <v>192</v>
          </cell>
          <cell r="AJ294" t="str">
            <v>Right MCA infarct</v>
          </cell>
          <cell r="AK294" t="str">
            <v>Right M3 thrombus, Occlusion distal M1 segment of the right MCA</v>
          </cell>
          <cell r="AM294">
            <v>9</v>
          </cell>
          <cell r="AN294">
            <v>1</v>
          </cell>
          <cell r="AO294">
            <v>2</v>
          </cell>
          <cell r="AP294">
            <v>3</v>
          </cell>
          <cell r="AQ294">
            <v>5</v>
          </cell>
          <cell r="AS294">
            <v>1</v>
          </cell>
          <cell r="AT294">
            <v>2</v>
          </cell>
          <cell r="AU294">
            <v>1</v>
          </cell>
          <cell r="AV294">
            <v>1</v>
          </cell>
          <cell r="AZ294">
            <v>0</v>
          </cell>
          <cell r="BA294">
            <v>100</v>
          </cell>
        </row>
        <row r="295">
          <cell r="A295" t="str">
            <v>Nilesh Dhande</v>
          </cell>
          <cell r="C295">
            <v>240000049153</v>
          </cell>
          <cell r="D295">
            <v>46</v>
          </cell>
          <cell r="E295">
            <v>1</v>
          </cell>
          <cell r="F295">
            <v>45446</v>
          </cell>
          <cell r="G295">
            <v>0.3125</v>
          </cell>
          <cell r="H295">
            <v>45446</v>
          </cell>
          <cell r="I295">
            <v>45449</v>
          </cell>
          <cell r="J295">
            <v>9822757106</v>
          </cell>
          <cell r="L295">
            <v>3</v>
          </cell>
          <cell r="M295">
            <v>1</v>
          </cell>
          <cell r="N295">
            <v>2</v>
          </cell>
          <cell r="O295">
            <v>2</v>
          </cell>
          <cell r="P295">
            <v>2</v>
          </cell>
          <cell r="Q295">
            <v>2</v>
          </cell>
          <cell r="R295">
            <v>2</v>
          </cell>
          <cell r="S295">
            <v>2</v>
          </cell>
          <cell r="T295">
            <v>1</v>
          </cell>
          <cell r="U295">
            <v>2</v>
          </cell>
          <cell r="W295">
            <v>14.2</v>
          </cell>
          <cell r="X295">
            <v>43.9</v>
          </cell>
          <cell r="Y295">
            <v>82.6</v>
          </cell>
          <cell r="Z295">
            <v>9</v>
          </cell>
          <cell r="AA295">
            <v>5.5</v>
          </cell>
          <cell r="AB295">
            <v>161</v>
          </cell>
          <cell r="AC295">
            <v>88</v>
          </cell>
          <cell r="AD295">
            <v>46</v>
          </cell>
          <cell r="AE295">
            <v>26</v>
          </cell>
          <cell r="AF295">
            <v>132</v>
          </cell>
          <cell r="AJ295" t="str">
            <v>hypodensity seen in left temporo-partietal lobe, Lt MCA stroke with Left ICA terminal occlusion</v>
          </cell>
          <cell r="AK295" t="str">
            <v>Gyperintense signal with restricted diffusion seen in left temporo-parietal region, Moderate to severe narrowing of left thrombosis of left ICA</v>
          </cell>
          <cell r="AM295">
            <v>6</v>
          </cell>
          <cell r="AN295">
            <v>2</v>
          </cell>
          <cell r="AO295">
            <v>1</v>
          </cell>
          <cell r="AP295">
            <v>2</v>
          </cell>
          <cell r="AQ295">
            <v>2</v>
          </cell>
          <cell r="AS295">
            <v>1</v>
          </cell>
          <cell r="AT295">
            <v>1</v>
          </cell>
          <cell r="AU295">
            <v>2</v>
          </cell>
          <cell r="AZ295">
            <v>0</v>
          </cell>
          <cell r="BA295">
            <v>100</v>
          </cell>
        </row>
        <row r="296">
          <cell r="A296" t="str">
            <v>Prakash Deshmukh</v>
          </cell>
          <cell r="C296">
            <v>240000052028</v>
          </cell>
          <cell r="D296">
            <v>72</v>
          </cell>
          <cell r="E296">
            <v>1</v>
          </cell>
          <cell r="F296">
            <v>45456</v>
          </cell>
          <cell r="G296">
            <v>0.70833333333333337</v>
          </cell>
          <cell r="H296">
            <v>45456</v>
          </cell>
          <cell r="I296">
            <v>45468</v>
          </cell>
          <cell r="J296">
            <v>976684207</v>
          </cell>
          <cell r="L296">
            <v>22</v>
          </cell>
          <cell r="M296">
            <v>1</v>
          </cell>
          <cell r="N296">
            <v>1</v>
          </cell>
          <cell r="O296">
            <v>2</v>
          </cell>
          <cell r="P296">
            <v>2</v>
          </cell>
          <cell r="Q296">
            <v>2</v>
          </cell>
          <cell r="R296">
            <v>2</v>
          </cell>
          <cell r="S296">
            <v>2</v>
          </cell>
          <cell r="T296">
            <v>1</v>
          </cell>
          <cell r="U296">
            <v>2</v>
          </cell>
          <cell r="V296" t="str">
            <v>old stroke 2018</v>
          </cell>
          <cell r="W296">
            <v>14.5</v>
          </cell>
          <cell r="X296">
            <v>43.1</v>
          </cell>
          <cell r="Y296">
            <v>87.6</v>
          </cell>
          <cell r="Z296">
            <v>19.559999999999999</v>
          </cell>
          <cell r="AA296">
            <v>5.9</v>
          </cell>
          <cell r="AG296">
            <v>186</v>
          </cell>
          <cell r="AJ296" t="str">
            <v>left mca infarct</v>
          </cell>
          <cell r="AK296" t="str">
            <v>left ICA and MCA m1 occlusion paucity of cortical branches of left mca. Mild peripheral opacification of m2 segment &amp; superior devision of MCA</v>
          </cell>
          <cell r="AM296">
            <v>9</v>
          </cell>
          <cell r="AN296">
            <v>2</v>
          </cell>
          <cell r="AO296">
            <v>1</v>
          </cell>
          <cell r="AP296">
            <v>1</v>
          </cell>
          <cell r="AQ296">
            <v>4</v>
          </cell>
          <cell r="AS296">
            <v>1</v>
          </cell>
          <cell r="AT296">
            <v>2</v>
          </cell>
          <cell r="AU296">
            <v>1</v>
          </cell>
          <cell r="AV296">
            <v>2</v>
          </cell>
          <cell r="AX296">
            <v>1</v>
          </cell>
          <cell r="AZ296">
            <v>1</v>
          </cell>
          <cell r="BA296">
            <v>85</v>
          </cell>
        </row>
        <row r="297">
          <cell r="A297" t="str">
            <v>Madhukar Khangate</v>
          </cell>
          <cell r="C297">
            <v>240000050700</v>
          </cell>
          <cell r="D297">
            <v>82</v>
          </cell>
          <cell r="E297">
            <v>1</v>
          </cell>
          <cell r="F297">
            <v>45452</v>
          </cell>
          <cell r="G297">
            <v>0.41666666666666669</v>
          </cell>
          <cell r="H297">
            <v>45452</v>
          </cell>
          <cell r="I297">
            <v>45456</v>
          </cell>
          <cell r="J297">
            <v>7058587361</v>
          </cell>
          <cell r="L297">
            <v>22</v>
          </cell>
          <cell r="M297">
            <v>1</v>
          </cell>
          <cell r="N297">
            <v>1</v>
          </cell>
          <cell r="O297">
            <v>2</v>
          </cell>
          <cell r="P297">
            <v>2</v>
          </cell>
          <cell r="Q297">
            <v>2</v>
          </cell>
          <cell r="R297">
            <v>2</v>
          </cell>
          <cell r="S297">
            <v>2</v>
          </cell>
          <cell r="T297">
            <v>1</v>
          </cell>
          <cell r="U297">
            <v>2</v>
          </cell>
          <cell r="V297" t="str">
            <v>Hypothyroidism</v>
          </cell>
          <cell r="W297">
            <v>15.6</v>
          </cell>
          <cell r="X297">
            <v>45.9</v>
          </cell>
          <cell r="Y297">
            <v>89.4</v>
          </cell>
          <cell r="Z297">
            <v>9.93</v>
          </cell>
          <cell r="AA297">
            <v>8.1999999999999993</v>
          </cell>
          <cell r="AG297">
            <v>1335</v>
          </cell>
          <cell r="AJ297" t="str">
            <v>Hyperacute to acute NHI in left MCA and PCA territory</v>
          </cell>
          <cell r="AK297" t="str">
            <v>Complete opacification of left ICA at origin. Atherosclerotic plaques at origin of left segment of B/L ICA's. M1 segment of left MCA &amp; ACA show opacification. Minimal patchy contrast opacification of prominal P1 segment of left PCa</v>
          </cell>
          <cell r="AM297">
            <v>9</v>
          </cell>
          <cell r="AN297">
            <v>1</v>
          </cell>
          <cell r="AO297">
            <v>1</v>
          </cell>
          <cell r="AP297">
            <v>1</v>
          </cell>
          <cell r="AQ297">
            <v>1</v>
          </cell>
          <cell r="AS297">
            <v>1</v>
          </cell>
          <cell r="AT297">
            <v>2</v>
          </cell>
          <cell r="AU297">
            <v>1</v>
          </cell>
          <cell r="AV297">
            <v>2</v>
          </cell>
          <cell r="AZ297">
            <v>6</v>
          </cell>
          <cell r="BA297">
            <v>0</v>
          </cell>
        </row>
        <row r="298">
          <cell r="A298" t="str">
            <v>Dagadubai Walung</v>
          </cell>
          <cell r="C298">
            <v>240000035365</v>
          </cell>
          <cell r="D298">
            <v>77</v>
          </cell>
          <cell r="E298">
            <v>2</v>
          </cell>
          <cell r="F298">
            <v>45446</v>
          </cell>
          <cell r="G298">
            <v>0.625</v>
          </cell>
          <cell r="H298">
            <v>45447</v>
          </cell>
          <cell r="I298">
            <v>45468</v>
          </cell>
          <cell r="J298">
            <v>9422987475</v>
          </cell>
          <cell r="L298">
            <v>19</v>
          </cell>
          <cell r="M298">
            <v>1</v>
          </cell>
          <cell r="N298">
            <v>2</v>
          </cell>
          <cell r="O298">
            <v>1</v>
          </cell>
          <cell r="P298">
            <v>2</v>
          </cell>
          <cell r="Q298">
            <v>2</v>
          </cell>
          <cell r="R298">
            <v>2</v>
          </cell>
          <cell r="S298">
            <v>2</v>
          </cell>
          <cell r="T298">
            <v>2</v>
          </cell>
          <cell r="U298">
            <v>2</v>
          </cell>
          <cell r="V298" t="str">
            <v>old stroke</v>
          </cell>
          <cell r="W298">
            <v>11.9</v>
          </cell>
          <cell r="X298">
            <v>36</v>
          </cell>
          <cell r="Y298">
            <v>97.4</v>
          </cell>
          <cell r="AJ298" t="str">
            <v>left MCA infarct massive, Old left cerebellar infarct</v>
          </cell>
          <cell r="AK298" t="str">
            <v>left M1 occlusion B/L ICA non-occlusion plaques. rt vertebral artery hypoplastic</v>
          </cell>
          <cell r="AM298">
            <v>3</v>
          </cell>
          <cell r="AN298">
            <v>1</v>
          </cell>
          <cell r="AO298">
            <v>5</v>
          </cell>
          <cell r="AP298">
            <v>3</v>
          </cell>
          <cell r="AQ298">
            <v>5</v>
          </cell>
          <cell r="AS298">
            <v>1</v>
          </cell>
          <cell r="AT298">
            <v>2</v>
          </cell>
          <cell r="AU298">
            <v>2</v>
          </cell>
          <cell r="AW298">
            <v>1</v>
          </cell>
          <cell r="AZ298">
            <v>2</v>
          </cell>
          <cell r="BA298">
            <v>60</v>
          </cell>
        </row>
        <row r="299">
          <cell r="A299" t="str">
            <v xml:space="preserve">Poonam Mutha </v>
          </cell>
          <cell r="C299">
            <v>240000048799</v>
          </cell>
          <cell r="D299">
            <v>30</v>
          </cell>
          <cell r="E299">
            <v>2</v>
          </cell>
          <cell r="F299">
            <v>45445</v>
          </cell>
          <cell r="G299">
            <v>0.47916666666666669</v>
          </cell>
          <cell r="H299">
            <v>45445</v>
          </cell>
          <cell r="I299">
            <v>45468</v>
          </cell>
          <cell r="J299">
            <v>8978176840</v>
          </cell>
          <cell r="K299">
            <v>9096500162</v>
          </cell>
          <cell r="L299">
            <v>19</v>
          </cell>
          <cell r="M299">
            <v>2</v>
          </cell>
          <cell r="N299">
            <v>2</v>
          </cell>
          <cell r="O299">
            <v>2</v>
          </cell>
          <cell r="P299">
            <v>2</v>
          </cell>
          <cell r="Q299">
            <v>2</v>
          </cell>
          <cell r="R299">
            <v>2</v>
          </cell>
          <cell r="S299">
            <v>2</v>
          </cell>
          <cell r="T299">
            <v>2</v>
          </cell>
          <cell r="U299">
            <v>2</v>
          </cell>
          <cell r="W299">
            <v>10.3</v>
          </cell>
          <cell r="X299">
            <v>33.200000000000003</v>
          </cell>
          <cell r="Y299">
            <v>75.099999999999994</v>
          </cell>
          <cell r="Z299">
            <v>5.5</v>
          </cell>
          <cell r="AB299">
            <v>117</v>
          </cell>
          <cell r="AC299">
            <v>62.6</v>
          </cell>
          <cell r="AD299">
            <v>39</v>
          </cell>
          <cell r="AE299">
            <v>154</v>
          </cell>
          <cell r="AF299">
            <v>77</v>
          </cell>
          <cell r="AG299">
            <v>2000</v>
          </cell>
          <cell r="AJ299" t="str">
            <v>left superior division MCA infarct</v>
          </cell>
          <cell r="AK299" t="str">
            <v>left terminal ICA occlusion</v>
          </cell>
          <cell r="AM299">
            <v>6</v>
          </cell>
          <cell r="AN299">
            <v>2</v>
          </cell>
          <cell r="AO299">
            <v>2</v>
          </cell>
          <cell r="AP299">
            <v>3</v>
          </cell>
          <cell r="AQ299">
            <v>4</v>
          </cell>
          <cell r="AS299">
            <v>1</v>
          </cell>
          <cell r="AT299">
            <v>2</v>
          </cell>
          <cell r="AU299">
            <v>1</v>
          </cell>
          <cell r="AV299">
            <v>2</v>
          </cell>
          <cell r="AX299">
            <v>1</v>
          </cell>
          <cell r="AZ299">
            <v>4</v>
          </cell>
          <cell r="BA299">
            <v>35</v>
          </cell>
        </row>
        <row r="300">
          <cell r="A300" t="str">
            <v>Arun Rale</v>
          </cell>
          <cell r="C300">
            <v>240000057117</v>
          </cell>
          <cell r="D300">
            <v>63</v>
          </cell>
          <cell r="E300">
            <v>1</v>
          </cell>
          <cell r="F300">
            <v>45471</v>
          </cell>
          <cell r="G300">
            <v>0.83333333333333337</v>
          </cell>
          <cell r="H300">
            <v>45473</v>
          </cell>
          <cell r="I300">
            <v>45478</v>
          </cell>
          <cell r="J300">
            <v>7507603491</v>
          </cell>
          <cell r="L300">
            <v>14</v>
          </cell>
          <cell r="M300">
            <v>1</v>
          </cell>
          <cell r="N300">
            <v>2</v>
          </cell>
          <cell r="O300">
            <v>2</v>
          </cell>
          <cell r="P300">
            <v>2</v>
          </cell>
          <cell r="Q300">
            <v>2</v>
          </cell>
          <cell r="R300">
            <v>2</v>
          </cell>
          <cell r="S300">
            <v>2</v>
          </cell>
          <cell r="T300">
            <v>2</v>
          </cell>
          <cell r="U300">
            <v>2</v>
          </cell>
          <cell r="V300" t="str">
            <v>old cva</v>
          </cell>
          <cell r="AJ300" t="str">
            <v>left MCA infarct Insular infarct</v>
          </cell>
          <cell r="AK300" t="str">
            <v>left terminal ICA stenosis</v>
          </cell>
          <cell r="AM300">
            <v>8</v>
          </cell>
          <cell r="AN300">
            <v>1</v>
          </cell>
          <cell r="AO300">
            <v>4</v>
          </cell>
          <cell r="AP300">
            <v>2</v>
          </cell>
          <cell r="AQ300">
            <v>5</v>
          </cell>
          <cell r="AS300">
            <v>1</v>
          </cell>
          <cell r="AT300">
            <v>1</v>
          </cell>
          <cell r="AU300">
            <v>2</v>
          </cell>
          <cell r="AZ300">
            <v>1</v>
          </cell>
          <cell r="BA300">
            <v>95</v>
          </cell>
        </row>
        <row r="301">
          <cell r="A301" t="str">
            <v>Shinde Mandakini</v>
          </cell>
          <cell r="C301">
            <v>240000049989</v>
          </cell>
          <cell r="D301">
            <v>68</v>
          </cell>
          <cell r="E301">
            <v>2</v>
          </cell>
          <cell r="F301">
            <v>45448</v>
          </cell>
          <cell r="G301">
            <v>8.3333333333333329E-2</v>
          </cell>
          <cell r="H301">
            <v>45449</v>
          </cell>
          <cell r="I301">
            <v>45455</v>
          </cell>
          <cell r="J301">
            <v>7517721567</v>
          </cell>
          <cell r="L301">
            <v>12</v>
          </cell>
          <cell r="M301">
            <v>1</v>
          </cell>
          <cell r="N301">
            <v>1</v>
          </cell>
          <cell r="O301">
            <v>2</v>
          </cell>
          <cell r="P301">
            <v>2</v>
          </cell>
          <cell r="Q301">
            <v>2</v>
          </cell>
          <cell r="R301">
            <v>2</v>
          </cell>
          <cell r="S301">
            <v>2</v>
          </cell>
          <cell r="T301">
            <v>2</v>
          </cell>
          <cell r="U301">
            <v>2</v>
          </cell>
          <cell r="V301" t="str">
            <v>old cva rt hemiparesis 1 yr ago</v>
          </cell>
          <cell r="W301">
            <v>14.3</v>
          </cell>
          <cell r="X301">
            <v>42.8</v>
          </cell>
          <cell r="Y301">
            <v>91.5</v>
          </cell>
          <cell r="AA301">
            <v>11.1</v>
          </cell>
          <cell r="AB301">
            <v>196</v>
          </cell>
          <cell r="AC301">
            <v>127</v>
          </cell>
          <cell r="AD301">
            <v>43</v>
          </cell>
          <cell r="AE301">
            <v>26</v>
          </cell>
          <cell r="AF301">
            <v>130</v>
          </cell>
          <cell r="AJ301" t="str">
            <v>left PCA MCA watershed infarct</v>
          </cell>
          <cell r="AK301" t="str">
            <v>left ICA smooth tapering of distal cervical end possible dissection</v>
          </cell>
          <cell r="AM301">
            <v>9</v>
          </cell>
          <cell r="AN301">
            <v>1</v>
          </cell>
          <cell r="AO301">
            <v>3</v>
          </cell>
          <cell r="AP301">
            <v>3</v>
          </cell>
          <cell r="AQ301">
            <v>5</v>
          </cell>
          <cell r="AS301">
            <v>1</v>
          </cell>
          <cell r="AT301">
            <v>1</v>
          </cell>
          <cell r="AU301">
            <v>2</v>
          </cell>
          <cell r="AZ301">
            <v>0</v>
          </cell>
          <cell r="BA301">
            <v>100</v>
          </cell>
        </row>
        <row r="302">
          <cell r="A302" t="str">
            <v xml:space="preserve">Bhate Ritesh </v>
          </cell>
          <cell r="C302">
            <v>240000050289</v>
          </cell>
          <cell r="D302">
            <v>30</v>
          </cell>
          <cell r="E302">
            <v>1</v>
          </cell>
          <cell r="F302">
            <v>45450</v>
          </cell>
          <cell r="G302">
            <v>0.47916666666666669</v>
          </cell>
          <cell r="H302">
            <v>45450</v>
          </cell>
          <cell r="I302">
            <v>45451</v>
          </cell>
          <cell r="J302">
            <v>9356794386</v>
          </cell>
          <cell r="L302">
            <v>0</v>
          </cell>
          <cell r="M302">
            <v>1</v>
          </cell>
          <cell r="N302">
            <v>2</v>
          </cell>
          <cell r="O302">
            <v>2</v>
          </cell>
          <cell r="P302">
            <v>2</v>
          </cell>
          <cell r="Q302">
            <v>2</v>
          </cell>
          <cell r="R302">
            <v>1</v>
          </cell>
          <cell r="S302">
            <v>2</v>
          </cell>
          <cell r="T302">
            <v>2</v>
          </cell>
          <cell r="U302">
            <v>2</v>
          </cell>
          <cell r="V302" t="str">
            <v>obese BMI- 33.6</v>
          </cell>
          <cell r="W302">
            <v>14.4</v>
          </cell>
          <cell r="X302">
            <v>44.7</v>
          </cell>
          <cell r="Y302">
            <v>94.7</v>
          </cell>
          <cell r="Z302">
            <v>54.63</v>
          </cell>
          <cell r="AA302">
            <v>94.7</v>
          </cell>
          <cell r="AB302">
            <v>201</v>
          </cell>
          <cell r="AC302">
            <v>117</v>
          </cell>
          <cell r="AD302">
            <v>30</v>
          </cell>
          <cell r="AE302">
            <v>54</v>
          </cell>
          <cell r="AF302">
            <v>270</v>
          </cell>
          <cell r="AJ302" t="str">
            <v>left pca mca nd internal watershed infarct</v>
          </cell>
          <cell r="AK302" t="str">
            <v>normal</v>
          </cell>
          <cell r="AM302">
            <v>9</v>
          </cell>
          <cell r="AN302">
            <v>1</v>
          </cell>
          <cell r="AO302">
            <v>3</v>
          </cell>
          <cell r="AP302">
            <v>3</v>
          </cell>
          <cell r="AQ302">
            <v>5</v>
          </cell>
          <cell r="AS302">
            <v>1</v>
          </cell>
          <cell r="AT302">
            <v>1</v>
          </cell>
          <cell r="AU302">
            <v>2</v>
          </cell>
          <cell r="AZ302">
            <v>0</v>
          </cell>
          <cell r="BA302">
            <v>100</v>
          </cell>
        </row>
        <row r="303">
          <cell r="A303" t="str">
            <v xml:space="preserve">Jadhav bajrang </v>
          </cell>
          <cell r="C303">
            <v>240000053220</v>
          </cell>
          <cell r="D303">
            <v>56</v>
          </cell>
          <cell r="E303">
            <v>1</v>
          </cell>
          <cell r="F303">
            <v>45460</v>
          </cell>
          <cell r="G303">
            <v>0.95833333333333337</v>
          </cell>
          <cell r="H303">
            <v>45461</v>
          </cell>
          <cell r="I303">
            <v>45463</v>
          </cell>
          <cell r="J303">
            <v>9766165416</v>
          </cell>
          <cell r="K303">
            <v>9096808286</v>
          </cell>
          <cell r="L303">
            <v>3</v>
          </cell>
          <cell r="M303">
            <v>2</v>
          </cell>
          <cell r="N303">
            <v>2</v>
          </cell>
          <cell r="O303">
            <v>2</v>
          </cell>
          <cell r="P303">
            <v>2</v>
          </cell>
          <cell r="Q303">
            <v>1</v>
          </cell>
          <cell r="R303">
            <v>2</v>
          </cell>
          <cell r="S303">
            <v>2</v>
          </cell>
          <cell r="T303">
            <v>2</v>
          </cell>
          <cell r="U303">
            <v>2</v>
          </cell>
          <cell r="W303">
            <v>15.3</v>
          </cell>
          <cell r="X303">
            <v>44.5</v>
          </cell>
          <cell r="Y303">
            <v>102.2</v>
          </cell>
          <cell r="Z303">
            <v>104.03</v>
          </cell>
          <cell r="AA303">
            <v>6.9</v>
          </cell>
          <cell r="AB303">
            <v>162</v>
          </cell>
          <cell r="AC303">
            <v>92</v>
          </cell>
          <cell r="AD303">
            <v>29</v>
          </cell>
          <cell r="AE303">
            <v>41</v>
          </cell>
          <cell r="AF303">
            <v>205</v>
          </cell>
          <cell r="AG303">
            <v>150</v>
          </cell>
          <cell r="AJ303" t="str">
            <v>Right corona radiata infarct</v>
          </cell>
          <cell r="AK303" t="str">
            <v>normal</v>
          </cell>
          <cell r="AM303">
            <v>9</v>
          </cell>
          <cell r="AN303">
            <v>1</v>
          </cell>
          <cell r="AO303">
            <v>4</v>
          </cell>
          <cell r="AP303">
            <v>3</v>
          </cell>
          <cell r="AQ303">
            <v>5</v>
          </cell>
          <cell r="AS303">
            <v>1</v>
          </cell>
          <cell r="AT303">
            <v>1</v>
          </cell>
          <cell r="AU303">
            <v>2</v>
          </cell>
          <cell r="AZ303">
            <v>0</v>
          </cell>
          <cell r="BA303">
            <v>100</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4-8-24 DATA ENTRY"/>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7C908-549D-4A63-95B8-AEC91DE7744D}">
  <dimension ref="A1:BU209"/>
  <sheetViews>
    <sheetView tabSelected="1" zoomScale="70" zoomScaleNormal="70" workbookViewId="0">
      <pane xSplit="1" ySplit="1" topLeftCell="B172" activePane="bottomRight" state="frozen"/>
      <selection pane="topRight" activeCell="B1" sqref="B1"/>
      <selection pane="bottomLeft" activeCell="A2" sqref="A2"/>
      <selection pane="bottomRight" activeCell="U220" sqref="U220"/>
    </sheetView>
  </sheetViews>
  <sheetFormatPr defaultRowHeight="15" x14ac:dyDescent="0.25"/>
  <cols>
    <col min="1" max="1" width="22.140625" customWidth="1"/>
    <col min="4" max="4" width="13.5703125" customWidth="1"/>
    <col min="11" max="11" width="12" customWidth="1"/>
    <col min="12" max="12" width="14.140625" customWidth="1"/>
    <col min="37" max="37" width="55.28515625" customWidth="1"/>
    <col min="38" max="38" width="73.140625" customWidth="1"/>
  </cols>
  <sheetData>
    <row r="1" spans="1:73" ht="75" x14ac:dyDescent="0.25">
      <c r="A1" s="1" t="s">
        <v>0</v>
      </c>
      <c r="B1" s="1" t="s">
        <v>1</v>
      </c>
      <c r="C1" s="2" t="s">
        <v>2</v>
      </c>
      <c r="D1" s="3" t="s">
        <v>3</v>
      </c>
      <c r="E1" s="1" t="s">
        <v>4</v>
      </c>
      <c r="F1" s="1" t="s">
        <v>5</v>
      </c>
      <c r="G1" s="4" t="s">
        <v>6</v>
      </c>
      <c r="H1" s="1" t="s">
        <v>7</v>
      </c>
      <c r="I1" s="4" t="s">
        <v>8</v>
      </c>
      <c r="J1" s="4" t="s">
        <v>9</v>
      </c>
      <c r="K1" s="1" t="s">
        <v>10</v>
      </c>
      <c r="L1" s="1"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2" t="s">
        <v>40</v>
      </c>
      <c r="AP1" s="2" t="s">
        <v>41</v>
      </c>
      <c r="AQ1" s="2" t="s">
        <v>42</v>
      </c>
      <c r="AR1" s="2" t="s">
        <v>43</v>
      </c>
      <c r="AS1" s="1" t="s">
        <v>44</v>
      </c>
      <c r="AT1" s="1" t="s">
        <v>45</v>
      </c>
      <c r="AU1" s="1" t="s">
        <v>46</v>
      </c>
      <c r="AV1" s="1" t="s">
        <v>47</v>
      </c>
      <c r="AW1" s="1" t="s">
        <v>48</v>
      </c>
      <c r="AX1" s="1" t="s">
        <v>49</v>
      </c>
      <c r="AY1" s="1" t="s">
        <v>50</v>
      </c>
      <c r="AZ1" s="1" t="s">
        <v>51</v>
      </c>
      <c r="BA1" s="2" t="s">
        <v>52</v>
      </c>
      <c r="BB1" s="2" t="s">
        <v>694</v>
      </c>
      <c r="BC1" s="2"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2" t="s">
        <v>68</v>
      </c>
      <c r="BS1" s="1" t="s">
        <v>69</v>
      </c>
      <c r="BT1" s="1" t="s">
        <v>70</v>
      </c>
      <c r="BU1" s="1" t="s">
        <v>71</v>
      </c>
    </row>
    <row r="2" spans="1:73" x14ac:dyDescent="0.25">
      <c r="A2" s="8" t="s">
        <v>491</v>
      </c>
      <c r="B2" s="5">
        <v>0</v>
      </c>
      <c r="C2" s="8">
        <v>0.77490199999999998</v>
      </c>
      <c r="D2" s="9">
        <f>VLOOKUP($A2,'[1]24-8-24 DATA ENTRY'!$A$1:$BR$258,3,FALSE)</f>
        <v>240000072703</v>
      </c>
      <c r="E2" s="9">
        <f>VLOOKUP($A2,'[1]24-8-24 DATA ENTRY'!$A$1:$BR$258,4,FALSE)</f>
        <v>67</v>
      </c>
      <c r="F2" s="9">
        <f>VLOOKUP($A2,'[1]24-8-24 DATA ENTRY'!$A$1:$BR$258,5,FALSE)</f>
        <v>1</v>
      </c>
      <c r="G2" s="10">
        <f>VLOOKUP($A2,'[1]24-8-24 DATA ENTRY'!$A$1:$BR$258,6,FALSE)</f>
        <v>45391</v>
      </c>
      <c r="H2" s="9">
        <f>VLOOKUP($A2,'[1]24-8-24 DATA ENTRY'!$A$1:$BR$258,7,FALSE)</f>
        <v>0.25</v>
      </c>
      <c r="I2" s="10">
        <f>VLOOKUP($A2,'[1]24-8-24 DATA ENTRY'!$A$1:$BR$258,8,FALSE)</f>
        <v>45393</v>
      </c>
      <c r="J2" s="10">
        <f>VLOOKUP($A2,'[1]24-8-24 DATA ENTRY'!$A$1:$BR$258,9,FALSE)</f>
        <v>0</v>
      </c>
      <c r="K2" s="9">
        <f>VLOOKUP($A2,'[1]24-8-24 DATA ENTRY'!$A$1:$BR$258,10,FALSE)</f>
        <v>7661944723</v>
      </c>
      <c r="L2" s="9">
        <f>VLOOKUP($A2,'[1]24-8-24 DATA ENTRY'!$A$1:$BR$258,11,FALSE)</f>
        <v>0</v>
      </c>
      <c r="M2" s="9">
        <f>VLOOKUP($A2,'[1]24-8-24 DATA ENTRY'!$A$1:$BR$258,12,FALSE)</f>
        <v>4</v>
      </c>
      <c r="N2" s="9">
        <f>VLOOKUP($A2,'[1]24-8-24 DATA ENTRY'!$A$1:$BR$258,13,FALSE)</f>
        <v>1</v>
      </c>
      <c r="O2" s="9">
        <f>VLOOKUP($A2,'[1]24-8-24 DATA ENTRY'!$A$1:$BR$258,14,FALSE)</f>
        <v>1</v>
      </c>
      <c r="P2" s="9">
        <f>VLOOKUP($A2,'[1]24-8-24 DATA ENTRY'!$A$1:$BR$258,15,FALSE)</f>
        <v>2</v>
      </c>
      <c r="Q2" s="9">
        <f>VLOOKUP($A2,'[1]24-8-24 DATA ENTRY'!$A$1:$BR$258,16,FALSE)</f>
        <v>2</v>
      </c>
      <c r="R2" s="9">
        <f>VLOOKUP($A2,'[1]24-8-24 DATA ENTRY'!$A$1:$BR$258,17,FALSE)</f>
        <v>2</v>
      </c>
      <c r="S2" s="9">
        <f>VLOOKUP($A2,'[1]24-8-24 DATA ENTRY'!$A$1:$BR$258,18,FALSE)</f>
        <v>2</v>
      </c>
      <c r="T2" s="9">
        <v>2</v>
      </c>
      <c r="U2" s="9">
        <v>2</v>
      </c>
      <c r="V2" s="9">
        <v>2</v>
      </c>
      <c r="W2" s="9" t="str">
        <f>VLOOKUP($A2,'[1]24-8-24 DATA ENTRY'!$A$1:$BR$258,22,FALSE)</f>
        <v>old cva, Rt corona radiata infarct, centrum semiovale infarct</v>
      </c>
      <c r="X2" s="9">
        <f>VLOOKUP($A2,'[1]24-8-24 DATA ENTRY'!$A$1:$BR$258,23,FALSE)</f>
        <v>15.5</v>
      </c>
      <c r="Y2" s="9">
        <f>VLOOKUP($A2,'[1]24-8-24 DATA ENTRY'!$A$1:$BR$258,24,FALSE)</f>
        <v>47.1</v>
      </c>
      <c r="Z2" s="9">
        <f>VLOOKUP($A2,'[1]24-8-24 DATA ENTRY'!$A$1:$BR$258,25,FALSE)</f>
        <v>90</v>
      </c>
      <c r="AA2" s="9">
        <f>VLOOKUP($A2,'[1]24-8-24 DATA ENTRY'!$A$1:$BR$258,26,FALSE)</f>
        <v>0</v>
      </c>
      <c r="AB2" s="9">
        <f>VLOOKUP($A2,'[1]24-8-24 DATA ENTRY'!$A$1:$BR$258,27,FALSE)</f>
        <v>7.4</v>
      </c>
      <c r="AC2" s="9">
        <f>VLOOKUP($A2,'[1]24-8-24 DATA ENTRY'!$A$1:$BR$258,28,FALSE)</f>
        <v>115</v>
      </c>
      <c r="AD2" s="9">
        <f>VLOOKUP($A2,'[1]24-8-24 DATA ENTRY'!$A$1:$BR$258,29,FALSE)</f>
        <v>52.2</v>
      </c>
      <c r="AE2" s="9">
        <f>VLOOKUP($A2,'[1]24-8-24 DATA ENTRY'!$A$1:$BR$258,30,FALSE)</f>
        <v>31</v>
      </c>
      <c r="AF2" s="9">
        <f>VLOOKUP($A2,'[1]24-8-24 DATA ENTRY'!$A$1:$BR$258,31,FALSE)</f>
        <v>31.8</v>
      </c>
      <c r="AG2" s="9">
        <f>VLOOKUP($A2,'[1]24-8-24 DATA ENTRY'!$A$1:$BR$258,32,FALSE)</f>
        <v>159</v>
      </c>
      <c r="AH2" s="9">
        <f>VLOOKUP($A2,'[1]24-8-24 DATA ENTRY'!$A$1:$BR$258,33,FALSE)</f>
        <v>400</v>
      </c>
      <c r="AI2" s="9">
        <f>VLOOKUP($A2,'[1]24-8-24 DATA ENTRY'!$A$1:$BR$258,34,FALSE)</f>
        <v>0</v>
      </c>
      <c r="AJ2" s="9">
        <f>VLOOKUP($A2,'[1]24-8-24 DATA ENTRY'!$A$1:$BR$258,35,FALSE)</f>
        <v>0</v>
      </c>
      <c r="AK2" s="9" t="str">
        <f>VLOOKUP($A2,'[1]24-8-24 DATA ENTRY'!$A$1:$BR$258,36,FALSE)</f>
        <v>acute left parietal and Rt frontal lacunar infarct</v>
      </c>
      <c r="AL2" s="9">
        <f>VLOOKUP($A2,'[1]24-8-24 DATA ENTRY'!$A$1:$BR$258,37,FALSE)</f>
        <v>0</v>
      </c>
      <c r="AM2" s="9">
        <f>VLOOKUP($A2,'[1]24-8-24 DATA ENTRY'!$A$1:$BR$258,38,FALSE)</f>
        <v>0</v>
      </c>
      <c r="AN2" s="9">
        <f>VLOOKUP($A2,'[1]24-8-24 DATA ENTRY'!$A$1:$BR$258,39,FALSE)</f>
        <v>0</v>
      </c>
      <c r="AO2" s="9">
        <f>VLOOKUP($A2,'[1]24-8-24 DATA ENTRY'!$A$1:$BR$258,40,FALSE)</f>
        <v>0</v>
      </c>
      <c r="AP2" s="9">
        <f>VLOOKUP($A2,'[1]24-8-24 DATA ENTRY'!$A$1:$BR$258,41,FALSE)</f>
        <v>0</v>
      </c>
      <c r="AQ2" s="9">
        <f>VLOOKUP($A2,'[1]24-8-24 DATA ENTRY'!$A$1:$BR$258,42,FALSE)</f>
        <v>0</v>
      </c>
      <c r="AR2" s="9">
        <f>VLOOKUP($A2,'[1]24-8-24 DATA ENTRY'!$A$1:$BR$258,43,FALSE)</f>
        <v>0</v>
      </c>
      <c r="AS2" s="9">
        <f>VLOOKUP($A2,'[1]24-8-24 DATA ENTRY'!$A$1:$BR$258,44,FALSE)</f>
        <v>0</v>
      </c>
      <c r="AT2" s="9">
        <f>VLOOKUP($A2,'[1]24-8-24 DATA ENTRY'!$A$1:$BR$258,45,FALSE)</f>
        <v>1</v>
      </c>
      <c r="AU2" s="9">
        <f>VLOOKUP($A2,'[1]24-8-24 DATA ENTRY'!$A$1:$BR$258,46,FALSE)</f>
        <v>1</v>
      </c>
      <c r="AV2" s="9">
        <f>VLOOKUP($A2,'[1]24-8-24 DATA ENTRY'!$A$1:$BR$258,47,FALSE)</f>
        <v>2</v>
      </c>
      <c r="AW2" s="9">
        <f>VLOOKUP($A2,'[1]24-8-24 DATA ENTRY'!$A$1:$BR$258,48,FALSE)</f>
        <v>0</v>
      </c>
      <c r="AX2" s="9">
        <f>VLOOKUP($A2,'[1]24-8-24 DATA ENTRY'!$A$1:$BR$258,49,FALSE)</f>
        <v>0</v>
      </c>
      <c r="AY2" s="9">
        <f>VLOOKUP($A2,'[1]24-8-24 DATA ENTRY'!$A$1:$BR$258,50,FALSE)</f>
        <v>0</v>
      </c>
      <c r="AZ2" s="9">
        <f>VLOOKUP($A2,'[1]24-8-24 DATA ENTRY'!$A$1:$BR$258,51,FALSE)</f>
        <v>0</v>
      </c>
      <c r="BA2" s="9">
        <f>VLOOKUP($A2,'[1]24-8-24 DATA ENTRY'!$A$1:$BR$258,52,FALSE)</f>
        <v>0</v>
      </c>
      <c r="BB2" s="5">
        <v>1</v>
      </c>
      <c r="BC2" s="9">
        <f>VLOOKUP($A2,'[1]24-8-24 DATA ENTRY'!$A$1:$BR$258,53,FALSE)</f>
        <v>0</v>
      </c>
      <c r="BD2" s="8">
        <v>1</v>
      </c>
      <c r="BE2" s="8">
        <v>2</v>
      </c>
      <c r="BF2" s="8">
        <v>2</v>
      </c>
      <c r="BG2" s="8">
        <v>2</v>
      </c>
      <c r="BH2" s="8">
        <v>1</v>
      </c>
      <c r="BI2" s="8">
        <v>1</v>
      </c>
      <c r="BJ2" s="8">
        <v>1</v>
      </c>
      <c r="BK2" s="8">
        <v>1</v>
      </c>
      <c r="BL2" s="8">
        <v>2</v>
      </c>
      <c r="BM2" s="8">
        <v>2</v>
      </c>
      <c r="BN2" s="8">
        <v>2</v>
      </c>
      <c r="BO2" s="8">
        <v>1</v>
      </c>
      <c r="BP2" s="8">
        <v>1</v>
      </c>
      <c r="BQ2" s="8">
        <v>1</v>
      </c>
      <c r="BR2" s="8">
        <v>20</v>
      </c>
      <c r="BS2" s="8">
        <v>1</v>
      </c>
      <c r="BT2" s="8">
        <v>1</v>
      </c>
      <c r="BU2" s="8" t="s">
        <v>373</v>
      </c>
    </row>
    <row r="3" spans="1:73" x14ac:dyDescent="0.25">
      <c r="A3" s="5" t="s">
        <v>493</v>
      </c>
      <c r="B3" s="5">
        <v>0</v>
      </c>
      <c r="C3" s="5">
        <v>1.74837</v>
      </c>
      <c r="D3" s="9">
        <f>VLOOKUP($A3,'[1]24-8-24 DATA ENTRY'!$A$1:$BR$303,3,FALSE)</f>
        <v>240000056670</v>
      </c>
      <c r="E3" s="9">
        <f>VLOOKUP($A3,'[1]24-8-24 DATA ENTRY'!$A$1:$BR$303,4,FALSE)</f>
        <v>0</v>
      </c>
      <c r="F3" s="9">
        <f>VLOOKUP($A3,'[1]24-8-24 DATA ENTRY'!$A$1:$BR$303,5,FALSE)</f>
        <v>1</v>
      </c>
      <c r="G3" s="10">
        <f>VLOOKUP($A3,'[1]24-8-24 DATA ENTRY'!$A$1:$BR$303,6,FALSE)</f>
        <v>45471</v>
      </c>
      <c r="H3" s="9">
        <f>VLOOKUP($A3,'[1]24-8-24 DATA ENTRY'!$A$1:$BR$303,7,FALSE)</f>
        <v>0.5</v>
      </c>
      <c r="I3" s="10">
        <f>VLOOKUP($A3,'[1]24-8-24 DATA ENTRY'!$A$1:$BR$303,8,FALSE)</f>
        <v>45471</v>
      </c>
      <c r="J3" s="10">
        <f>VLOOKUP($A3,'[1]24-8-24 DATA ENTRY'!$A$1:$BR$303,9,FALSE)</f>
        <v>45474</v>
      </c>
      <c r="K3" s="9">
        <f>VLOOKUP($A3,'[1]24-8-24 DATA ENTRY'!$A$1:$BR$303,10,FALSE)</f>
        <v>9763443333</v>
      </c>
      <c r="L3" s="9">
        <f>VLOOKUP($A3,'[1]24-8-24 DATA ENTRY'!$A$1:$BR$303,11,FALSE)</f>
        <v>0</v>
      </c>
      <c r="M3" s="9">
        <f>VLOOKUP($A3,'[1]24-8-24 DATA ENTRY'!$A$1:$BR$303,12,FALSE)</f>
        <v>8</v>
      </c>
      <c r="N3" s="9">
        <f>VLOOKUP($A3,'[1]24-8-24 DATA ENTRY'!$A$1:$BR$303,13,FALSE)</f>
        <v>1</v>
      </c>
      <c r="O3" s="9">
        <f>VLOOKUP($A3,'[1]24-8-24 DATA ENTRY'!$A$1:$BR$303,14,FALSE)</f>
        <v>1</v>
      </c>
      <c r="P3" s="9">
        <f>VLOOKUP($A3,'[1]24-8-24 DATA ENTRY'!$A$1:$BR$303,15,FALSE)</f>
        <v>2</v>
      </c>
      <c r="Q3" s="9">
        <f>VLOOKUP($A3,'[1]24-8-24 DATA ENTRY'!$A$1:$BR$303,16,FALSE)</f>
        <v>2</v>
      </c>
      <c r="R3" s="9">
        <f>VLOOKUP($A3,'[1]24-8-24 DATA ENTRY'!$A$1:$BR$303,17,FALSE)</f>
        <v>2</v>
      </c>
      <c r="S3" s="9">
        <f>VLOOKUP($A3,'[1]24-8-24 DATA ENTRY'!$A$1:$BR$303,18,FALSE)</f>
        <v>2</v>
      </c>
      <c r="T3" s="9">
        <f>VLOOKUP($A3,'[1]24-8-24 DATA ENTRY'!$A$1:$BR$303,19,FALSE)</f>
        <v>2</v>
      </c>
      <c r="U3" s="9">
        <v>2</v>
      </c>
      <c r="V3" s="9">
        <f>VLOOKUP($A3,'[1]24-8-24 DATA ENTRY'!$A$1:$BR$303,21,FALSE)</f>
        <v>2</v>
      </c>
      <c r="W3" s="9">
        <f>VLOOKUP($A3,'[1]24-8-24 DATA ENTRY'!$A$1:$BR$303,22,FALSE)</f>
        <v>0</v>
      </c>
      <c r="X3" s="9">
        <f>VLOOKUP($A3,'[1]24-8-24 DATA ENTRY'!$A$1:$BR$303,23,FALSE)</f>
        <v>11.4</v>
      </c>
      <c r="Y3" s="9">
        <f>VLOOKUP($A3,'[1]24-8-24 DATA ENTRY'!$A$1:$BR$303,24,FALSE)</f>
        <v>36.700000000000003</v>
      </c>
      <c r="Z3" s="9">
        <f>VLOOKUP($A3,'[1]24-8-24 DATA ENTRY'!$A$1:$BR$303,25,FALSE)</f>
        <v>63.4</v>
      </c>
      <c r="AA3" s="9">
        <f>VLOOKUP($A3,'[1]24-8-24 DATA ENTRY'!$A$1:$BR$303,26,FALSE)</f>
        <v>8.7100000000000009</v>
      </c>
      <c r="AB3" s="9">
        <f>VLOOKUP($A3,'[1]24-8-24 DATA ENTRY'!$A$1:$BR$303,27,FALSE)</f>
        <v>10.4</v>
      </c>
      <c r="AC3" s="9">
        <f>VLOOKUP($A3,'[1]24-8-24 DATA ENTRY'!$A$1:$BR$303,28,FALSE)</f>
        <v>86</v>
      </c>
      <c r="AD3" s="9">
        <f>VLOOKUP($A3,'[1]24-8-24 DATA ENTRY'!$A$1:$BR$303,29,FALSE)</f>
        <v>35.4</v>
      </c>
      <c r="AE3" s="9">
        <f>VLOOKUP($A3,'[1]24-8-24 DATA ENTRY'!$A$1:$BR$2303,30,FALSE)</f>
        <v>24</v>
      </c>
      <c r="AF3" s="9">
        <f>VLOOKUP($A3,'[1]24-8-24 DATA ENTRY'!$A$1:$BR$303,31,FALSE)</f>
        <v>26.6</v>
      </c>
      <c r="AG3" s="9">
        <f>VLOOKUP($A3,'[1]24-8-24 DATA ENTRY'!$A$1:$BR$303,32,FALSE)</f>
        <v>133</v>
      </c>
      <c r="AH3" s="9">
        <f>VLOOKUP($A3,'[1]24-8-24 DATA ENTRY'!$A$1:$BR$303,33,FALSE)</f>
        <v>519</v>
      </c>
      <c r="AI3" s="9">
        <f>VLOOKUP($A3,'[1]24-8-24 DATA ENTRY'!$A$1:$BR$303,34,FALSE)</f>
        <v>0</v>
      </c>
      <c r="AJ3" s="9">
        <f>VLOOKUP($A3,'[1]24-8-24 DATA ENTRY'!$A$1:$BR$303,35,FALSE)</f>
        <v>0</v>
      </c>
      <c r="AK3" s="9" t="str">
        <f>VLOOKUP($A3,'[1]24-8-24 DATA ENTRY'!$A$1:$BR$303,36,FALSE)</f>
        <v>left corona radiata infarct and posterior limb of internal capsule</v>
      </c>
      <c r="AL3" s="9" t="str">
        <f>VLOOKUP($A3,'[1]24-8-24 DATA ENTRY'!$A$1:$BR$303,37,FALSE)</f>
        <v>left m2 distal stenosis</v>
      </c>
      <c r="AM3" s="9">
        <f>VLOOKUP($A3,'[1]24-8-24 DATA ENTRY'!$A$1:$BR$303,38,FALSE)</f>
        <v>0</v>
      </c>
      <c r="AN3" s="9">
        <f>VLOOKUP($A3,'[1]24-8-24 DATA ENTRY'!$A$1:$BR$303,39,FALSE)</f>
        <v>0</v>
      </c>
      <c r="AO3" s="9">
        <f>VLOOKUP($A3,'[1]24-8-24 DATA ENTRY'!$A$1:$BR$303,40,FALSE)</f>
        <v>0</v>
      </c>
      <c r="AP3" s="9">
        <f>VLOOKUP($A3,'[1]24-8-24 DATA ENTRY'!$A$1:$BR$303,41,FALSE)</f>
        <v>0</v>
      </c>
      <c r="AQ3" s="9">
        <f>VLOOKUP($A3,'[1]24-8-24 DATA ENTRY'!$A$1:$BR$303,42,FALSE)</f>
        <v>0</v>
      </c>
      <c r="AR3" s="9">
        <f>VLOOKUP($A3,'[1]24-8-24 DATA ENTRY'!$A$1:$BR$303,43,FALSE)</f>
        <v>0</v>
      </c>
      <c r="AS3" s="9">
        <f>VLOOKUP($A3,'[1]24-8-24 DATA ENTRY'!$A$1:$BR$303,44,FALSE)</f>
        <v>0</v>
      </c>
      <c r="AT3" s="9">
        <f>VLOOKUP($A3,'[1]24-8-24 DATA ENTRY'!$A$1:$BR$303,45,FALSE)</f>
        <v>1</v>
      </c>
      <c r="AU3" s="9">
        <f>VLOOKUP($A3,'[1]24-8-24 DATA ENTRY'!$A$1:$BR$303,46,FALSE)</f>
        <v>1</v>
      </c>
      <c r="AV3" s="9">
        <f>VLOOKUP($A3,'[1]24-8-24 DATA ENTRY'!$A$1:$BR$303,47,FALSE)</f>
        <v>2</v>
      </c>
      <c r="AW3" s="9">
        <f>VLOOKUP($A3,'[1]24-8-24 DATA ENTRY'!$A$1:$BR$303,48,FALSE)</f>
        <v>0</v>
      </c>
      <c r="AX3" s="9">
        <f>VLOOKUP($A3,'[1]24-8-24 DATA ENTRY'!$A$1:$BR$303,49,FALSE)</f>
        <v>0</v>
      </c>
      <c r="AY3" s="9">
        <f>VLOOKUP($A3,'[1]24-8-24 DATA ENTRY'!$A$1:$BR$303,50,FALSE)</f>
        <v>0</v>
      </c>
      <c r="AZ3" s="9">
        <f>VLOOKUP($A3,'[1]24-8-24 DATA ENTRY'!$A$1:$BR$303,51,FALSE)</f>
        <v>0</v>
      </c>
      <c r="BA3" s="9">
        <f>VLOOKUP($A3,'[1]24-8-24 DATA ENTRY'!$A$1:$BR$303,52,FALSE)</f>
        <v>0</v>
      </c>
      <c r="BB3" s="5">
        <v>1</v>
      </c>
      <c r="BC3" s="9">
        <f>VLOOKUP($A3,'[1]24-8-24 DATA ENTRY'!$A$1:$BR$303,53,FALSE)</f>
        <v>0</v>
      </c>
      <c r="BD3" s="5">
        <v>1</v>
      </c>
      <c r="BE3" s="5">
        <v>2</v>
      </c>
      <c r="BF3" s="5">
        <v>2</v>
      </c>
      <c r="BG3" s="5">
        <v>2</v>
      </c>
      <c r="BH3" s="5">
        <v>1</v>
      </c>
      <c r="BI3" s="5">
        <v>1</v>
      </c>
      <c r="BJ3" s="5">
        <v>1</v>
      </c>
      <c r="BK3" s="5">
        <v>1</v>
      </c>
      <c r="BL3" s="5">
        <v>2</v>
      </c>
      <c r="BM3" s="5">
        <v>2</v>
      </c>
      <c r="BN3" s="5">
        <v>1</v>
      </c>
      <c r="BO3" s="5">
        <v>1</v>
      </c>
      <c r="BP3" s="5">
        <v>1</v>
      </c>
      <c r="BQ3" s="5">
        <v>1</v>
      </c>
      <c r="BR3" s="5">
        <v>19</v>
      </c>
      <c r="BS3" s="5">
        <v>1</v>
      </c>
      <c r="BT3" s="5">
        <v>1</v>
      </c>
      <c r="BU3" s="5"/>
    </row>
    <row r="4" spans="1:73" x14ac:dyDescent="0.25">
      <c r="A4" s="5" t="s">
        <v>506</v>
      </c>
      <c r="B4" s="5">
        <v>0</v>
      </c>
      <c r="C4" s="5">
        <v>19.571100000000001</v>
      </c>
      <c r="D4" s="9">
        <f>VLOOKUP($A4,'[1]24-8-24 DATA ENTRY'!$A$1:$BR$303,3,FALSE)</f>
        <v>240000057100</v>
      </c>
      <c r="E4" s="9">
        <f>VLOOKUP($A4,'[1]24-8-24 DATA ENTRY'!$A$1:$BR$303,4,FALSE)</f>
        <v>77</v>
      </c>
      <c r="F4" s="9">
        <f>VLOOKUP($A4,'[1]24-8-24 DATA ENTRY'!$A$1:$BR$303,5,FALSE)</f>
        <v>2</v>
      </c>
      <c r="G4" s="10">
        <f>VLOOKUP($A4,'[1]24-8-24 DATA ENTRY'!$A$1:$BR$303,6,FALSE)</f>
        <v>45472</v>
      </c>
      <c r="H4" s="9">
        <f>VLOOKUP($A4,'[1]24-8-24 DATA ENTRY'!$A$1:$BR$303,7,FALSE)</f>
        <v>0.5</v>
      </c>
      <c r="I4" s="10">
        <f>VLOOKUP($A4,'[1]24-8-24 DATA ENTRY'!$A$1:$BR$303,8,FALSE)</f>
        <v>45473</v>
      </c>
      <c r="J4" s="10">
        <f>VLOOKUP($A4,'[1]24-8-24 DATA ENTRY'!$A$1:$BR$303,9,FALSE)</f>
        <v>45476</v>
      </c>
      <c r="K4" s="9">
        <f>VLOOKUP($A4,'[1]24-8-24 DATA ENTRY'!$A$1:$BR$303,10,FALSE)</f>
        <v>9067454942</v>
      </c>
      <c r="L4" s="9">
        <f>VLOOKUP($A4,'[1]24-8-24 DATA ENTRY'!$A$1:$BR$303,11,FALSE)</f>
        <v>0</v>
      </c>
      <c r="M4" s="9">
        <f>VLOOKUP($A4,'[1]24-8-24 DATA ENTRY'!$A$1:$BR$303,12,FALSE)</f>
        <v>1</v>
      </c>
      <c r="N4" s="9">
        <f>VLOOKUP($A4,'[1]24-8-24 DATA ENTRY'!$A$1:$BR$303,13,FALSE)</f>
        <v>1</v>
      </c>
      <c r="O4" s="9">
        <f>VLOOKUP($A4,'[1]24-8-24 DATA ENTRY'!$A$1:$BR$303,14,FALSE)</f>
        <v>1</v>
      </c>
      <c r="P4" s="9">
        <f>VLOOKUP($A4,'[1]24-8-24 DATA ENTRY'!$A$1:$BR$303,15,FALSE)</f>
        <v>2</v>
      </c>
      <c r="Q4" s="9">
        <f>VLOOKUP($A4,'[1]24-8-24 DATA ENTRY'!$A$1:$BR$303,16,FALSE)</f>
        <v>2</v>
      </c>
      <c r="R4" s="9">
        <f>VLOOKUP($A4,'[1]24-8-24 DATA ENTRY'!$A$1:$BR$303,17,FALSE)</f>
        <v>2</v>
      </c>
      <c r="S4" s="9">
        <f>VLOOKUP($A4,'[1]24-8-24 DATA ENTRY'!$A$1:$BR$303,18,FALSE)</f>
        <v>2</v>
      </c>
      <c r="T4" s="9">
        <f>VLOOKUP($A4,'[1]24-8-24 DATA ENTRY'!$A$1:$BR$303,19,FALSE)</f>
        <v>2</v>
      </c>
      <c r="U4" s="9">
        <v>2</v>
      </c>
      <c r="V4" s="9">
        <f>VLOOKUP($A4,'[1]24-8-24 DATA ENTRY'!$A$1:$BR$303,21,FALSE)</f>
        <v>2</v>
      </c>
      <c r="W4" s="9">
        <f>VLOOKUP($A4,'[1]24-8-24 DATA ENTRY'!$A$1:$BR$303,22,FALSE)</f>
        <v>0</v>
      </c>
      <c r="X4" s="9">
        <f>VLOOKUP($A4,'[1]24-8-24 DATA ENTRY'!$A$1:$BR$303,23,FALSE)</f>
        <v>14</v>
      </c>
      <c r="Y4" s="9">
        <f>VLOOKUP($A4,'[1]24-8-24 DATA ENTRY'!$A$1:$BR$303,24,FALSE)</f>
        <v>42.4</v>
      </c>
      <c r="Z4" s="9">
        <f>VLOOKUP($A4,'[1]24-8-24 DATA ENTRY'!$A$1:$BR$303,25,FALSE)</f>
        <v>88.9</v>
      </c>
      <c r="AA4" s="9">
        <f>VLOOKUP($A4,'[1]24-8-24 DATA ENTRY'!$A$1:$BR$303,26,FALSE)</f>
        <v>15.9</v>
      </c>
      <c r="AB4" s="9">
        <f>VLOOKUP($A4,'[1]24-8-24 DATA ENTRY'!$A$1:$BR$303,27,FALSE)</f>
        <v>10.4</v>
      </c>
      <c r="AC4" s="9">
        <f>VLOOKUP($A4,'[1]24-8-24 DATA ENTRY'!$A$1:$BR$303,28,FALSE)</f>
        <v>250</v>
      </c>
      <c r="AD4" s="9">
        <f>VLOOKUP($A4,'[1]24-8-24 DATA ENTRY'!$A$1:$BR$303,29,FALSE)</f>
        <v>126</v>
      </c>
      <c r="AE4" s="9">
        <f>VLOOKUP($A4,'[1]24-8-24 DATA ENTRY'!$A$1:$BR$2303,30,FALSE)</f>
        <v>37</v>
      </c>
      <c r="AF4" s="9">
        <f>VLOOKUP($A4,'[1]24-8-24 DATA ENTRY'!$A$1:$BR$303,31,FALSE)</f>
        <v>87</v>
      </c>
      <c r="AG4" s="9">
        <f>VLOOKUP($A4,'[1]24-8-24 DATA ENTRY'!$A$1:$BR$303,32,FALSE)</f>
        <v>435</v>
      </c>
      <c r="AH4" s="9">
        <f>VLOOKUP($A4,'[1]24-8-24 DATA ENTRY'!$A$1:$BR$303,33,FALSE)</f>
        <v>0</v>
      </c>
      <c r="AI4" s="9">
        <f>VLOOKUP($A4,'[1]24-8-24 DATA ENTRY'!$A$1:$BR$303,34,FALSE)</f>
        <v>0</v>
      </c>
      <c r="AJ4" s="9">
        <f>VLOOKUP($A4,'[1]24-8-24 DATA ENTRY'!$A$1:$BR$303,35,FALSE)</f>
        <v>0</v>
      </c>
      <c r="AK4" s="9" t="str">
        <f>VLOOKUP($A4,'[1]24-8-24 DATA ENTRY'!$A$1:$BR$303,36,FALSE)</f>
        <v>Right ACA MCA, MCA PCA and internal watershed infarct</v>
      </c>
      <c r="AL4" s="9" t="str">
        <f>VLOOKUP($A4,'[1]24-8-24 DATA ENTRY'!$A$1:$BR$303,37,FALSE)</f>
        <v>Right ICA origin 90% stenosis and right M1 stenosis. Tandom occlusion</v>
      </c>
      <c r="AM4" s="9">
        <f>VLOOKUP($A4,'[1]24-8-24 DATA ENTRY'!$A$1:$BR$303,38,FALSE)</f>
        <v>0</v>
      </c>
      <c r="AN4" s="9">
        <f>VLOOKUP($A4,'[1]24-8-24 DATA ENTRY'!$A$1:$BR$303,39,FALSE)</f>
        <v>0</v>
      </c>
      <c r="AO4" s="9">
        <f>VLOOKUP($A4,'[1]24-8-24 DATA ENTRY'!$A$1:$BR$303,40,FALSE)</f>
        <v>0</v>
      </c>
      <c r="AP4" s="9">
        <f>VLOOKUP($A4,'[1]24-8-24 DATA ENTRY'!$A$1:$BR$303,41,FALSE)</f>
        <v>0</v>
      </c>
      <c r="AQ4" s="9">
        <f>VLOOKUP($A4,'[1]24-8-24 DATA ENTRY'!$A$1:$BR$303,42,FALSE)</f>
        <v>0</v>
      </c>
      <c r="AR4" s="9">
        <f>VLOOKUP($A4,'[1]24-8-24 DATA ENTRY'!$A$1:$BR$303,43,FALSE)</f>
        <v>0</v>
      </c>
      <c r="AS4" s="9">
        <f>VLOOKUP($A4,'[1]24-8-24 DATA ENTRY'!$A$1:$BR$303,44,FALSE)</f>
        <v>0</v>
      </c>
      <c r="AT4" s="9">
        <f>VLOOKUP($A4,'[1]24-8-24 DATA ENTRY'!$A$1:$BR$303,45,FALSE)</f>
        <v>1</v>
      </c>
      <c r="AU4" s="9">
        <f>VLOOKUP($A4,'[1]24-8-24 DATA ENTRY'!$A$1:$BR$303,46,FALSE)</f>
        <v>1</v>
      </c>
      <c r="AV4" s="9">
        <f>VLOOKUP($A4,'[1]24-8-24 DATA ENTRY'!$A$1:$BR$303,47,FALSE)</f>
        <v>2</v>
      </c>
      <c r="AW4" s="9">
        <f>VLOOKUP($A4,'[1]24-8-24 DATA ENTRY'!$A$1:$BR$303,48,FALSE)</f>
        <v>0</v>
      </c>
      <c r="AX4" s="9">
        <f>VLOOKUP($A4,'[1]24-8-24 DATA ENTRY'!$A$1:$BR$303,49,FALSE)</f>
        <v>2</v>
      </c>
      <c r="AY4" s="9">
        <f>VLOOKUP($A4,'[1]24-8-24 DATA ENTRY'!$A$1:$BR$303,50,FALSE)</f>
        <v>2</v>
      </c>
      <c r="AZ4" s="9">
        <f>VLOOKUP($A4,'[1]24-8-24 DATA ENTRY'!$A$1:$BR$303,51,FALSE)</f>
        <v>2</v>
      </c>
      <c r="BA4" s="9">
        <f>VLOOKUP($A4,'[1]24-8-24 DATA ENTRY'!$A$1:$BR$303,52,FALSE)</f>
        <v>0</v>
      </c>
      <c r="BB4" s="5">
        <v>1</v>
      </c>
      <c r="BC4" s="9">
        <f>VLOOKUP($A4,'[1]24-8-24 DATA ENTRY'!$A$1:$BR$303,53,FALSE)</f>
        <v>100</v>
      </c>
      <c r="BD4" s="5">
        <v>0</v>
      </c>
      <c r="BE4" s="5">
        <v>2</v>
      </c>
      <c r="BF4" s="5">
        <v>0</v>
      </c>
      <c r="BG4" s="5">
        <v>1</v>
      </c>
      <c r="BH4" s="5">
        <v>1</v>
      </c>
      <c r="BI4" s="5">
        <v>1</v>
      </c>
      <c r="BJ4" s="5">
        <v>1</v>
      </c>
      <c r="BK4" s="5">
        <v>0</v>
      </c>
      <c r="BL4" s="5">
        <v>2</v>
      </c>
      <c r="BM4" s="5">
        <v>2</v>
      </c>
      <c r="BN4" s="5">
        <v>2</v>
      </c>
      <c r="BO4" s="5">
        <v>1</v>
      </c>
      <c r="BP4" s="5">
        <v>1</v>
      </c>
      <c r="BQ4" s="5">
        <v>1</v>
      </c>
      <c r="BR4" s="5">
        <v>15</v>
      </c>
      <c r="BS4" s="5">
        <v>1</v>
      </c>
      <c r="BT4" s="5">
        <v>0</v>
      </c>
      <c r="BU4" s="5" t="s">
        <v>507</v>
      </c>
    </row>
    <row r="5" spans="1:73" x14ac:dyDescent="0.25">
      <c r="A5" s="5" t="s">
        <v>508</v>
      </c>
      <c r="B5" s="5">
        <v>0</v>
      </c>
      <c r="C5" s="5">
        <v>22.167100000000001</v>
      </c>
      <c r="D5" s="9">
        <f>VLOOKUP($A5,'[1]24-8-24 DATA ENTRY'!$A$1:$BR$303,3,FALSE)</f>
        <v>240000057703</v>
      </c>
      <c r="E5" s="9">
        <f>VLOOKUP($A5,'[1]24-8-24 DATA ENTRY'!$A$1:$BR$303,4,FALSE)</f>
        <v>71</v>
      </c>
      <c r="F5" s="9">
        <f>VLOOKUP($A5,'[1]24-8-24 DATA ENTRY'!$A$1:$BR$303,5,FALSE)</f>
        <v>1</v>
      </c>
      <c r="G5" s="10">
        <f>VLOOKUP($A5,'[1]24-8-24 DATA ENTRY'!$A$1:$BR$303,6,FALSE)</f>
        <v>45473</v>
      </c>
      <c r="H5" s="9">
        <f>VLOOKUP($A5,'[1]24-8-24 DATA ENTRY'!$A$1:$BR$303,7,FALSE)</f>
        <v>0.33333333333333331</v>
      </c>
      <c r="I5" s="10">
        <f>VLOOKUP($A5,'[1]24-8-24 DATA ENTRY'!$A$1:$BR$303,8,FALSE)</f>
        <v>0</v>
      </c>
      <c r="J5" s="10">
        <f>VLOOKUP($A5,'[1]24-8-24 DATA ENTRY'!$A$1:$BR$303,9,FALSE)</f>
        <v>0</v>
      </c>
      <c r="K5" s="9">
        <f>VLOOKUP($A5,'[1]24-8-24 DATA ENTRY'!$A$1:$BR$303,10,FALSE)</f>
        <v>9850850331</v>
      </c>
      <c r="L5" s="9">
        <f>VLOOKUP($A5,'[1]24-8-24 DATA ENTRY'!$A$1:$BR$303,11,FALSE)</f>
        <v>0</v>
      </c>
      <c r="M5" s="9">
        <f>VLOOKUP($A5,'[1]24-8-24 DATA ENTRY'!$A$1:$BR$303,12,FALSE)</f>
        <v>2</v>
      </c>
      <c r="N5" s="9">
        <f>VLOOKUP($A5,'[1]24-8-24 DATA ENTRY'!$A$1:$BR$303,13,FALSE)</f>
        <v>2</v>
      </c>
      <c r="O5" s="9">
        <f>VLOOKUP($A5,'[1]24-8-24 DATA ENTRY'!$A$1:$BR$303,14,FALSE)</f>
        <v>2</v>
      </c>
      <c r="P5" s="9">
        <f>VLOOKUP($A5,'[1]24-8-24 DATA ENTRY'!$A$1:$BR$303,15,FALSE)</f>
        <v>2</v>
      </c>
      <c r="Q5" s="9">
        <f>VLOOKUP($A5,'[1]24-8-24 DATA ENTRY'!$A$1:$BR$303,16,FALSE)</f>
        <v>1</v>
      </c>
      <c r="R5" s="9">
        <f>VLOOKUP($A5,'[1]24-8-24 DATA ENTRY'!$A$1:$BR$303,17,FALSE)</f>
        <v>2</v>
      </c>
      <c r="S5" s="9">
        <f>VLOOKUP($A5,'[1]24-8-24 DATA ENTRY'!$A$1:$BR$303,18,FALSE)</f>
        <v>2</v>
      </c>
      <c r="T5" s="9">
        <f>VLOOKUP($A5,'[1]24-8-24 DATA ENTRY'!$A$1:$BR$303,19,FALSE)</f>
        <v>2</v>
      </c>
      <c r="U5" s="9">
        <v>2</v>
      </c>
      <c r="V5" s="9">
        <f>VLOOKUP($A5,'[1]24-8-24 DATA ENTRY'!$A$1:$BR$303,21,FALSE)</f>
        <v>2</v>
      </c>
      <c r="W5" s="9">
        <f>VLOOKUP($A5,'[1]24-8-24 DATA ENTRY'!$A$1:$BR$303,22,FALSE)</f>
        <v>0</v>
      </c>
      <c r="X5" s="9">
        <f>VLOOKUP($A5,'[1]24-8-24 DATA ENTRY'!$A$1:$BR$303,23,FALSE)</f>
        <v>0</v>
      </c>
      <c r="Y5" s="9">
        <f>VLOOKUP($A5,'[1]24-8-24 DATA ENTRY'!$A$1:$BR$303,24,FALSE)</f>
        <v>0</v>
      </c>
      <c r="Z5" s="9">
        <f>VLOOKUP($A5,'[1]24-8-24 DATA ENTRY'!$A$1:$BR$303,25,FALSE)</f>
        <v>0</v>
      </c>
      <c r="AA5" s="9">
        <f>VLOOKUP($A5,'[1]24-8-24 DATA ENTRY'!$A$1:$BR$303,26,FALSE)</f>
        <v>0</v>
      </c>
      <c r="AB5" s="9">
        <f>VLOOKUP($A5,'[1]24-8-24 DATA ENTRY'!$A$1:$BR$303,27,FALSE)</f>
        <v>0</v>
      </c>
      <c r="AC5" s="9">
        <f>VLOOKUP($A5,'[1]24-8-24 DATA ENTRY'!$A$1:$BR$303,28,FALSE)</f>
        <v>0</v>
      </c>
      <c r="AD5" s="9">
        <f>VLOOKUP($A5,'[1]24-8-24 DATA ENTRY'!$A$1:$BR$303,29,FALSE)</f>
        <v>0</v>
      </c>
      <c r="AE5" s="9">
        <f>VLOOKUP($A5,'[1]24-8-24 DATA ENTRY'!$A$1:$BR$2303,30,FALSE)</f>
        <v>0</v>
      </c>
      <c r="AF5" s="9">
        <f>VLOOKUP($A5,'[1]24-8-24 DATA ENTRY'!$A$1:$BR$303,31,FALSE)</f>
        <v>0</v>
      </c>
      <c r="AG5" s="9">
        <f>VLOOKUP($A5,'[1]24-8-24 DATA ENTRY'!$A$1:$BR$303,32,FALSE)</f>
        <v>0</v>
      </c>
      <c r="AH5" s="9">
        <f>VLOOKUP($A5,'[1]24-8-24 DATA ENTRY'!$A$1:$BR$303,33,FALSE)</f>
        <v>0</v>
      </c>
      <c r="AI5" s="9">
        <f>VLOOKUP($A5,'[1]24-8-24 DATA ENTRY'!$A$1:$BR$303,34,FALSE)</f>
        <v>0</v>
      </c>
      <c r="AJ5" s="9">
        <f>VLOOKUP($A5,'[1]24-8-24 DATA ENTRY'!$A$1:$BR$303,35,FALSE)</f>
        <v>0</v>
      </c>
      <c r="AK5" s="9" t="str">
        <f>VLOOKUP($A5,'[1]24-8-24 DATA ENTRY'!$A$1:$BR$303,36,FALSE)</f>
        <v>Left PCA-MCA watershed infarct</v>
      </c>
      <c r="AL5" s="9" t="str">
        <f>VLOOKUP($A5,'[1]24-8-24 DATA ENTRY'!$A$1:$BR$303,37,FALSE)</f>
        <v>left ICA cavernous, supraclinoid and terminal segments severe luminal narrowing (&gt;90%)</v>
      </c>
      <c r="AM5" s="9">
        <f>VLOOKUP($A5,'[1]24-8-24 DATA ENTRY'!$A$1:$BR$303,38,FALSE)</f>
        <v>0</v>
      </c>
      <c r="AN5" s="9">
        <f>VLOOKUP($A5,'[1]24-8-24 DATA ENTRY'!$A$1:$BR$303,39,FALSE)</f>
        <v>0</v>
      </c>
      <c r="AO5" s="9">
        <f>VLOOKUP($A5,'[1]24-8-24 DATA ENTRY'!$A$1:$BR$303,40,FALSE)</f>
        <v>0</v>
      </c>
      <c r="AP5" s="9">
        <f>VLOOKUP($A5,'[1]24-8-24 DATA ENTRY'!$A$1:$BR$303,41,FALSE)</f>
        <v>0</v>
      </c>
      <c r="AQ5" s="9">
        <f>VLOOKUP($A5,'[1]24-8-24 DATA ENTRY'!$A$1:$BR$303,42,FALSE)</f>
        <v>0</v>
      </c>
      <c r="AR5" s="9">
        <f>VLOOKUP($A5,'[1]24-8-24 DATA ENTRY'!$A$1:$BR$303,43,FALSE)</f>
        <v>0</v>
      </c>
      <c r="AS5" s="9">
        <f>VLOOKUP($A5,'[1]24-8-24 DATA ENTRY'!$A$1:$BR$303,44,FALSE)</f>
        <v>0</v>
      </c>
      <c r="AT5" s="9">
        <f>VLOOKUP($A5,'[1]24-8-24 DATA ENTRY'!$A$1:$BR$303,45,FALSE)</f>
        <v>0</v>
      </c>
      <c r="AU5" s="9">
        <f>VLOOKUP($A5,'[1]24-8-24 DATA ENTRY'!$A$1:$BR$303,46,FALSE)</f>
        <v>0</v>
      </c>
      <c r="AV5" s="9">
        <f>VLOOKUP($A5,'[1]24-8-24 DATA ENTRY'!$A$1:$BR$303,47,FALSE)</f>
        <v>0</v>
      </c>
      <c r="AW5" s="9">
        <f>VLOOKUP($A5,'[1]24-8-24 DATA ENTRY'!$A$1:$BR$303,48,FALSE)</f>
        <v>0</v>
      </c>
      <c r="AX5" s="9">
        <f>VLOOKUP($A5,'[1]24-8-24 DATA ENTRY'!$A$1:$BR$303,49,FALSE)</f>
        <v>0</v>
      </c>
      <c r="AY5" s="9">
        <f>VLOOKUP($A5,'[1]24-8-24 DATA ENTRY'!$A$1:$BR$303,50,FALSE)</f>
        <v>0</v>
      </c>
      <c r="AZ5" s="9">
        <f>VLOOKUP($A5,'[1]24-8-24 DATA ENTRY'!$A$1:$BR$303,51,FALSE)</f>
        <v>0</v>
      </c>
      <c r="BA5" s="9">
        <f>VLOOKUP($A5,'[1]24-8-24 DATA ENTRY'!$A$1:$BR$303,52,FALSE)</f>
        <v>0</v>
      </c>
      <c r="BB5" s="5">
        <v>1</v>
      </c>
      <c r="BC5" s="9">
        <f>VLOOKUP($A5,'[1]24-8-24 DATA ENTRY'!$A$1:$BR$303,53,FALSE)</f>
        <v>95</v>
      </c>
      <c r="BD5" s="5">
        <v>0</v>
      </c>
      <c r="BE5" s="5">
        <v>2</v>
      </c>
      <c r="BF5" s="5">
        <v>2</v>
      </c>
      <c r="BG5" s="5">
        <v>2</v>
      </c>
      <c r="BH5" s="5">
        <v>1</v>
      </c>
      <c r="BI5" s="5">
        <v>1</v>
      </c>
      <c r="BJ5" s="5">
        <v>1</v>
      </c>
      <c r="BK5" s="5">
        <v>0</v>
      </c>
      <c r="BL5" s="5">
        <v>1</v>
      </c>
      <c r="BM5" s="5">
        <v>1</v>
      </c>
      <c r="BN5" s="5">
        <v>2</v>
      </c>
      <c r="BO5" s="5">
        <v>1</v>
      </c>
      <c r="BP5" s="5">
        <v>1</v>
      </c>
      <c r="BQ5" s="5">
        <v>1</v>
      </c>
      <c r="BR5" s="5">
        <v>16</v>
      </c>
      <c r="BS5" s="5">
        <v>1</v>
      </c>
      <c r="BT5" s="5">
        <v>1</v>
      </c>
      <c r="BU5" s="5"/>
    </row>
    <row r="6" spans="1:73" x14ac:dyDescent="0.25">
      <c r="A6" s="5" t="s">
        <v>577</v>
      </c>
      <c r="B6" s="5">
        <v>0</v>
      </c>
      <c r="C6" s="5">
        <v>1.3124899999999999</v>
      </c>
      <c r="D6" s="18">
        <f>VLOOKUP($A6,'[1]24-8-24 DATA ENTRY'!$A$1:$BR$258,3,FALSE)</f>
        <v>240000039523</v>
      </c>
      <c r="E6" s="18">
        <f>VLOOKUP($A6,'[1]24-8-24 DATA ENTRY'!$A$1:$BR$258,4,FALSE)</f>
        <v>21</v>
      </c>
      <c r="F6" s="18">
        <f>VLOOKUP($A6,'[1]24-8-24 DATA ENTRY'!$A$1:$BR$258,5,FALSE)</f>
        <v>1</v>
      </c>
      <c r="G6" s="19">
        <f>VLOOKUP($A6,'[1]24-8-24 DATA ENTRY'!$A$1:$BR$258,6,FALSE)</f>
        <v>45413</v>
      </c>
      <c r="H6" s="18">
        <f>VLOOKUP($A6,'[1]24-8-24 DATA ENTRY'!$A$1:$BR$258,7,FALSE)</f>
        <v>0.72916666666666663</v>
      </c>
      <c r="I6" s="19">
        <f>VLOOKUP($A6,'[1]24-8-24 DATA ENTRY'!$A$1:$BR$258,8,FALSE)</f>
        <v>0</v>
      </c>
      <c r="J6" s="19">
        <f>VLOOKUP($A6,'[1]24-8-24 DATA ENTRY'!$A$1:$BR$258,9,FALSE)</f>
        <v>0</v>
      </c>
      <c r="K6" s="18">
        <f>VLOOKUP($A6,'[1]24-8-24 DATA ENTRY'!$A$1:$BR$258,10,FALSE)</f>
        <v>0</v>
      </c>
      <c r="L6" s="18">
        <f>VLOOKUP($A6,'[1]24-8-24 DATA ENTRY'!$A$1:$BR$258,11,FALSE)</f>
        <v>0</v>
      </c>
      <c r="M6" s="18">
        <f>VLOOKUP($A6,'[1]24-8-24 DATA ENTRY'!$A$1:$BR$258,12,FALSE)</f>
        <v>0</v>
      </c>
      <c r="N6" s="18">
        <f>VLOOKUP($A6,'[1]24-8-24 DATA ENTRY'!$A$1:$BR$258,13,FALSE)</f>
        <v>2</v>
      </c>
      <c r="O6" s="18">
        <f>VLOOKUP($A6,'[1]24-8-24 DATA ENTRY'!$A$1:$BR$258,14,FALSE)</f>
        <v>2</v>
      </c>
      <c r="P6" s="18">
        <f>VLOOKUP($A6,'[1]24-8-24 DATA ENTRY'!$A$1:$BR$258,15,FALSE)</f>
        <v>2</v>
      </c>
      <c r="Q6" s="18">
        <f>VLOOKUP($A6,'[1]24-8-24 DATA ENTRY'!$A$1:$BR$258,16,FALSE)</f>
        <v>2</v>
      </c>
      <c r="R6" s="18">
        <f>VLOOKUP($A6,'[1]24-8-24 DATA ENTRY'!$A$1:$BR$258,17,FALSE)</f>
        <v>1</v>
      </c>
      <c r="S6" s="18">
        <f>VLOOKUP($A6,'[1]24-8-24 DATA ENTRY'!$A$1:$BR$258,18,FALSE)</f>
        <v>2</v>
      </c>
      <c r="T6" s="18">
        <f>VLOOKUP($A6,'[1]24-8-24 DATA ENTRY'!$A$1:$BR$258,19,FALSE)</f>
        <v>2</v>
      </c>
      <c r="U6" s="18">
        <f>VLOOKUP($A6,'[1]24-8-24 DATA ENTRY'!$A$1:$BR$258,20,FALSE)</f>
        <v>2</v>
      </c>
      <c r="V6" s="18">
        <f>VLOOKUP($A6,'[1]24-8-24 DATA ENTRY'!$A$1:$BR$258,21,FALSE)</f>
        <v>2</v>
      </c>
      <c r="W6" s="18" t="str">
        <f>VLOOKUP($A6,'[1]24-8-24 DATA ENTRY'!$A$1:$BR$258,22,FALSE)</f>
        <v>OPD patient</v>
      </c>
      <c r="X6" s="18">
        <f>VLOOKUP($A6,'[1]24-8-24 DATA ENTRY'!$A$1:$BR$258,23,FALSE)</f>
        <v>0</v>
      </c>
      <c r="Y6" s="18">
        <f>VLOOKUP($A6,'[1]24-8-24 DATA ENTRY'!$A$1:$BR$258,24,FALSE)</f>
        <v>0</v>
      </c>
      <c r="Z6" s="18">
        <f>VLOOKUP($A6,'[1]24-8-24 DATA ENTRY'!$A$1:$BR$258,25,FALSE)</f>
        <v>0</v>
      </c>
      <c r="AA6" s="18">
        <f>VLOOKUP($A6,'[1]24-8-24 DATA ENTRY'!$A$1:$BR$258,26,FALSE)</f>
        <v>0</v>
      </c>
      <c r="AB6" s="18">
        <f>VLOOKUP($A6,'[1]24-8-24 DATA ENTRY'!$A$1:$BR$258,27,FALSE)</f>
        <v>0</v>
      </c>
      <c r="AC6" s="18">
        <f>VLOOKUP($A6,'[1]24-8-24 DATA ENTRY'!$A$1:$BR$258,28,FALSE)</f>
        <v>0</v>
      </c>
      <c r="AD6" s="18">
        <f>VLOOKUP($A6,'[1]24-8-24 DATA ENTRY'!$A$1:$BR$258,29,FALSE)</f>
        <v>0</v>
      </c>
      <c r="AE6" s="18">
        <f>VLOOKUP($A6,'[1]24-8-24 DATA ENTRY'!$A$1:$BR$258,30,FALSE)</f>
        <v>0</v>
      </c>
      <c r="AF6" s="18">
        <f>VLOOKUP($A6,'[1]24-8-24 DATA ENTRY'!$A$1:$BR$258,31,FALSE)</f>
        <v>0</v>
      </c>
      <c r="AG6" s="18">
        <f>VLOOKUP($A6,'[1]24-8-24 DATA ENTRY'!$A$1:$BR$258,32,FALSE)</f>
        <v>0</v>
      </c>
      <c r="AH6" s="18">
        <f>VLOOKUP($A6,'[1]24-8-24 DATA ENTRY'!$A$1:$BR$258,33,FALSE)</f>
        <v>0</v>
      </c>
      <c r="AI6" s="18">
        <f>VLOOKUP($A6,'[1]24-8-24 DATA ENTRY'!$A$1:$BR$258,34,FALSE)</f>
        <v>0</v>
      </c>
      <c r="AJ6" s="18">
        <f>VLOOKUP($A6,'[1]24-8-24 DATA ENTRY'!$A$1:$BR$258,35,FALSE)</f>
        <v>0</v>
      </c>
      <c r="AK6" s="18" t="str">
        <f>VLOOKUP($A6,'[1]24-8-24 DATA ENTRY'!$A$1:$BR$258,36,FALSE)</f>
        <v>left corona radiata, left middle frontal gyrus and left pre frontal cortex infarct</v>
      </c>
      <c r="AL6" s="18" t="str">
        <f>VLOOKUP($A6,'[1]24-8-24 DATA ENTRY'!$A$1:$BR$258,37,FALSE)</f>
        <v>left ICA origin floating thrombus + plaques causing &lt; 50% stenosis</v>
      </c>
      <c r="AM6" s="18">
        <f>VLOOKUP($A6,'[1]24-8-24 DATA ENTRY'!$A$1:$BR$258,38,FALSE)</f>
        <v>0</v>
      </c>
      <c r="AN6" s="18">
        <f>VLOOKUP($A6,'[1]24-8-24 DATA ENTRY'!$A$1:$BR$258,39,FALSE)</f>
        <v>0</v>
      </c>
      <c r="AO6" s="18">
        <f>VLOOKUP($A6,'[1]24-8-24 DATA ENTRY'!$A$1:$BR$258,40,FALSE)</f>
        <v>0</v>
      </c>
      <c r="AP6" s="18">
        <f>VLOOKUP($A6,'[1]24-8-24 DATA ENTRY'!$A$1:$BR$258,41,FALSE)</f>
        <v>0</v>
      </c>
      <c r="AQ6" s="18">
        <f>VLOOKUP($A6,'[1]24-8-24 DATA ENTRY'!$A$1:$BR$258,42,FALSE)</f>
        <v>0</v>
      </c>
      <c r="AR6" s="18">
        <f>VLOOKUP($A6,'[1]24-8-24 DATA ENTRY'!$A$1:$BR$258,43,FALSE)</f>
        <v>0</v>
      </c>
      <c r="AS6" s="18">
        <f>VLOOKUP($A6,'[1]24-8-24 DATA ENTRY'!$A$1:$BR$258,44,FALSE)</f>
        <v>0</v>
      </c>
      <c r="AT6" s="18">
        <f>VLOOKUP($A6,'[1]24-8-24 DATA ENTRY'!$A$1:$BR$258,45,FALSE)</f>
        <v>1</v>
      </c>
      <c r="AU6" s="18">
        <f>VLOOKUP($A6,'[1]24-8-24 DATA ENTRY'!$A$1:$BR$258,46,FALSE)</f>
        <v>1</v>
      </c>
      <c r="AV6" s="18">
        <f>VLOOKUP($A6,'[1]24-8-24 DATA ENTRY'!$A$1:$BR$258,47,FALSE)</f>
        <v>2</v>
      </c>
      <c r="AW6" s="18">
        <f>VLOOKUP($A6,'[1]24-8-24 DATA ENTRY'!$A$1:$BR$258,48,FALSE)</f>
        <v>0</v>
      </c>
      <c r="AX6" s="18">
        <f>VLOOKUP($A6,'[1]24-8-24 DATA ENTRY'!$A$1:$BR$258,49,FALSE)</f>
        <v>0</v>
      </c>
      <c r="AY6" s="18">
        <f>VLOOKUP($A6,'[1]24-8-24 DATA ENTRY'!$A$1:$BR$258,50,FALSE)</f>
        <v>0</v>
      </c>
      <c r="AZ6" s="18">
        <f>VLOOKUP($A6,'[1]24-8-24 DATA ENTRY'!$A$1:$BR$258,51,FALSE)</f>
        <v>0</v>
      </c>
      <c r="BA6" s="18">
        <f>VLOOKUP($A6,'[1]24-8-24 DATA ENTRY'!$A$1:$BR$258,52,FALSE)</f>
        <v>0</v>
      </c>
      <c r="BB6" s="5">
        <v>1</v>
      </c>
      <c r="BC6" s="18">
        <f>VLOOKUP($A6,'[1]24-8-24 DATA ENTRY'!$A$1:$BR$258,53,FALSE)</f>
        <v>0</v>
      </c>
      <c r="BD6" s="5"/>
      <c r="BE6" s="5"/>
      <c r="BF6" s="5"/>
      <c r="BG6" s="5"/>
      <c r="BH6" s="5"/>
      <c r="BI6" s="5"/>
      <c r="BJ6" s="5"/>
      <c r="BK6" s="5"/>
      <c r="BL6" s="5"/>
      <c r="BM6" s="5"/>
      <c r="BN6" s="5"/>
      <c r="BO6" s="5"/>
      <c r="BP6" s="5"/>
      <c r="BQ6" s="5"/>
      <c r="BR6" s="5"/>
      <c r="BS6" s="5"/>
      <c r="BT6" s="5"/>
      <c r="BU6" s="5" t="s">
        <v>578</v>
      </c>
    </row>
    <row r="7" spans="1:73" x14ac:dyDescent="0.25">
      <c r="A7" s="8" t="s">
        <v>582</v>
      </c>
      <c r="B7" s="5">
        <v>0</v>
      </c>
      <c r="C7" s="8">
        <v>6.1217300000000003</v>
      </c>
      <c r="D7" s="9">
        <f>VLOOKUP($A7,'[1]24-8-24 DATA ENTRY'!$A$1:$BR$258,3,FALSE)</f>
        <v>240000032182</v>
      </c>
      <c r="E7" s="9">
        <f>VLOOKUP($A7,'[1]24-8-24 DATA ENTRY'!$A$1:$BR$258,4,FALSE)</f>
        <v>75</v>
      </c>
      <c r="F7" s="9">
        <f>VLOOKUP($A7,'[1]24-8-24 DATA ENTRY'!$A$1:$BR$258,5,FALSE)</f>
        <v>2</v>
      </c>
      <c r="G7" s="10">
        <f>VLOOKUP($A7,'[1]24-8-24 DATA ENTRY'!$A$1:$BR$258,6,FALSE)</f>
        <v>45387</v>
      </c>
      <c r="H7" s="9">
        <f>VLOOKUP($A7,'[1]24-8-24 DATA ENTRY'!$A$1:$BR$258,7,FALSE)</f>
        <v>0.29166666666666669</v>
      </c>
      <c r="I7" s="10">
        <f>VLOOKUP($A7,'[1]24-8-24 DATA ENTRY'!$A$1:$BR$258,8,FALSE)</f>
        <v>45387</v>
      </c>
      <c r="J7" s="10">
        <f>VLOOKUP($A7,'[1]24-8-24 DATA ENTRY'!$A$1:$BR$258,9,FALSE)</f>
        <v>0</v>
      </c>
      <c r="K7" s="9">
        <f>VLOOKUP($A7,'[1]24-8-24 DATA ENTRY'!$A$1:$BR$258,10,FALSE)</f>
        <v>9763800800</v>
      </c>
      <c r="L7" s="9">
        <f>VLOOKUP($A7,'[1]24-8-24 DATA ENTRY'!$A$1:$BR$258,11,FALSE)</f>
        <v>0</v>
      </c>
      <c r="M7" s="9">
        <f>VLOOKUP($A7,'[1]24-8-24 DATA ENTRY'!$A$1:$BR$258,12,FALSE)</f>
        <v>0</v>
      </c>
      <c r="N7" s="9">
        <f>VLOOKUP($A7,'[1]24-8-24 DATA ENTRY'!$A$1:$BR$258,13,FALSE)</f>
        <v>1</v>
      </c>
      <c r="O7" s="9">
        <f>VLOOKUP($A7,'[1]24-8-24 DATA ENTRY'!$A$1:$BR$258,14,FALSE)</f>
        <v>1</v>
      </c>
      <c r="P7" s="9">
        <f>VLOOKUP($A7,'[1]24-8-24 DATA ENTRY'!$A$1:$BR$258,15,FALSE)</f>
        <v>2</v>
      </c>
      <c r="Q7" s="9">
        <f>VLOOKUP($A7,'[1]24-8-24 DATA ENTRY'!$A$1:$BR$258,16,FALSE)</f>
        <v>2</v>
      </c>
      <c r="R7" s="9">
        <f>VLOOKUP($A7,'[1]24-8-24 DATA ENTRY'!$A$1:$BR$258,17,FALSE)</f>
        <v>2</v>
      </c>
      <c r="S7" s="9">
        <f>VLOOKUP($A7,'[1]24-8-24 DATA ENTRY'!$A$1:$BR$258,18,FALSE)</f>
        <v>2</v>
      </c>
      <c r="T7" s="9">
        <f>VLOOKUP($A7,'[1]24-8-24 DATA ENTRY'!$A$1:$BR$258,19,FALSE)</f>
        <v>2</v>
      </c>
      <c r="U7" s="9">
        <f>VLOOKUP($A7,'[1]24-8-24 DATA ENTRY'!$A$1:$BR$258,20,FALSE)</f>
        <v>2</v>
      </c>
      <c r="V7" s="9">
        <f>VLOOKUP($A7,'[1]24-8-24 DATA ENTRY'!$A$1:$BR$258,21,FALSE)</f>
        <v>2</v>
      </c>
      <c r="W7" s="9" t="str">
        <f>VLOOKUP($A7,'[1]24-8-24 DATA ENTRY'!$A$1:$BR$258,22,FALSE)</f>
        <v>Hypothyroidism, lymphoepithelial cyst</v>
      </c>
      <c r="X7" s="9">
        <f>VLOOKUP($A7,'[1]24-8-24 DATA ENTRY'!$A$1:$BR$258,23,FALSE)</f>
        <v>11.7</v>
      </c>
      <c r="Y7" s="9">
        <f>VLOOKUP($A7,'[1]24-8-24 DATA ENTRY'!$A$1:$BR$258,24,FALSE)</f>
        <v>37.299999999999997</v>
      </c>
      <c r="Z7" s="9">
        <f>VLOOKUP($A7,'[1]24-8-24 DATA ENTRY'!$A$1:$BR$258,25,FALSE)</f>
        <v>65.400000000000006</v>
      </c>
      <c r="AA7" s="9">
        <f>VLOOKUP($A7,'[1]24-8-24 DATA ENTRY'!$A$1:$BR$258,26,FALSE)</f>
        <v>18.29</v>
      </c>
      <c r="AB7" s="9">
        <f>VLOOKUP($A7,'[1]24-8-24 DATA ENTRY'!$A$1:$BR$258,27,FALSE)</f>
        <v>10.3</v>
      </c>
      <c r="AC7" s="9">
        <f>VLOOKUP($A7,'[1]24-8-24 DATA ENTRY'!$A$1:$BR$258,28,FALSE)</f>
        <v>206</v>
      </c>
      <c r="AD7" s="9">
        <f>VLOOKUP($A7,'[1]24-8-24 DATA ENTRY'!$A$1:$BR$258,29,FALSE)</f>
        <v>144</v>
      </c>
      <c r="AE7" s="9">
        <f>VLOOKUP($A7,'[1]24-8-24 DATA ENTRY'!$A$1:$BR$258,30,FALSE)</f>
        <v>35</v>
      </c>
      <c r="AF7" s="9">
        <f>VLOOKUP($A7,'[1]24-8-24 DATA ENTRY'!$A$1:$BR$258,31,FALSE)</f>
        <v>27</v>
      </c>
      <c r="AG7" s="9">
        <f>VLOOKUP($A7,'[1]24-8-24 DATA ENTRY'!$A$1:$BR$258,32,FALSE)</f>
        <v>135</v>
      </c>
      <c r="AH7" s="9">
        <f>VLOOKUP($A7,'[1]24-8-24 DATA ENTRY'!$A$1:$BR$258,33,FALSE)</f>
        <v>444</v>
      </c>
      <c r="AI7" s="9">
        <f>VLOOKUP($A7,'[1]24-8-24 DATA ENTRY'!$A$1:$BR$258,34,FALSE)</f>
        <v>0</v>
      </c>
      <c r="AJ7" s="9">
        <f>VLOOKUP($A7,'[1]24-8-24 DATA ENTRY'!$A$1:$BR$258,35,FALSE)</f>
        <v>0</v>
      </c>
      <c r="AK7" s="9" t="str">
        <f>VLOOKUP($A7,'[1]24-8-24 DATA ENTRY'!$A$1:$BR$258,36,FALSE)</f>
        <v>acute NHi in rt corona radiata, temporal lobe and Rt centrum semiovale and rt periventricular white matter</v>
      </c>
      <c r="AL7" s="9">
        <f>VLOOKUP($A7,'[1]24-8-24 DATA ENTRY'!$A$1:$BR$258,37,FALSE)</f>
        <v>0</v>
      </c>
      <c r="AM7" s="9">
        <f>VLOOKUP($A7,'[1]24-8-24 DATA ENTRY'!$A$1:$BR$258,38,FALSE)</f>
        <v>0</v>
      </c>
      <c r="AN7" s="9">
        <f>VLOOKUP($A7,'[1]24-8-24 DATA ENTRY'!$A$1:$BR$258,39,FALSE)</f>
        <v>0</v>
      </c>
      <c r="AO7" s="9">
        <f>VLOOKUP($A7,'[1]24-8-24 DATA ENTRY'!$A$1:$BR$258,40,FALSE)</f>
        <v>0</v>
      </c>
      <c r="AP7" s="9">
        <f>VLOOKUP($A7,'[1]24-8-24 DATA ENTRY'!$A$1:$BR$258,41,FALSE)</f>
        <v>0</v>
      </c>
      <c r="AQ7" s="9">
        <f>VLOOKUP($A7,'[1]24-8-24 DATA ENTRY'!$A$1:$BR$258,42,FALSE)</f>
        <v>0</v>
      </c>
      <c r="AR7" s="9">
        <f>VLOOKUP($A7,'[1]24-8-24 DATA ENTRY'!$A$1:$BR$258,43,FALSE)</f>
        <v>0</v>
      </c>
      <c r="AS7" s="9">
        <f>VLOOKUP($A7,'[1]24-8-24 DATA ENTRY'!$A$1:$BR$258,44,FALSE)</f>
        <v>0</v>
      </c>
      <c r="AT7" s="9">
        <f>VLOOKUP($A7,'[1]24-8-24 DATA ENTRY'!$A$1:$BR$258,45,FALSE)</f>
        <v>1</v>
      </c>
      <c r="AU7" s="9">
        <f>VLOOKUP($A7,'[1]24-8-24 DATA ENTRY'!$A$1:$BR$258,46,FALSE)</f>
        <v>1</v>
      </c>
      <c r="AV7" s="9">
        <f>VLOOKUP($A7,'[1]24-8-24 DATA ENTRY'!$A$1:$BR$258,47,FALSE)</f>
        <v>2</v>
      </c>
      <c r="AW7" s="9">
        <f>VLOOKUP($A7,'[1]24-8-24 DATA ENTRY'!$A$1:$BR$258,48,FALSE)</f>
        <v>0</v>
      </c>
      <c r="AX7" s="9">
        <f>VLOOKUP($A7,'[1]24-8-24 DATA ENTRY'!$A$1:$BR$258,49,FALSE)</f>
        <v>0</v>
      </c>
      <c r="AY7" s="9">
        <f>VLOOKUP($A7,'[1]24-8-24 DATA ENTRY'!$A$1:$BR$258,50,FALSE)</f>
        <v>0</v>
      </c>
      <c r="AZ7" s="9">
        <f>VLOOKUP($A7,'[1]24-8-24 DATA ENTRY'!$A$1:$BR$258,51,FALSE)</f>
        <v>0</v>
      </c>
      <c r="BA7" s="9">
        <f>VLOOKUP($A7,'[1]24-8-24 DATA ENTRY'!$A$1:$BR$258,52,FALSE)</f>
        <v>0</v>
      </c>
      <c r="BB7" s="5">
        <v>1</v>
      </c>
      <c r="BC7" s="9">
        <f>VLOOKUP($A7,'[1]24-8-24 DATA ENTRY'!$A$1:$BR$258,53,FALSE)</f>
        <v>0</v>
      </c>
      <c r="BD7" s="8"/>
      <c r="BE7" s="8"/>
      <c r="BF7" s="8"/>
      <c r="BG7" s="8"/>
      <c r="BH7" s="8"/>
      <c r="BI7" s="8"/>
      <c r="BJ7" s="8"/>
      <c r="BK7" s="8"/>
      <c r="BL7" s="8"/>
      <c r="BM7" s="8"/>
      <c r="BN7" s="8"/>
      <c r="BO7" s="8"/>
      <c r="BP7" s="8"/>
      <c r="BQ7" s="8"/>
      <c r="BR7" s="8"/>
      <c r="BS7" s="8"/>
      <c r="BT7" s="8"/>
      <c r="BU7" s="8" t="s">
        <v>578</v>
      </c>
    </row>
    <row r="8" spans="1:73" x14ac:dyDescent="0.25">
      <c r="A8" s="5" t="s">
        <v>623</v>
      </c>
      <c r="B8" s="5">
        <v>0</v>
      </c>
      <c r="C8" s="5">
        <v>218.59</v>
      </c>
      <c r="D8" s="9">
        <f>VLOOKUP($A8,'[1]24-8-24 DATA ENTRY'!$A$1:$BR$303,3,FALSE)</f>
        <v>240000055967</v>
      </c>
      <c r="E8" s="9">
        <f>VLOOKUP($A8,'[1]24-8-24 DATA ENTRY'!$A$1:$BR$303,4,FALSE)</f>
        <v>0</v>
      </c>
      <c r="F8" s="9">
        <f>VLOOKUP($A8,'[1]24-8-24 DATA ENTRY'!$A$1:$BR$303,5,FALSE)</f>
        <v>2</v>
      </c>
      <c r="G8" s="10">
        <f>VLOOKUP($A8,'[1]24-8-24 DATA ENTRY'!$A$1:$BR$303,6,FALSE)</f>
        <v>45468</v>
      </c>
      <c r="H8" s="9">
        <f>VLOOKUP($A8,'[1]24-8-24 DATA ENTRY'!$A$1:$BR$303,7,FALSE)</f>
        <v>0.47916666666666669</v>
      </c>
      <c r="I8" s="10">
        <f>VLOOKUP($A8,'[1]24-8-24 DATA ENTRY'!$A$1:$BR$303,8,FALSE)</f>
        <v>45469</v>
      </c>
      <c r="J8" s="10">
        <f>VLOOKUP($A8,'[1]24-8-24 DATA ENTRY'!$A$1:$BR$303,9,FALSE)</f>
        <v>45472</v>
      </c>
      <c r="K8" s="9">
        <f>VLOOKUP($A8,'[1]24-8-24 DATA ENTRY'!$A$1:$BR$303,10,FALSE)</f>
        <v>9881968945</v>
      </c>
      <c r="L8" s="9">
        <f>VLOOKUP($A8,'[1]24-8-24 DATA ENTRY'!$A$1:$BR$303,11,FALSE)</f>
        <v>0</v>
      </c>
      <c r="M8" s="9">
        <f>VLOOKUP($A8,'[1]24-8-24 DATA ENTRY'!$A$1:$BR$303,12,FALSE)</f>
        <v>21</v>
      </c>
      <c r="N8" s="9">
        <f>VLOOKUP($A8,'[1]24-8-24 DATA ENTRY'!$A$1:$BR$303,13,FALSE)</f>
        <v>2</v>
      </c>
      <c r="O8" s="9">
        <f>VLOOKUP($A8,'[1]24-8-24 DATA ENTRY'!$A$1:$BR$303,14,FALSE)</f>
        <v>2</v>
      </c>
      <c r="P8" s="9">
        <f>VLOOKUP($A8,'[1]24-8-24 DATA ENTRY'!$A$1:$BR$303,15,FALSE)</f>
        <v>2</v>
      </c>
      <c r="Q8" s="9">
        <f>VLOOKUP($A8,'[1]24-8-24 DATA ENTRY'!$A$1:$BR$303,16,FALSE)</f>
        <v>2</v>
      </c>
      <c r="R8" s="9">
        <f>VLOOKUP($A8,'[1]24-8-24 DATA ENTRY'!$A$1:$BR$303,17,FALSE)</f>
        <v>2</v>
      </c>
      <c r="S8" s="9">
        <f>VLOOKUP($A8,'[1]24-8-24 DATA ENTRY'!$A$1:$BR$303,18,FALSE)</f>
        <v>2</v>
      </c>
      <c r="T8" s="9">
        <f>VLOOKUP($A8,'[1]24-8-24 DATA ENTRY'!$A$1:$BR$303,19,FALSE)</f>
        <v>1</v>
      </c>
      <c r="U8" s="9">
        <v>2</v>
      </c>
      <c r="V8" s="9">
        <f>VLOOKUP($A8,'[1]24-8-24 DATA ENTRY'!$A$1:$BR$303,21,FALSE)</f>
        <v>1</v>
      </c>
      <c r="W8" s="9" t="str">
        <f>VLOOKUP($A8,'[1]24-8-24 DATA ENTRY'!$A$1:$BR$303,22,FALSE)</f>
        <v>past history of 2 CVA 4, 8 yers ago</v>
      </c>
      <c r="X8" s="9">
        <f>VLOOKUP($A8,'[1]24-8-24 DATA ENTRY'!$A$1:$BR$303,23,FALSE)</f>
        <v>14.4</v>
      </c>
      <c r="Y8" s="9">
        <f>VLOOKUP($A8,'[1]24-8-24 DATA ENTRY'!$A$1:$BR$303,24,FALSE)</f>
        <v>43</v>
      </c>
      <c r="Z8" s="9">
        <f>VLOOKUP($A8,'[1]24-8-24 DATA ENTRY'!$A$1:$BR$303,25,FALSE)</f>
        <v>97.3</v>
      </c>
      <c r="AA8" s="9">
        <f>VLOOKUP($A8,'[1]24-8-24 DATA ENTRY'!$A$1:$BR$303,26,FALSE)</f>
        <v>0</v>
      </c>
      <c r="AB8" s="9">
        <f>VLOOKUP($A8,'[1]24-8-24 DATA ENTRY'!$A$1:$BR$303,27,FALSE)</f>
        <v>0</v>
      </c>
      <c r="AC8" s="9">
        <f>VLOOKUP($A8,'[1]24-8-24 DATA ENTRY'!$A$1:$BR$303,28,FALSE)</f>
        <v>0</v>
      </c>
      <c r="AD8" s="9">
        <f>VLOOKUP($A8,'[1]24-8-24 DATA ENTRY'!$A$1:$BR$303,29,FALSE)</f>
        <v>0</v>
      </c>
      <c r="AE8" s="9">
        <f>VLOOKUP($A8,'[1]24-8-24 DATA ENTRY'!$A$1:$BR$2303,30,FALSE)</f>
        <v>0</v>
      </c>
      <c r="AF8" s="9">
        <f>VLOOKUP($A8,'[1]24-8-24 DATA ENTRY'!$A$1:$BR$303,31,FALSE)</f>
        <v>0</v>
      </c>
      <c r="AG8" s="9">
        <f>VLOOKUP($A8,'[1]24-8-24 DATA ENTRY'!$A$1:$BR$303,32,FALSE)</f>
        <v>0</v>
      </c>
      <c r="AH8" s="9">
        <f>VLOOKUP($A8,'[1]24-8-24 DATA ENTRY'!$A$1:$BR$303,33,FALSE)</f>
        <v>0</v>
      </c>
      <c r="AI8" s="9">
        <f>VLOOKUP($A8,'[1]24-8-24 DATA ENTRY'!$A$1:$BR$303,34,FALSE)</f>
        <v>0</v>
      </c>
      <c r="AJ8" s="9">
        <f>VLOOKUP($A8,'[1]24-8-24 DATA ENTRY'!$A$1:$BR$303,35,FALSE)</f>
        <v>0</v>
      </c>
      <c r="AK8" s="9" t="str">
        <f>VLOOKUP($A8,'[1]24-8-24 DATA ENTRY'!$A$1:$BR$303,36,FALSE)</f>
        <v>Left MCA infarct with hemorrhagic transformtion and midline shift</v>
      </c>
      <c r="AL8" s="9" t="str">
        <f>VLOOKUP($A8,'[1]24-8-24 DATA ENTRY'!$A$1:$BR$303,37,FALSE)</f>
        <v>Left distal M1 block</v>
      </c>
      <c r="AM8" s="9">
        <f>VLOOKUP($A8,'[1]24-8-24 DATA ENTRY'!$A$1:$BR$303,38,FALSE)</f>
        <v>0</v>
      </c>
      <c r="AN8" s="9">
        <f>VLOOKUP($A8,'[1]24-8-24 DATA ENTRY'!$A$1:$BR$303,39,FALSE)</f>
        <v>0</v>
      </c>
      <c r="AO8" s="9">
        <f>VLOOKUP($A8,'[1]24-8-24 DATA ENTRY'!$A$1:$BR$303,40,FALSE)</f>
        <v>0</v>
      </c>
      <c r="AP8" s="9">
        <f>VLOOKUP($A8,'[1]24-8-24 DATA ENTRY'!$A$1:$BR$303,41,FALSE)</f>
        <v>0</v>
      </c>
      <c r="AQ8" s="9">
        <f>VLOOKUP($A8,'[1]24-8-24 DATA ENTRY'!$A$1:$BR$303,42,FALSE)</f>
        <v>0</v>
      </c>
      <c r="AR8" s="9">
        <f>VLOOKUP($A8,'[1]24-8-24 DATA ENTRY'!$A$1:$BR$303,43,FALSE)</f>
        <v>0</v>
      </c>
      <c r="AS8" s="9">
        <f>VLOOKUP($A8,'[1]24-8-24 DATA ENTRY'!$A$1:$BR$303,44,FALSE)</f>
        <v>0</v>
      </c>
      <c r="AT8" s="9">
        <f>VLOOKUP($A8,'[1]24-8-24 DATA ENTRY'!$A$1:$BR$303,45,FALSE)</f>
        <v>1</v>
      </c>
      <c r="AU8" s="9">
        <f>VLOOKUP($A8,'[1]24-8-24 DATA ENTRY'!$A$1:$BR$303,46,FALSE)</f>
        <v>2</v>
      </c>
      <c r="AV8" s="9">
        <f>VLOOKUP($A8,'[1]24-8-24 DATA ENTRY'!$A$1:$BR$303,47,FALSE)</f>
        <v>2</v>
      </c>
      <c r="AW8" s="9">
        <f>VLOOKUP($A8,'[1]24-8-24 DATA ENTRY'!$A$1:$BR$303,48,FALSE)</f>
        <v>0</v>
      </c>
      <c r="AX8" s="9">
        <f>VLOOKUP($A8,'[1]24-8-24 DATA ENTRY'!$A$1:$BR$303,49,FALSE)</f>
        <v>0</v>
      </c>
      <c r="AY8" s="9">
        <f>VLOOKUP($A8,'[1]24-8-24 DATA ENTRY'!$A$1:$BR$303,50,FALSE)</f>
        <v>0</v>
      </c>
      <c r="AZ8" s="9">
        <f>VLOOKUP($A8,'[1]24-8-24 DATA ENTRY'!$A$1:$BR$303,51,FALSE)</f>
        <v>0</v>
      </c>
      <c r="BA8" s="9">
        <f>VLOOKUP($A8,'[1]24-8-24 DATA ENTRY'!$A$1:$BR$303,52,FALSE)</f>
        <v>0</v>
      </c>
      <c r="BB8" s="5">
        <v>1</v>
      </c>
      <c r="BC8" s="9">
        <f>VLOOKUP($A8,'[1]24-8-24 DATA ENTRY'!$A$1:$BR$303,53,FALSE)</f>
        <v>0</v>
      </c>
      <c r="BD8" s="5"/>
      <c r="BE8" s="5"/>
      <c r="BF8" s="5"/>
      <c r="BG8" s="5"/>
      <c r="BH8" s="5"/>
      <c r="BI8" s="5"/>
      <c r="BJ8" s="5"/>
      <c r="BK8" s="5"/>
      <c r="BL8" s="5"/>
      <c r="BM8" s="5"/>
      <c r="BN8" s="5"/>
      <c r="BO8" s="5"/>
      <c r="BP8" s="5"/>
      <c r="BQ8" s="5"/>
      <c r="BR8" s="5"/>
      <c r="BS8" s="5"/>
      <c r="BT8" s="5"/>
      <c r="BU8" s="5" t="s">
        <v>624</v>
      </c>
    </row>
    <row r="9" spans="1:73" x14ac:dyDescent="0.25">
      <c r="A9" s="12" t="s">
        <v>237</v>
      </c>
      <c r="B9" s="5"/>
      <c r="C9" s="5">
        <v>13.870799999999999</v>
      </c>
      <c r="D9" s="9">
        <f>VLOOKUP($A9,'[1]24-8-24 DATA ENTRY'!$A$1:$BR$303,3,FALSE)</f>
        <v>230704454</v>
      </c>
      <c r="E9" s="9">
        <f>VLOOKUP($A9,'[1]24-8-24 DATA ENTRY'!$A$1:$BR$303,4,FALSE)</f>
        <v>45</v>
      </c>
      <c r="F9" s="9">
        <f>VLOOKUP($A9,'[1]24-8-24 DATA ENTRY'!$A$1:$BR$303,5,FALSE)</f>
        <v>1</v>
      </c>
      <c r="G9" s="10">
        <f>VLOOKUP($A9,'[1]24-8-24 DATA ENTRY'!$A$1:$BR$303,6,FALSE)</f>
        <v>45135</v>
      </c>
      <c r="H9" s="9">
        <f>VLOOKUP($A9,'[1]24-8-24 DATA ENTRY'!$A$1:$BR$303,7,FALSE)</f>
        <v>0.47916666666666669</v>
      </c>
      <c r="I9" s="10">
        <f>VLOOKUP($A9,'[1]24-8-24 DATA ENTRY'!$A$1:$BR$303,8,FALSE)</f>
        <v>45135</v>
      </c>
      <c r="J9" s="10">
        <f>VLOOKUP($A9,'[1]24-8-24 DATA ENTRY'!$A$1:$BR$303,9,FALSE)</f>
        <v>45136</v>
      </c>
      <c r="K9" s="9">
        <f>VLOOKUP($A9,'[1]24-8-24 DATA ENTRY'!$A$1:$BR$303,10,FALSE)</f>
        <v>7888249757</v>
      </c>
      <c r="L9" s="9">
        <f>VLOOKUP($A9,'[1]24-8-24 DATA ENTRY'!$A$1:$BR$303,11,FALSE)</f>
        <v>0</v>
      </c>
      <c r="M9" s="9">
        <f>VLOOKUP($A9,'[1]24-8-24 DATA ENTRY'!$A$1:$BR$303,12,FALSE)</f>
        <v>4</v>
      </c>
      <c r="N9" s="9">
        <f>VLOOKUP($A9,'[1]24-8-24 DATA ENTRY'!$A$1:$BR$303,13,FALSE)</f>
        <v>2</v>
      </c>
      <c r="O9" s="9">
        <f>VLOOKUP($A9,'[1]24-8-24 DATA ENTRY'!$A$1:$BR$303,14,FALSE)</f>
        <v>2</v>
      </c>
      <c r="P9" s="9">
        <f>VLOOKUP($A9,'[1]24-8-24 DATA ENTRY'!$A$1:$BR$303,15,FALSE)</f>
        <v>2</v>
      </c>
      <c r="Q9" s="9">
        <f>VLOOKUP($A9,'[1]24-8-24 DATA ENTRY'!$A$1:$BR$303,16,FALSE)</f>
        <v>2</v>
      </c>
      <c r="R9" s="9">
        <f>VLOOKUP($A9,'[1]24-8-24 DATA ENTRY'!$A$1:$BR$303,17,FALSE)</f>
        <v>2</v>
      </c>
      <c r="S9" s="9">
        <f>VLOOKUP($A9,'[1]24-8-24 DATA ENTRY'!$A$1:$BR$303,18,FALSE)</f>
        <v>2</v>
      </c>
      <c r="T9" s="9">
        <f>VLOOKUP($A9,'[1]24-8-24 DATA ENTRY'!$A$1:$BR$303,19,FALSE)</f>
        <v>2</v>
      </c>
      <c r="U9" s="9">
        <f>VLOOKUP($A9,'[1]24-8-24 DATA ENTRY'!$A$1:$BR$278,20,FALSE)</f>
        <v>2</v>
      </c>
      <c r="V9" s="9">
        <f>VLOOKUP($A9,'[1]24-8-24 DATA ENTRY'!$A$1:$BR$303,21,FALSE)</f>
        <v>2</v>
      </c>
      <c r="W9" s="9">
        <f>VLOOKUP($A9,'[1]24-8-24 DATA ENTRY'!$A$1:$BR$303,22,FALSE)</f>
        <v>0</v>
      </c>
      <c r="X9" s="9">
        <f>VLOOKUP($A9,'[1]24-8-24 DATA ENTRY'!$A$1:$BR$303,23,FALSE)</f>
        <v>14.2</v>
      </c>
      <c r="Y9" s="9">
        <f>VLOOKUP($A9,'[1]24-8-24 DATA ENTRY'!$A$1:$BR$303,24,FALSE)</f>
        <v>42.6</v>
      </c>
      <c r="Z9" s="9">
        <f>VLOOKUP($A9,'[1]24-8-24 DATA ENTRY'!$A$1:$BR$303,25,FALSE)</f>
        <v>88.2</v>
      </c>
      <c r="AA9" s="9">
        <f>VLOOKUP($A9,'[1]24-8-24 DATA ENTRY'!$A$1:$BR$303,26,FALSE)</f>
        <v>14.52</v>
      </c>
      <c r="AB9" s="9">
        <f>VLOOKUP($A9,'[1]24-8-24 DATA ENTRY'!$A$1:$BR$303,27,FALSE)</f>
        <v>6.5</v>
      </c>
      <c r="AC9" s="9">
        <f>VLOOKUP($A9,'[1]24-8-24 DATA ENTRY'!$A$1:$BR$303,28,FALSE)</f>
        <v>216</v>
      </c>
      <c r="AD9" s="9">
        <f>VLOOKUP($A9,'[1]24-8-24 DATA ENTRY'!$A$1:$BR$303,29,FALSE)</f>
        <v>123.2</v>
      </c>
      <c r="AE9" s="9">
        <f>VLOOKUP($A9,'[1]24-8-24 DATA ENTRY'!$A$1:$BR$2303,30,FALSE)</f>
        <v>40</v>
      </c>
      <c r="AF9" s="9">
        <f>VLOOKUP($A9,'[1]24-8-24 DATA ENTRY'!$A$1:$BR$303,31,FALSE)</f>
        <v>52.8</v>
      </c>
      <c r="AG9" s="9">
        <f>VLOOKUP($A9,'[1]24-8-24 DATA ENTRY'!$A$1:$BR$303,32,FALSE)</f>
        <v>264</v>
      </c>
      <c r="AH9" s="9">
        <f>VLOOKUP($A9,'[1]24-8-24 DATA ENTRY'!$A$1:$BR$303,33,FALSE)</f>
        <v>0</v>
      </c>
      <c r="AI9" s="9">
        <f>VLOOKUP($A9,'[1]24-8-24 DATA ENTRY'!$A$1:$BR$303,34,FALSE)</f>
        <v>0</v>
      </c>
      <c r="AJ9" s="9">
        <f>VLOOKUP($A9,'[1]24-8-24 DATA ENTRY'!$A$1:$BR$303,35,FALSE)</f>
        <v>0</v>
      </c>
      <c r="AK9" s="9" t="str">
        <f>VLOOKUP($A9,'[1]24-8-24 DATA ENTRY'!$A$1:$BR$303,36,FALSE)</f>
        <v>NHI in fronto-parietal region and lt centrum semiovale</v>
      </c>
      <c r="AL9" s="9" t="str">
        <f>VLOOKUP($A9,'[1]24-8-24 DATA ENTRY'!$A$1:$BR$303,37,FALSE)</f>
        <v>normal</v>
      </c>
      <c r="AM9" s="9">
        <f>VLOOKUP($A9,'[1]24-8-24 DATA ENTRY'!$A$1:$BR$303,38,FALSE)</f>
        <v>0</v>
      </c>
      <c r="AN9" s="9">
        <f>VLOOKUP($A9,'[1]24-8-24 DATA ENTRY'!$A$1:$BR$303,39,FALSE)</f>
        <v>0</v>
      </c>
      <c r="AO9" s="9">
        <f>VLOOKUP($A9,'[1]24-8-24 DATA ENTRY'!$A$1:$BR$303,40,FALSE)</f>
        <v>0</v>
      </c>
      <c r="AP9" s="9">
        <f>VLOOKUP($A9,'[1]24-8-24 DATA ENTRY'!$A$1:$BR$303,41,FALSE)</f>
        <v>0</v>
      </c>
      <c r="AQ9" s="9">
        <f>VLOOKUP($A9,'[1]24-8-24 DATA ENTRY'!$A$1:$BR$303,42,FALSE)</f>
        <v>0</v>
      </c>
      <c r="AR9" s="9">
        <f>VLOOKUP($A9,'[1]24-8-24 DATA ENTRY'!$A$1:$BR$303,43,FALSE)</f>
        <v>0</v>
      </c>
      <c r="AS9" s="9">
        <f>VLOOKUP($A9,'[1]24-8-24 DATA ENTRY'!$A$1:$BR$303,44,FALSE)</f>
        <v>0</v>
      </c>
      <c r="AT9" s="9">
        <f>VLOOKUP($A9,'[1]24-8-24 DATA ENTRY'!$A$1:$BR$303,45,FALSE)</f>
        <v>1</v>
      </c>
      <c r="AU9" s="9">
        <f>VLOOKUP($A9,'[1]24-8-24 DATA ENTRY'!$A$1:$BR$303,46,FALSE)</f>
        <v>1</v>
      </c>
      <c r="AV9" s="9">
        <f>VLOOKUP($A9,'[1]24-8-24 DATA ENTRY'!$A$1:$BR$303,47,FALSE)</f>
        <v>2</v>
      </c>
      <c r="AW9" s="9">
        <f>VLOOKUP($A9,'[1]24-8-24 DATA ENTRY'!$A$1:$BR$303,48,FALSE)</f>
        <v>0</v>
      </c>
      <c r="AX9" s="9">
        <f>VLOOKUP($A9,'[1]24-8-24 DATA ENTRY'!$A$1:$BR$303,49,FALSE)</f>
        <v>0</v>
      </c>
      <c r="AY9" s="9">
        <f>VLOOKUP($A9,'[1]24-8-24 DATA ENTRY'!$A$1:$BR$303,50,FALSE)</f>
        <v>0</v>
      </c>
      <c r="AZ9" s="9">
        <f>VLOOKUP($A9,'[1]24-8-24 DATA ENTRY'!$A$1:$BR$303,51,FALSE)</f>
        <v>0</v>
      </c>
      <c r="BA9" s="9">
        <f>VLOOKUP($A9,'[1]24-8-24 DATA ENTRY'!$A$1:$BR$303,52,FALSE)</f>
        <v>1</v>
      </c>
      <c r="BB9" s="5">
        <v>1</v>
      </c>
      <c r="BC9" s="9">
        <f>VLOOKUP($A9,'[1]24-8-24 DATA ENTRY'!$A$1:$BR$303,53,FALSE)</f>
        <v>100</v>
      </c>
      <c r="BD9" s="5">
        <v>0</v>
      </c>
      <c r="BE9" s="5">
        <v>2</v>
      </c>
      <c r="BF9" s="5">
        <v>2</v>
      </c>
      <c r="BG9" s="5">
        <v>2</v>
      </c>
      <c r="BH9" s="5">
        <v>1</v>
      </c>
      <c r="BI9" s="5">
        <v>1</v>
      </c>
      <c r="BJ9" s="5">
        <v>1</v>
      </c>
      <c r="BK9" s="5">
        <v>0</v>
      </c>
      <c r="BL9" s="5">
        <v>2</v>
      </c>
      <c r="BM9" s="5">
        <v>2</v>
      </c>
      <c r="BN9" s="5">
        <v>2</v>
      </c>
      <c r="BO9" s="5">
        <v>1</v>
      </c>
      <c r="BP9" s="5">
        <v>1</v>
      </c>
      <c r="BQ9" s="5">
        <v>1</v>
      </c>
      <c r="BR9" s="5">
        <v>18</v>
      </c>
      <c r="BS9" s="5">
        <v>0</v>
      </c>
      <c r="BT9" s="5">
        <v>0</v>
      </c>
      <c r="BU9" s="5" t="s">
        <v>238</v>
      </c>
    </row>
    <row r="10" spans="1:73" x14ac:dyDescent="0.25">
      <c r="A10" s="12" t="s">
        <v>418</v>
      </c>
      <c r="B10" s="5">
        <v>1</v>
      </c>
      <c r="C10" s="12">
        <v>12.747199999999999</v>
      </c>
      <c r="D10" s="9">
        <f>VLOOKUP($A10,'[1]24-8-24 DATA ENTRY'!$A$1:$BR$278,3,FALSE)</f>
        <v>230000053311</v>
      </c>
      <c r="E10" s="9">
        <f>VLOOKUP($A10,'[1]24-8-24 DATA ENTRY'!$A$1:$BR$278,4,FALSE)</f>
        <v>55</v>
      </c>
      <c r="F10" s="9">
        <f>VLOOKUP($A10,'[1]24-8-24 DATA ENTRY'!$A$1:$BR$278,5,FALSE)</f>
        <v>2</v>
      </c>
      <c r="G10" s="10">
        <f>VLOOKUP($A10,'[1]24-8-24 DATA ENTRY'!$A$1:$BR$278,6,FALSE)</f>
        <v>45219</v>
      </c>
      <c r="H10" s="9">
        <f>VLOOKUP($A10,'[1]24-8-24 DATA ENTRY'!$A$1:$BR$278,7,FALSE)</f>
        <v>0.54166666666666663</v>
      </c>
      <c r="I10" s="10">
        <f>VLOOKUP($A10,'[1]24-8-24 DATA ENTRY'!$A$1:$BR$278,8,FALSE)</f>
        <v>45219</v>
      </c>
      <c r="J10" s="10">
        <f>VLOOKUP($A10,'[1]24-8-24 DATA ENTRY'!$A$1:$BR$278,9,FALSE)</f>
        <v>45220</v>
      </c>
      <c r="K10" s="9">
        <f>VLOOKUP($A10,'[1]24-8-24 DATA ENTRY'!$A$1:$BR$278,10,FALSE)</f>
        <v>7498754557</v>
      </c>
      <c r="L10" s="9">
        <f>VLOOKUP($A10,'[1]24-8-24 DATA ENTRY'!$A$1:$BR$278,11,FALSE)</f>
        <v>0</v>
      </c>
      <c r="M10" s="9">
        <f>VLOOKUP($A10,'[1]24-8-24 DATA ENTRY'!$A$1:$BR$278,12,FALSE)</f>
        <v>8</v>
      </c>
      <c r="N10" s="9">
        <f>VLOOKUP($A10,'[1]24-8-24 DATA ENTRY'!$A$1:$BR$278,13,FALSE)</f>
        <v>1</v>
      </c>
      <c r="O10" s="9">
        <f>VLOOKUP($A10,'[1]24-8-24 DATA ENTRY'!$A$1:$BR$278,14,FALSE)</f>
        <v>1</v>
      </c>
      <c r="P10" s="9">
        <f>VLOOKUP($A10,'[1]24-8-24 DATA ENTRY'!$A$1:$BR$278,15,FALSE)</f>
        <v>2</v>
      </c>
      <c r="Q10" s="9">
        <f>VLOOKUP($A10,'[1]24-8-24 DATA ENTRY'!$A$1:$BR$278,16,FALSE)</f>
        <v>2</v>
      </c>
      <c r="R10" s="9">
        <f>VLOOKUP($A10,'[1]24-8-24 DATA ENTRY'!$A$1:$BR$278,17,FALSE)</f>
        <v>2</v>
      </c>
      <c r="S10" s="9">
        <f>VLOOKUP($A10,'[1]24-8-24 DATA ENTRY'!$A$1:$BR$278,18,FALSE)</f>
        <v>2</v>
      </c>
      <c r="T10" s="9">
        <f>VLOOKUP($A10,'[1]24-8-24 DATA ENTRY'!$A$1:$BR$278,19,FALSE)</f>
        <v>2</v>
      </c>
      <c r="U10" s="9">
        <f>VLOOKUP($A10,'[1]24-8-24 DATA ENTRY'!$A$1:$BR$278,20,FALSE)</f>
        <v>2</v>
      </c>
      <c r="V10" s="9">
        <f>VLOOKUP($A10,'[1]24-8-24 DATA ENTRY'!$A$1:$BR$278,21,FALSE)</f>
        <v>2</v>
      </c>
      <c r="W10" s="9">
        <f>VLOOKUP($A10,'[1]24-8-24 DATA ENTRY'!$A$1:$BR$278,22,FALSE)</f>
        <v>0</v>
      </c>
      <c r="X10" s="9">
        <f>VLOOKUP($A10,'[1]24-8-24 DATA ENTRY'!$A$1:$BR$278,23,FALSE)</f>
        <v>10.4</v>
      </c>
      <c r="Y10" s="9">
        <f>VLOOKUP($A10,'[1]24-8-24 DATA ENTRY'!$A$1:$BR$278,24,FALSE)</f>
        <v>0</v>
      </c>
      <c r="Z10" s="9">
        <f>VLOOKUP($A10,'[1]24-8-24 DATA ENTRY'!$A$1:$BR$278,25,FALSE)</f>
        <v>0</v>
      </c>
      <c r="AA10" s="9">
        <f>VLOOKUP($A10,'[1]24-8-24 DATA ENTRY'!$A$1:$BR$278,26,FALSE)</f>
        <v>16.39</v>
      </c>
      <c r="AB10" s="9">
        <f>VLOOKUP($A10,'[1]24-8-24 DATA ENTRY'!$A$1:$BR$278,27,FALSE)</f>
        <v>5.8</v>
      </c>
      <c r="AC10" s="9">
        <f>VLOOKUP($A10,'[1]24-8-24 DATA ENTRY'!$A$1:$BR$278,28,FALSE)</f>
        <v>186</v>
      </c>
      <c r="AD10" s="9">
        <f>VLOOKUP($A10,'[1]24-8-24 DATA ENTRY'!$A$1:$BR$278,29,FALSE)</f>
        <v>130.19999999999999</v>
      </c>
      <c r="AE10" s="9">
        <f>VLOOKUP($A10,'[1]24-8-24 DATA ENTRY'!$A$1:$BR$278,30,FALSE)</f>
        <v>34</v>
      </c>
      <c r="AF10" s="9">
        <f>VLOOKUP($A10,'[1]24-8-24 DATA ENTRY'!$A$1:$BR$278,31,FALSE)</f>
        <v>21.8</v>
      </c>
      <c r="AG10" s="9">
        <f>VLOOKUP($A10,'[1]24-8-24 DATA ENTRY'!$A$1:$BR$278,32,FALSE)</f>
        <v>109</v>
      </c>
      <c r="AH10" s="9">
        <f>VLOOKUP($A10,'[1]24-8-24 DATA ENTRY'!$A$1:$BR$278,33,FALSE)</f>
        <v>148</v>
      </c>
      <c r="AI10" s="9">
        <f>VLOOKUP($A10,'[1]24-8-24 DATA ENTRY'!$A$1:$BR$278,34,FALSE)</f>
        <v>0</v>
      </c>
      <c r="AJ10" s="9">
        <f>VLOOKUP($A10,'[1]24-8-24 DATA ENTRY'!$A$1:$BR$278,35,FALSE)</f>
        <v>0</v>
      </c>
      <c r="AK10" s="9" t="str">
        <f>VLOOKUP($A10,'[1]24-8-24 DATA ENTRY'!$A$1:$BR$278,36,FALSE)</f>
        <v>Patchy acute non hemorrhagic infarcts in left frontal region. Patchy acute non hemorrhagic lacunar infarcts in left fronto-parieto-temporal region, splenium of corpus callosum in watershed territory.</v>
      </c>
      <c r="AL10" s="9" t="str">
        <f>VLOOKUP($A10,'[1]24-8-24 DATA ENTRY'!$A$1:$BR$278,37,FALSE)</f>
        <v xml:space="preserve">90% stenosis of left ICA with ruptured atherosclerotic plaque in left ICA </v>
      </c>
      <c r="AM10" s="9">
        <f>VLOOKUP($A10,'[1]24-8-24 DATA ENTRY'!$A$1:$BR$278,38,FALSE)</f>
        <v>0</v>
      </c>
      <c r="AN10" s="9">
        <f>VLOOKUP($A10,'[1]24-8-24 DATA ENTRY'!$A$1:$BR$278,39,FALSE)</f>
        <v>0</v>
      </c>
      <c r="AO10" s="9">
        <f>VLOOKUP($A10,'[1]24-8-24 DATA ENTRY'!$A$1:$BR$278,40,FALSE)</f>
        <v>0</v>
      </c>
      <c r="AP10" s="9">
        <f>VLOOKUP($A10,'[1]24-8-24 DATA ENTRY'!$A$1:$BR$278,41,FALSE)</f>
        <v>0</v>
      </c>
      <c r="AQ10" s="9">
        <f>VLOOKUP($A10,'[1]24-8-24 DATA ENTRY'!$A$1:$BR$278,42,FALSE)</f>
        <v>0</v>
      </c>
      <c r="AR10" s="9">
        <f>VLOOKUP($A10,'[1]24-8-24 DATA ENTRY'!$A$1:$BR$278,43,FALSE)</f>
        <v>0</v>
      </c>
      <c r="AS10" s="9">
        <f>VLOOKUP($A10,'[1]24-8-24 DATA ENTRY'!$A$1:$BR$278,44,FALSE)</f>
        <v>0</v>
      </c>
      <c r="AT10" s="9">
        <f>VLOOKUP($A10,'[1]24-8-24 DATA ENTRY'!$A$1:$BR$278,45,FALSE)</f>
        <v>1</v>
      </c>
      <c r="AU10" s="9">
        <f>VLOOKUP($A10,'[1]24-8-24 DATA ENTRY'!$A$1:$BR$278,46,FALSE)</f>
        <v>1</v>
      </c>
      <c r="AV10" s="9">
        <f>VLOOKUP($A10,'[1]24-8-24 DATA ENTRY'!$A$1:$BR$278,47,FALSE)</f>
        <v>2</v>
      </c>
      <c r="AW10" s="9">
        <f>VLOOKUP($A10,'[1]24-8-24 DATA ENTRY'!$A$1:$BR$278,48,FALSE)</f>
        <v>0</v>
      </c>
      <c r="AX10" s="9">
        <f>VLOOKUP($A10,'[1]24-8-24 DATA ENTRY'!$A$1:$BR$278,49,FALSE)</f>
        <v>0</v>
      </c>
      <c r="AY10" s="9">
        <f>VLOOKUP($A10,'[1]24-8-24 DATA ENTRY'!$A$1:$BR$278,50,FALSE)</f>
        <v>0</v>
      </c>
      <c r="AZ10" s="9">
        <f>VLOOKUP($A10,'[1]24-8-24 DATA ENTRY'!$A$1:$BR$278,51,FALSE)</f>
        <v>0</v>
      </c>
      <c r="BA10" s="9">
        <f>VLOOKUP($A10,'[1]24-8-24 DATA ENTRY'!$A$1:$BR$278,52,FALSE)</f>
        <v>1</v>
      </c>
      <c r="BB10" s="5">
        <v>1</v>
      </c>
      <c r="BC10" s="9">
        <f>VLOOKUP($A10,'[1]24-8-24 DATA ENTRY'!$A$1:$BR$278,53,FALSE)</f>
        <v>85</v>
      </c>
      <c r="BD10" s="12">
        <v>1</v>
      </c>
      <c r="BE10" s="12">
        <v>2</v>
      </c>
      <c r="BF10" s="12">
        <v>2</v>
      </c>
      <c r="BG10" s="12">
        <v>2</v>
      </c>
      <c r="BH10" s="12">
        <v>1</v>
      </c>
      <c r="BI10" s="12">
        <v>1</v>
      </c>
      <c r="BJ10" s="12">
        <v>1</v>
      </c>
      <c r="BK10" s="12">
        <v>1</v>
      </c>
      <c r="BL10" s="12">
        <v>2</v>
      </c>
      <c r="BM10" s="12">
        <v>2</v>
      </c>
      <c r="BN10" s="12">
        <v>2</v>
      </c>
      <c r="BO10" s="12">
        <v>1</v>
      </c>
      <c r="BP10" s="12">
        <v>1</v>
      </c>
      <c r="BQ10" s="12">
        <v>1</v>
      </c>
      <c r="BR10" s="12">
        <v>20</v>
      </c>
      <c r="BS10" s="12">
        <v>0</v>
      </c>
      <c r="BT10" s="12">
        <v>1</v>
      </c>
      <c r="BU10" s="12"/>
    </row>
    <row r="11" spans="1:73" x14ac:dyDescent="0.25">
      <c r="A11" s="21" t="s">
        <v>651</v>
      </c>
      <c r="B11" s="5">
        <v>0</v>
      </c>
      <c r="C11" s="5">
        <v>65.653499999999994</v>
      </c>
      <c r="D11" s="9">
        <f>VLOOKUP($A11,'[1]24-8-24 DATA ENTRY'!$A$1:$BR$278,3,FALSE)</f>
        <v>240000046385</v>
      </c>
      <c r="E11" s="9">
        <f>VLOOKUP($A11,'[1]24-8-24 DATA ENTRY'!$A$1:$BR$278,4,FALSE)</f>
        <v>78</v>
      </c>
      <c r="F11" s="9">
        <f>VLOOKUP($A11,'[1]24-8-24 DATA ENTRY'!$A$1:$BR$278,5,FALSE)</f>
        <v>2</v>
      </c>
      <c r="G11" s="10">
        <f>VLOOKUP($A11,'[1]24-8-24 DATA ENTRY'!$A$1:$BR$278,6,FALSE)</f>
        <v>45422</v>
      </c>
      <c r="H11" s="9">
        <f>VLOOKUP($A11,'[1]24-8-24 DATA ENTRY'!$A$1:$BR$278,7,FALSE)</f>
        <v>0.33333333333333331</v>
      </c>
      <c r="I11" s="10">
        <f>VLOOKUP($A11,'[1]24-8-24 DATA ENTRY'!$A$1:$BR$278,8,FALSE)</f>
        <v>45436</v>
      </c>
      <c r="J11" s="10">
        <f>VLOOKUP($A11,'[1]24-8-24 DATA ENTRY'!$A$1:$BR$278,9,FALSE)</f>
        <v>0</v>
      </c>
      <c r="K11" s="9">
        <f>VLOOKUP($A11,'[1]24-8-24 DATA ENTRY'!$A$1:$BR$278,10,FALSE)</f>
        <v>9422740953</v>
      </c>
      <c r="L11" s="9">
        <f>VLOOKUP($A11,'[1]24-8-24 DATA ENTRY'!$A$1:$BR$278,11,FALSE)</f>
        <v>8856956910</v>
      </c>
      <c r="M11" s="9">
        <f>VLOOKUP($A11,'[1]24-8-24 DATA ENTRY'!$A$1:$BR$278,12,FALSE)</f>
        <v>0</v>
      </c>
      <c r="N11" s="9">
        <f>VLOOKUP($A11,'[1]24-8-24 DATA ENTRY'!$A$1:$BR$278,13,FALSE)</f>
        <v>1</v>
      </c>
      <c r="O11" s="9">
        <f>VLOOKUP($A11,'[1]24-8-24 DATA ENTRY'!$A$1:$BR$278,14,FALSE)</f>
        <v>1</v>
      </c>
      <c r="P11" s="9">
        <f>VLOOKUP($A11,'[1]24-8-24 DATA ENTRY'!$A$1:$BR$278,15,FALSE)</f>
        <v>2</v>
      </c>
      <c r="Q11" s="9">
        <f>VLOOKUP($A11,'[1]24-8-24 DATA ENTRY'!$A$1:$BR$278,16,FALSE)</f>
        <v>2</v>
      </c>
      <c r="R11" s="9">
        <f>VLOOKUP($A11,'[1]24-8-24 DATA ENTRY'!$A$1:$BR$278,17,FALSE)</f>
        <v>2</v>
      </c>
      <c r="S11" s="9">
        <f>VLOOKUP($A11,'[1]24-8-24 DATA ENTRY'!$A$1:$BR$278,18,FALSE)</f>
        <v>2</v>
      </c>
      <c r="T11" s="9">
        <f>VLOOKUP($A11,'[1]24-8-24 DATA ENTRY'!$A$1:$BR$278,19,FALSE)</f>
        <v>2</v>
      </c>
      <c r="U11" s="9">
        <f>VLOOKUP($A11,'[1]24-8-24 DATA ENTRY'!$A$1:$BR$278,20,FALSE)</f>
        <v>1</v>
      </c>
      <c r="V11" s="9">
        <f>VLOOKUP($A11,'[1]24-8-24 DATA ENTRY'!$A$1:$BR$278,21,FALSE)</f>
        <v>2</v>
      </c>
      <c r="W11" s="9">
        <f>VLOOKUP($A11,'[1]24-8-24 DATA ENTRY'!$A$1:$BR$278,22,FALSE)</f>
        <v>0</v>
      </c>
      <c r="X11" s="9">
        <f>VLOOKUP($A11,'[1]24-8-24 DATA ENTRY'!$A$1:$BR$278,23,FALSE)</f>
        <v>9.4</v>
      </c>
      <c r="Y11" s="9">
        <f>VLOOKUP($A11,'[1]24-8-24 DATA ENTRY'!$A$1:$BR$278,24,FALSE)</f>
        <v>28.3</v>
      </c>
      <c r="Z11" s="9">
        <f>VLOOKUP($A11,'[1]24-8-24 DATA ENTRY'!$A$1:$BR$278,25,FALSE)</f>
        <v>78.5</v>
      </c>
      <c r="AA11" s="9">
        <f>VLOOKUP($A11,'[1]24-8-24 DATA ENTRY'!$A$1:$BR$278,26,FALSE)</f>
        <v>6.81</v>
      </c>
      <c r="AB11" s="9">
        <f>VLOOKUP($A11,'[1]24-8-24 DATA ENTRY'!$A$1:$BR$278,27,FALSE)</f>
        <v>0</v>
      </c>
      <c r="AC11" s="9">
        <f>VLOOKUP($A11,'[1]24-8-24 DATA ENTRY'!$A$1:$BR$278,28,FALSE)</f>
        <v>0</v>
      </c>
      <c r="AD11" s="9">
        <f>VLOOKUP($A11,'[1]24-8-24 DATA ENTRY'!$A$1:$BR$278,29,FALSE)</f>
        <v>0</v>
      </c>
      <c r="AE11" s="9">
        <f>VLOOKUP($A11,'[1]24-8-24 DATA ENTRY'!$A$1:$BR$278,30,FALSE)</f>
        <v>0</v>
      </c>
      <c r="AF11" s="9">
        <f>VLOOKUP($A11,'[1]24-8-24 DATA ENTRY'!$A$1:$BR$278,31,FALSE)</f>
        <v>0</v>
      </c>
      <c r="AG11" s="9">
        <f>VLOOKUP($A11,'[1]24-8-24 DATA ENTRY'!$A$1:$BR$278,32,FALSE)</f>
        <v>0</v>
      </c>
      <c r="AH11" s="9">
        <f>VLOOKUP($A11,'[1]24-8-24 DATA ENTRY'!$A$1:$BR$278,33,FALSE)</f>
        <v>2000</v>
      </c>
      <c r="AI11" s="9">
        <f>VLOOKUP($A11,'[1]24-8-24 DATA ENTRY'!$A$1:$BR$278,34,FALSE)</f>
        <v>0</v>
      </c>
      <c r="AJ11" s="9">
        <f>VLOOKUP($A11,'[1]24-8-24 DATA ENTRY'!$A$1:$BR$278,35,FALSE)</f>
        <v>0</v>
      </c>
      <c r="AK11" s="9" t="str">
        <f>VLOOKUP($A11,'[1]24-8-24 DATA ENTRY'!$A$1:$BR$278,36,FALSE)</f>
        <v>ACUTE NHI IN B/L ACA TERRITORY</v>
      </c>
      <c r="AL11" s="9" t="str">
        <f>VLOOKUP($A11,'[1]24-8-24 DATA ENTRY'!$A$1:$BR$278,37,FALSE)</f>
        <v>NO CTA</v>
      </c>
      <c r="AM11" s="9">
        <f>VLOOKUP($A11,'[1]24-8-24 DATA ENTRY'!$A$1:$BR$278,38,FALSE)</f>
        <v>0</v>
      </c>
      <c r="AN11" s="9">
        <f>VLOOKUP($A11,'[1]24-8-24 DATA ENTRY'!$A$1:$BR$278,39,FALSE)</f>
        <v>0</v>
      </c>
      <c r="AO11" s="9">
        <f>VLOOKUP($A11,'[1]24-8-24 DATA ENTRY'!$A$1:$BR$278,40,FALSE)</f>
        <v>0</v>
      </c>
      <c r="AP11" s="9">
        <f>VLOOKUP($A11,'[1]24-8-24 DATA ENTRY'!$A$1:$BR$278,41,FALSE)</f>
        <v>0</v>
      </c>
      <c r="AQ11" s="9">
        <f>VLOOKUP($A11,'[1]24-8-24 DATA ENTRY'!$A$1:$BR$278,42,FALSE)</f>
        <v>0</v>
      </c>
      <c r="AR11" s="9">
        <f>VLOOKUP($A11,'[1]24-8-24 DATA ENTRY'!$A$1:$BR$278,43,FALSE)</f>
        <v>0</v>
      </c>
      <c r="AS11" s="9">
        <f>VLOOKUP($A11,'[1]24-8-24 DATA ENTRY'!$A$1:$BR$278,44,FALSE)</f>
        <v>0</v>
      </c>
      <c r="AT11" s="9">
        <f>VLOOKUP($A11,'[1]24-8-24 DATA ENTRY'!$A$1:$BR$278,45,FALSE)</f>
        <v>1</v>
      </c>
      <c r="AU11" s="9">
        <f>VLOOKUP($A11,'[1]24-8-24 DATA ENTRY'!$A$1:$BR$278,46,FALSE)</f>
        <v>1</v>
      </c>
      <c r="AV11" s="9">
        <f>VLOOKUP($A11,'[1]24-8-24 DATA ENTRY'!$A$1:$BR$278,47,FALSE)</f>
        <v>2</v>
      </c>
      <c r="AW11" s="9">
        <f>VLOOKUP($A11,'[1]24-8-24 DATA ENTRY'!$A$1:$BR$278,48,FALSE)</f>
        <v>0</v>
      </c>
      <c r="AX11" s="9">
        <f>VLOOKUP($A11,'[1]24-8-24 DATA ENTRY'!$A$1:$BR$278,49,FALSE)</f>
        <v>0</v>
      </c>
      <c r="AY11" s="9">
        <f>VLOOKUP($A11,'[1]24-8-24 DATA ENTRY'!$A$1:$BR$278,50,FALSE)</f>
        <v>0</v>
      </c>
      <c r="AZ11" s="9">
        <f>VLOOKUP($A11,'[1]24-8-24 DATA ENTRY'!$A$1:$BR$278,51,FALSE)</f>
        <v>0</v>
      </c>
      <c r="BA11" s="9">
        <f>VLOOKUP($A11,'[1]24-8-24 DATA ENTRY'!$A$1:$BR$278,52,FALSE)</f>
        <v>2</v>
      </c>
      <c r="BB11" s="5">
        <v>1</v>
      </c>
      <c r="BC11" s="9">
        <f>VLOOKUP($A11,'[1]24-8-24 DATA ENTRY'!$A$1:$BR$278,53,FALSE)</f>
        <v>70</v>
      </c>
      <c r="BD11" s="5"/>
      <c r="BE11" s="5"/>
      <c r="BF11" s="5"/>
      <c r="BG11" s="5"/>
      <c r="BH11" s="5"/>
      <c r="BI11" s="5"/>
      <c r="BJ11" s="5"/>
      <c r="BK11" s="5"/>
      <c r="BL11" s="5"/>
      <c r="BM11" s="5"/>
      <c r="BN11" s="5"/>
      <c r="BO11" s="5"/>
      <c r="BP11" s="5"/>
      <c r="BQ11" s="5"/>
      <c r="BR11" s="5"/>
      <c r="BS11" s="5"/>
      <c r="BT11" s="5"/>
      <c r="BU11" s="5" t="s">
        <v>578</v>
      </c>
    </row>
    <row r="12" spans="1:73" x14ac:dyDescent="0.25">
      <c r="A12" s="12" t="s">
        <v>124</v>
      </c>
      <c r="B12" s="5">
        <v>1</v>
      </c>
      <c r="C12" s="12">
        <v>29.058800000000002</v>
      </c>
      <c r="D12" s="13">
        <v>230904245</v>
      </c>
      <c r="E12" s="12">
        <v>70</v>
      </c>
      <c r="F12" s="12">
        <v>1</v>
      </c>
      <c r="G12" s="14">
        <v>45197</v>
      </c>
      <c r="H12" s="16">
        <v>0.45833333333333331</v>
      </c>
      <c r="I12" s="14">
        <v>45198</v>
      </c>
      <c r="J12" s="14">
        <v>45199</v>
      </c>
      <c r="K12" s="12">
        <v>9168935500</v>
      </c>
      <c r="L12" s="12"/>
      <c r="M12" s="12">
        <v>7</v>
      </c>
      <c r="N12" s="12">
        <v>2</v>
      </c>
      <c r="O12" s="12">
        <v>1</v>
      </c>
      <c r="P12" s="12">
        <v>2</v>
      </c>
      <c r="Q12" s="12">
        <v>2</v>
      </c>
      <c r="R12" s="12">
        <v>1</v>
      </c>
      <c r="S12" s="12">
        <v>2</v>
      </c>
      <c r="T12" s="12">
        <v>2</v>
      </c>
      <c r="U12" s="12">
        <v>2</v>
      </c>
      <c r="V12" s="12">
        <v>2</v>
      </c>
      <c r="W12" s="12"/>
      <c r="X12" s="12">
        <v>12</v>
      </c>
      <c r="Y12" s="12">
        <v>30.2</v>
      </c>
      <c r="Z12" s="12">
        <v>78.2</v>
      </c>
      <c r="AA12" s="12">
        <v>37.22</v>
      </c>
      <c r="AB12" s="12">
        <v>11</v>
      </c>
      <c r="AC12" s="12">
        <v>137</v>
      </c>
      <c r="AD12" s="12">
        <v>82.4</v>
      </c>
      <c r="AE12" s="12">
        <v>40</v>
      </c>
      <c r="AF12" s="12">
        <v>14.6</v>
      </c>
      <c r="AG12" s="12">
        <v>73</v>
      </c>
      <c r="AH12" s="12">
        <v>2000</v>
      </c>
      <c r="AI12" s="12"/>
      <c r="AJ12" s="12"/>
      <c r="AK12" s="12" t="s">
        <v>125</v>
      </c>
      <c r="AL12" s="12" t="s">
        <v>126</v>
      </c>
      <c r="AM12" s="12"/>
      <c r="AN12" s="12">
        <v>3</v>
      </c>
      <c r="AO12" s="12">
        <v>1</v>
      </c>
      <c r="AP12" s="12">
        <v>1</v>
      </c>
      <c r="AQ12" s="12">
        <v>2</v>
      </c>
      <c r="AR12" s="12">
        <v>2</v>
      </c>
      <c r="AS12" s="12"/>
      <c r="AT12" s="12">
        <v>1</v>
      </c>
      <c r="AU12" s="12">
        <v>1</v>
      </c>
      <c r="AV12" s="12">
        <v>2</v>
      </c>
      <c r="AW12" s="12">
        <v>4</v>
      </c>
      <c r="AX12" s="12">
        <v>8</v>
      </c>
      <c r="AY12" s="12">
        <v>2</v>
      </c>
      <c r="AZ12" s="12">
        <v>2</v>
      </c>
      <c r="BA12" s="12">
        <v>0</v>
      </c>
      <c r="BB12" s="5">
        <v>1</v>
      </c>
      <c r="BC12" s="12">
        <v>100</v>
      </c>
      <c r="BD12" s="12">
        <v>1</v>
      </c>
      <c r="BE12" s="12">
        <v>2</v>
      </c>
      <c r="BF12" s="12">
        <v>2</v>
      </c>
      <c r="BG12" s="12">
        <v>2</v>
      </c>
      <c r="BH12" s="12">
        <v>1</v>
      </c>
      <c r="BI12" s="12">
        <v>1</v>
      </c>
      <c r="BJ12" s="12">
        <v>1</v>
      </c>
      <c r="BK12" s="12">
        <v>1</v>
      </c>
      <c r="BL12" s="12">
        <v>2</v>
      </c>
      <c r="BM12" s="12">
        <v>2</v>
      </c>
      <c r="BN12" s="12">
        <v>0</v>
      </c>
      <c r="BO12" s="12">
        <v>0</v>
      </c>
      <c r="BP12" s="12">
        <v>0</v>
      </c>
      <c r="BQ12" s="12">
        <v>1</v>
      </c>
      <c r="BR12" s="12">
        <v>16</v>
      </c>
      <c r="BS12" s="12">
        <v>1</v>
      </c>
      <c r="BT12" s="12">
        <v>1</v>
      </c>
      <c r="BU12" s="12"/>
    </row>
    <row r="13" spans="1:73" x14ac:dyDescent="0.25">
      <c r="A13" s="12" t="s">
        <v>102</v>
      </c>
      <c r="B13" s="5">
        <v>1</v>
      </c>
      <c r="C13" s="12">
        <v>9.4150600000000004</v>
      </c>
      <c r="D13" s="13">
        <v>230101845</v>
      </c>
      <c r="E13" s="12">
        <v>50</v>
      </c>
      <c r="F13" s="12">
        <v>2</v>
      </c>
      <c r="G13" s="14"/>
      <c r="H13" s="12"/>
      <c r="I13" s="14">
        <v>45036</v>
      </c>
      <c r="J13" s="14"/>
      <c r="K13" s="12">
        <v>7620076491</v>
      </c>
      <c r="L13" s="12"/>
      <c r="M13" s="12">
        <v>9</v>
      </c>
      <c r="N13" s="12">
        <v>1</v>
      </c>
      <c r="O13" s="12">
        <v>1</v>
      </c>
      <c r="P13" s="12">
        <v>2</v>
      </c>
      <c r="Q13" s="12">
        <v>2</v>
      </c>
      <c r="R13" s="12">
        <v>2</v>
      </c>
      <c r="S13" s="12">
        <v>2</v>
      </c>
      <c r="T13" s="12">
        <v>2</v>
      </c>
      <c r="U13" s="12">
        <v>2</v>
      </c>
      <c r="V13" s="12">
        <v>2</v>
      </c>
      <c r="W13" s="12" t="s">
        <v>103</v>
      </c>
      <c r="X13" s="12">
        <v>13.6</v>
      </c>
      <c r="Y13" s="12">
        <v>39.9</v>
      </c>
      <c r="Z13" s="12"/>
      <c r="AA13" s="12">
        <v>3.65</v>
      </c>
      <c r="AB13" s="12">
        <v>8.5</v>
      </c>
      <c r="AC13" s="12"/>
      <c r="AD13" s="12"/>
      <c r="AE13" s="12"/>
      <c r="AF13" s="12"/>
      <c r="AG13" s="12"/>
      <c r="AH13" s="12">
        <v>797</v>
      </c>
      <c r="AI13" s="12" t="s">
        <v>104</v>
      </c>
      <c r="AJ13" s="12"/>
      <c r="AK13" s="12" t="s">
        <v>105</v>
      </c>
      <c r="AL13" s="12" t="s">
        <v>106</v>
      </c>
      <c r="AM13" s="12" t="s">
        <v>107</v>
      </c>
      <c r="AN13" s="12">
        <v>3</v>
      </c>
      <c r="AO13" s="12">
        <v>2</v>
      </c>
      <c r="AP13" s="12">
        <v>2</v>
      </c>
      <c r="AQ13" s="12">
        <v>2</v>
      </c>
      <c r="AR13" s="12">
        <v>4</v>
      </c>
      <c r="AS13" s="12"/>
      <c r="AT13" s="12"/>
      <c r="AU13" s="12"/>
      <c r="AV13" s="12"/>
      <c r="AW13" s="12"/>
      <c r="AX13" s="12"/>
      <c r="AY13" s="12"/>
      <c r="AZ13" s="12"/>
      <c r="BA13" s="12">
        <v>1</v>
      </c>
      <c r="BB13" s="5">
        <v>1</v>
      </c>
      <c r="BC13" s="12">
        <v>100</v>
      </c>
      <c r="BD13" s="12">
        <v>1</v>
      </c>
      <c r="BE13" s="12">
        <v>2</v>
      </c>
      <c r="BF13" s="12">
        <v>0</v>
      </c>
      <c r="BG13" s="12">
        <v>0</v>
      </c>
      <c r="BH13" s="12">
        <v>0</v>
      </c>
      <c r="BI13" s="12">
        <v>0</v>
      </c>
      <c r="BJ13" s="12">
        <v>1</v>
      </c>
      <c r="BK13" s="12">
        <v>1</v>
      </c>
      <c r="BL13" s="12">
        <v>2</v>
      </c>
      <c r="BM13" s="12">
        <v>2</v>
      </c>
      <c r="BN13" s="12">
        <v>2</v>
      </c>
      <c r="BO13" s="12">
        <v>1</v>
      </c>
      <c r="BP13" s="12">
        <v>1</v>
      </c>
      <c r="BQ13" s="12">
        <v>1</v>
      </c>
      <c r="BR13" s="12">
        <v>14</v>
      </c>
      <c r="BS13" s="12">
        <v>1</v>
      </c>
      <c r="BT13" s="12">
        <v>0</v>
      </c>
      <c r="BU13" s="12"/>
    </row>
    <row r="14" spans="1:73" x14ac:dyDescent="0.25">
      <c r="A14" s="5" t="s">
        <v>652</v>
      </c>
      <c r="B14" s="5">
        <v>0</v>
      </c>
      <c r="C14" s="5">
        <v>186.369</v>
      </c>
      <c r="D14" s="9">
        <f>VLOOKUP($A14,'[1]24-8-24 DATA ENTRY'!$A$1:$BR$303,3,FALSE)</f>
        <v>240000035365</v>
      </c>
      <c r="E14" s="9">
        <f>VLOOKUP($A14,'[1]24-8-24 DATA ENTRY'!$A$1:$BR$303,4,FALSE)</f>
        <v>77</v>
      </c>
      <c r="F14" s="9">
        <f>VLOOKUP($A14,'[1]24-8-24 DATA ENTRY'!$A$1:$BR$303,5,FALSE)</f>
        <v>2</v>
      </c>
      <c r="G14" s="10">
        <f>VLOOKUP($A14,'[1]24-8-24 DATA ENTRY'!$A$1:$BR$303,6,FALSE)</f>
        <v>45446</v>
      </c>
      <c r="H14" s="9">
        <f>VLOOKUP($A14,'[1]24-8-24 DATA ENTRY'!$A$1:$BR$303,7,FALSE)</f>
        <v>0.625</v>
      </c>
      <c r="I14" s="10">
        <f>VLOOKUP($A14,'[1]24-8-24 DATA ENTRY'!$A$1:$BR$303,8,FALSE)</f>
        <v>45447</v>
      </c>
      <c r="J14" s="10">
        <f>VLOOKUP($A14,'[1]24-8-24 DATA ENTRY'!$A$1:$BR$303,9,FALSE)</f>
        <v>45468</v>
      </c>
      <c r="K14" s="9">
        <f>VLOOKUP($A14,'[1]24-8-24 DATA ENTRY'!$A$1:$BR$303,10,FALSE)</f>
        <v>9422987475</v>
      </c>
      <c r="L14" s="9">
        <f>VLOOKUP($A14,'[1]24-8-24 DATA ENTRY'!$A$1:$BR$303,11,FALSE)</f>
        <v>0</v>
      </c>
      <c r="M14" s="9">
        <f>VLOOKUP($A14,'[1]24-8-24 DATA ENTRY'!$A$1:$BR$303,12,FALSE)</f>
        <v>19</v>
      </c>
      <c r="N14" s="9">
        <f>VLOOKUP($A14,'[1]24-8-24 DATA ENTRY'!$A$1:$BR$303,13,FALSE)</f>
        <v>1</v>
      </c>
      <c r="O14" s="9">
        <f>VLOOKUP($A14,'[1]24-8-24 DATA ENTRY'!$A$1:$BR$303,14,FALSE)</f>
        <v>2</v>
      </c>
      <c r="P14" s="9">
        <f>VLOOKUP($A14,'[1]24-8-24 DATA ENTRY'!$A$1:$BR$303,15,FALSE)</f>
        <v>1</v>
      </c>
      <c r="Q14" s="9">
        <f>VLOOKUP($A14,'[1]24-8-24 DATA ENTRY'!$A$1:$BR$303,16,FALSE)</f>
        <v>2</v>
      </c>
      <c r="R14" s="9">
        <f>VLOOKUP($A14,'[1]24-8-24 DATA ENTRY'!$A$1:$BR$303,17,FALSE)</f>
        <v>2</v>
      </c>
      <c r="S14" s="9">
        <f>VLOOKUP($A14,'[1]24-8-24 DATA ENTRY'!$A$1:$BR$303,18,FALSE)</f>
        <v>2</v>
      </c>
      <c r="T14" s="9">
        <f>VLOOKUP($A14,'[1]24-8-24 DATA ENTRY'!$A$1:$BR$303,19,FALSE)</f>
        <v>2</v>
      </c>
      <c r="U14" s="9">
        <v>2</v>
      </c>
      <c r="V14" s="9">
        <f>VLOOKUP($A14,'[1]24-8-24 DATA ENTRY'!$A$1:$BR$303,21,FALSE)</f>
        <v>2</v>
      </c>
      <c r="W14" s="9" t="str">
        <f>VLOOKUP($A14,'[1]24-8-24 DATA ENTRY'!$A$1:$BR$303,22,FALSE)</f>
        <v>old stroke</v>
      </c>
      <c r="X14" s="9">
        <f>VLOOKUP($A14,'[1]24-8-24 DATA ENTRY'!$A$1:$BR$303,23,FALSE)</f>
        <v>11.9</v>
      </c>
      <c r="Y14" s="9">
        <f>VLOOKUP($A14,'[1]24-8-24 DATA ENTRY'!$A$1:$BR$303,24,FALSE)</f>
        <v>36</v>
      </c>
      <c r="Z14" s="9">
        <f>VLOOKUP($A14,'[1]24-8-24 DATA ENTRY'!$A$1:$BR$303,25,FALSE)</f>
        <v>97.4</v>
      </c>
      <c r="AA14" s="9">
        <f>VLOOKUP($A14,'[1]24-8-24 DATA ENTRY'!$A$1:$BR$303,26,FALSE)</f>
        <v>0</v>
      </c>
      <c r="AB14" s="9">
        <f>VLOOKUP($A14,'[1]24-8-24 DATA ENTRY'!$A$1:$BR$303,27,FALSE)</f>
        <v>0</v>
      </c>
      <c r="AC14" s="9">
        <f>VLOOKUP($A14,'[1]24-8-24 DATA ENTRY'!$A$1:$BR$303,28,FALSE)</f>
        <v>0</v>
      </c>
      <c r="AD14" s="9">
        <f>VLOOKUP($A14,'[1]24-8-24 DATA ENTRY'!$A$1:$BR$303,29,FALSE)</f>
        <v>0</v>
      </c>
      <c r="AE14" s="9">
        <f>VLOOKUP($A14,'[1]24-8-24 DATA ENTRY'!$A$1:$BR$2303,30,FALSE)</f>
        <v>0</v>
      </c>
      <c r="AF14" s="9">
        <f>VLOOKUP($A14,'[1]24-8-24 DATA ENTRY'!$A$1:$BR$303,31,FALSE)</f>
        <v>0</v>
      </c>
      <c r="AG14" s="9">
        <f>VLOOKUP($A14,'[1]24-8-24 DATA ENTRY'!$A$1:$BR$303,32,FALSE)</f>
        <v>0</v>
      </c>
      <c r="AH14" s="9">
        <f>VLOOKUP($A14,'[1]24-8-24 DATA ENTRY'!$A$1:$BR$303,33,FALSE)</f>
        <v>0</v>
      </c>
      <c r="AI14" s="9">
        <f>VLOOKUP($A14,'[1]24-8-24 DATA ENTRY'!$A$1:$BR$303,34,FALSE)</f>
        <v>0</v>
      </c>
      <c r="AJ14" s="9">
        <f>VLOOKUP($A14,'[1]24-8-24 DATA ENTRY'!$A$1:$BR$303,35,FALSE)</f>
        <v>0</v>
      </c>
      <c r="AK14" s="9" t="str">
        <f>VLOOKUP($A14,'[1]24-8-24 DATA ENTRY'!$A$1:$BR$303,36,FALSE)</f>
        <v>left MCA infarct massive, Old left cerebellar infarct</v>
      </c>
      <c r="AL14" s="9" t="str">
        <f>VLOOKUP($A14,'[1]24-8-24 DATA ENTRY'!$A$1:$BR$303,37,FALSE)</f>
        <v>left M1 occlusion B/L ICA non-occlusion plaques. rt vertebral artery hypoplastic</v>
      </c>
      <c r="AM14" s="9">
        <f>VLOOKUP($A14,'[1]24-8-24 DATA ENTRY'!$A$1:$BR$303,38,FALSE)</f>
        <v>0</v>
      </c>
      <c r="AN14" s="9">
        <f>VLOOKUP($A14,'[1]24-8-24 DATA ENTRY'!$A$1:$BR$303,39,FALSE)</f>
        <v>3</v>
      </c>
      <c r="AO14" s="9">
        <f>VLOOKUP($A14,'[1]24-8-24 DATA ENTRY'!$A$1:$BR$303,40,FALSE)</f>
        <v>1</v>
      </c>
      <c r="AP14" s="9">
        <f>VLOOKUP($A14,'[1]24-8-24 DATA ENTRY'!$A$1:$BR$303,41,FALSE)</f>
        <v>5</v>
      </c>
      <c r="AQ14" s="9">
        <f>VLOOKUP($A14,'[1]24-8-24 DATA ENTRY'!$A$1:$BR$303,42,FALSE)</f>
        <v>3</v>
      </c>
      <c r="AR14" s="9">
        <f>VLOOKUP($A14,'[1]24-8-24 DATA ENTRY'!$A$1:$BR$303,43,FALSE)</f>
        <v>5</v>
      </c>
      <c r="AS14" s="9">
        <f>VLOOKUP($A14,'[1]24-8-24 DATA ENTRY'!$A$1:$BR$303,44,FALSE)</f>
        <v>0</v>
      </c>
      <c r="AT14" s="9">
        <f>VLOOKUP($A14,'[1]24-8-24 DATA ENTRY'!$A$1:$BR$303,45,FALSE)</f>
        <v>1</v>
      </c>
      <c r="AU14" s="9">
        <f>VLOOKUP($A14,'[1]24-8-24 DATA ENTRY'!$A$1:$BR$303,46,FALSE)</f>
        <v>2</v>
      </c>
      <c r="AV14" s="9">
        <f>VLOOKUP($A14,'[1]24-8-24 DATA ENTRY'!$A$1:$BR$303,47,FALSE)</f>
        <v>2</v>
      </c>
      <c r="AW14" s="9">
        <f>VLOOKUP($A14,'[1]24-8-24 DATA ENTRY'!$A$1:$BR$303,48,FALSE)</f>
        <v>0</v>
      </c>
      <c r="AX14" s="9">
        <f>VLOOKUP($A14,'[1]24-8-24 DATA ENTRY'!$A$1:$BR$303,49,FALSE)</f>
        <v>1</v>
      </c>
      <c r="AY14" s="9">
        <f>VLOOKUP($A14,'[1]24-8-24 DATA ENTRY'!$A$1:$BR$303,50,FALSE)</f>
        <v>0</v>
      </c>
      <c r="AZ14" s="9">
        <f>VLOOKUP($A14,'[1]24-8-24 DATA ENTRY'!$A$1:$BR$303,51,FALSE)</f>
        <v>0</v>
      </c>
      <c r="BA14" s="9">
        <f>VLOOKUP($A14,'[1]24-8-24 DATA ENTRY'!$A$1:$BR$303,52,FALSE)</f>
        <v>2</v>
      </c>
      <c r="BB14" s="5">
        <v>1</v>
      </c>
      <c r="BC14" s="9">
        <f>VLOOKUP($A14,'[1]24-8-24 DATA ENTRY'!$A$1:$BR$303,53,FALSE)</f>
        <v>60</v>
      </c>
      <c r="BD14" s="5">
        <v>0</v>
      </c>
      <c r="BE14" s="5">
        <v>2</v>
      </c>
      <c r="BF14" s="5">
        <v>1</v>
      </c>
      <c r="BG14" s="5">
        <v>2</v>
      </c>
      <c r="BH14" s="5">
        <v>1</v>
      </c>
      <c r="BI14" s="5">
        <v>1</v>
      </c>
      <c r="BJ14" s="5">
        <v>1</v>
      </c>
      <c r="BK14" s="5">
        <v>0</v>
      </c>
      <c r="BL14" s="5">
        <v>2</v>
      </c>
      <c r="BM14" s="5">
        <v>2</v>
      </c>
      <c r="BN14" s="5">
        <v>2</v>
      </c>
      <c r="BO14" s="5">
        <v>1</v>
      </c>
      <c r="BP14" s="5">
        <v>1</v>
      </c>
      <c r="BQ14" s="5">
        <v>1</v>
      </c>
      <c r="BR14" s="5">
        <v>17</v>
      </c>
      <c r="BS14" s="5">
        <v>1</v>
      </c>
      <c r="BT14" s="5">
        <v>1</v>
      </c>
      <c r="BU14" s="5" t="s">
        <v>238</v>
      </c>
    </row>
    <row r="15" spans="1:73" x14ac:dyDescent="0.25">
      <c r="A15" s="22" t="s">
        <v>719</v>
      </c>
      <c r="B15" s="22"/>
      <c r="C15" s="22">
        <v>240.476</v>
      </c>
      <c r="D15" s="22">
        <v>240000055967</v>
      </c>
      <c r="E15" s="22">
        <v>57</v>
      </c>
      <c r="F15" s="22">
        <v>2</v>
      </c>
      <c r="G15" s="23">
        <v>45468</v>
      </c>
      <c r="H15" s="24">
        <v>0.47916666666666669</v>
      </c>
      <c r="I15" s="23">
        <v>45469</v>
      </c>
      <c r="J15" s="23">
        <v>45472</v>
      </c>
      <c r="K15" s="22">
        <v>9881968945</v>
      </c>
      <c r="L15" s="22"/>
      <c r="M15" s="22">
        <v>21</v>
      </c>
      <c r="N15" s="22">
        <v>2</v>
      </c>
      <c r="O15" s="22">
        <v>2</v>
      </c>
      <c r="P15" s="22">
        <v>2</v>
      </c>
      <c r="Q15" s="22">
        <v>2</v>
      </c>
      <c r="R15" s="22">
        <v>2</v>
      </c>
      <c r="S15" s="22">
        <v>2</v>
      </c>
      <c r="T15" s="22">
        <v>1</v>
      </c>
      <c r="U15" s="22">
        <v>1</v>
      </c>
      <c r="V15" s="22">
        <v>2</v>
      </c>
      <c r="W15" s="22" t="s">
        <v>696</v>
      </c>
      <c r="X15" s="22">
        <v>14.4</v>
      </c>
      <c r="Y15" s="22">
        <v>43</v>
      </c>
      <c r="Z15" s="22">
        <v>97.3</v>
      </c>
      <c r="AA15" s="22"/>
      <c r="AB15" s="22"/>
      <c r="AC15" s="22"/>
      <c r="AD15" s="22"/>
      <c r="AE15" s="22"/>
      <c r="AF15" s="22"/>
      <c r="AG15" s="22"/>
      <c r="AH15" s="22"/>
      <c r="AI15" s="22"/>
      <c r="AJ15" s="22"/>
      <c r="AK15" s="22" t="s">
        <v>697</v>
      </c>
      <c r="AL15" s="22" t="s">
        <v>698</v>
      </c>
      <c r="AM15" s="22"/>
      <c r="AN15" s="22">
        <v>3</v>
      </c>
      <c r="AO15" s="22">
        <v>2</v>
      </c>
      <c r="AP15" s="22">
        <v>2</v>
      </c>
      <c r="AQ15" s="22">
        <v>3</v>
      </c>
      <c r="AR15" s="22">
        <v>4</v>
      </c>
      <c r="AS15" s="22"/>
      <c r="AT15" s="22">
        <v>1</v>
      </c>
      <c r="AU15" s="22">
        <v>2</v>
      </c>
      <c r="AV15" s="22">
        <v>2</v>
      </c>
      <c r="AW15" s="22"/>
      <c r="AX15" s="22"/>
      <c r="AY15" s="22"/>
      <c r="AZ15" s="22"/>
      <c r="BA15" s="22">
        <v>6</v>
      </c>
      <c r="BB15" s="5">
        <v>2</v>
      </c>
      <c r="BC15" s="22">
        <v>0</v>
      </c>
      <c r="BD15" s="22">
        <v>0</v>
      </c>
      <c r="BE15" s="22">
        <v>2</v>
      </c>
      <c r="BF15" s="22">
        <v>2</v>
      </c>
      <c r="BG15" s="22">
        <v>2</v>
      </c>
      <c r="BH15" s="22">
        <v>1</v>
      </c>
      <c r="BI15" s="22">
        <v>1</v>
      </c>
      <c r="BJ15" s="22">
        <v>1</v>
      </c>
      <c r="BK15" s="22">
        <v>1</v>
      </c>
      <c r="BL15" s="22">
        <v>2</v>
      </c>
      <c r="BM15" s="22">
        <v>2</v>
      </c>
      <c r="BN15" s="22">
        <v>0</v>
      </c>
      <c r="BO15" s="22">
        <v>0</v>
      </c>
      <c r="BP15" s="5">
        <v>0</v>
      </c>
      <c r="BQ15" s="5">
        <v>1</v>
      </c>
      <c r="BR15" s="5">
        <v>15</v>
      </c>
      <c r="BS15" s="5">
        <v>1</v>
      </c>
      <c r="BT15" s="5">
        <v>1</v>
      </c>
    </row>
    <row r="16" spans="1:73" x14ac:dyDescent="0.25">
      <c r="A16" s="5" t="s">
        <v>692</v>
      </c>
      <c r="B16" s="5">
        <v>0</v>
      </c>
      <c r="C16" s="5">
        <v>249.58099999999999</v>
      </c>
      <c r="D16" s="6">
        <v>230400216</v>
      </c>
      <c r="E16" s="5">
        <v>50</v>
      </c>
      <c r="F16" s="5">
        <v>2</v>
      </c>
      <c r="G16" s="7">
        <v>45016</v>
      </c>
      <c r="H16" s="11">
        <v>0.75</v>
      </c>
      <c r="I16" s="7">
        <v>45017</v>
      </c>
      <c r="J16" s="7">
        <v>45027</v>
      </c>
      <c r="K16" s="5">
        <v>7741876906</v>
      </c>
      <c r="L16" s="5"/>
      <c r="M16" s="5">
        <v>19</v>
      </c>
      <c r="N16" s="5">
        <v>1</v>
      </c>
      <c r="O16" s="5">
        <v>2</v>
      </c>
      <c r="P16" s="5">
        <v>2</v>
      </c>
      <c r="Q16" s="5">
        <v>2</v>
      </c>
      <c r="R16" s="5">
        <v>2</v>
      </c>
      <c r="S16" s="5">
        <v>2</v>
      </c>
      <c r="T16" s="5">
        <v>2</v>
      </c>
      <c r="U16" s="5">
        <v>2</v>
      </c>
      <c r="V16" s="5">
        <v>2</v>
      </c>
      <c r="W16" s="5"/>
      <c r="X16" s="5">
        <v>8.4</v>
      </c>
      <c r="Y16" s="5">
        <v>28</v>
      </c>
      <c r="Z16" s="5"/>
      <c r="AA16" s="5">
        <v>5.88</v>
      </c>
      <c r="AB16" s="5">
        <v>7.4</v>
      </c>
      <c r="AC16" s="5">
        <v>257</v>
      </c>
      <c r="AD16" s="5">
        <v>182</v>
      </c>
      <c r="AE16" s="5">
        <v>51</v>
      </c>
      <c r="AF16" s="5">
        <v>23</v>
      </c>
      <c r="AG16" s="5">
        <v>116</v>
      </c>
      <c r="AH16" s="5">
        <v>413</v>
      </c>
      <c r="AI16" s="5"/>
      <c r="AJ16" s="5"/>
      <c r="AK16" s="5" t="s">
        <v>693</v>
      </c>
      <c r="AL16" s="5"/>
      <c r="AM16" s="5"/>
      <c r="AN16" s="5">
        <v>4</v>
      </c>
      <c r="AO16" s="5"/>
      <c r="AP16" s="5"/>
      <c r="AQ16" s="5"/>
      <c r="AR16" s="5"/>
      <c r="AS16" s="5"/>
      <c r="AT16" s="5">
        <v>1</v>
      </c>
      <c r="AU16" s="5">
        <v>1</v>
      </c>
      <c r="AV16" s="5"/>
      <c r="AW16" s="5"/>
      <c r="AX16" s="5"/>
      <c r="AY16" s="5"/>
      <c r="AZ16" s="5"/>
      <c r="BA16" s="5">
        <v>6</v>
      </c>
      <c r="BB16" s="5">
        <v>2</v>
      </c>
      <c r="BC16" s="5">
        <v>0</v>
      </c>
      <c r="BD16" s="5"/>
      <c r="BE16" s="5"/>
      <c r="BF16" s="5"/>
      <c r="BG16" s="5"/>
      <c r="BH16" s="5"/>
      <c r="BI16" s="5"/>
      <c r="BJ16" s="5"/>
      <c r="BK16" s="5"/>
      <c r="BL16" s="5"/>
      <c r="BM16" s="5"/>
      <c r="BN16" s="5"/>
      <c r="BO16" s="5"/>
      <c r="BP16" s="5"/>
      <c r="BQ16" s="5"/>
      <c r="BR16" s="5"/>
      <c r="BS16" s="5"/>
      <c r="BT16" s="5"/>
      <c r="BU16" s="5" t="s">
        <v>594</v>
      </c>
    </row>
    <row r="17" spans="1:73" x14ac:dyDescent="0.25">
      <c r="A17" s="8" t="s">
        <v>352</v>
      </c>
      <c r="B17" s="5">
        <v>1</v>
      </c>
      <c r="C17" s="8">
        <v>197.363</v>
      </c>
      <c r="D17" s="9">
        <f>VLOOKUP($A17,'[1]24-8-24 DATA ENTRY'!$A$1:$BR$258,3,FALSE)</f>
        <v>240000028724</v>
      </c>
      <c r="E17" s="9">
        <f>VLOOKUP($A17,'[1]24-8-24 DATA ENTRY'!$A$1:$BR$258,4,FALSE)</f>
        <v>38</v>
      </c>
      <c r="F17" s="9">
        <f>VLOOKUP($A17,'[1]24-8-24 DATA ENTRY'!$A$1:$BR$258,5,FALSE)</f>
        <v>1</v>
      </c>
      <c r="G17" s="10">
        <f>VLOOKUP($A17,'[1]24-8-24 DATA ENTRY'!$A$1:$BR$258,6,FALSE)</f>
        <v>45375</v>
      </c>
      <c r="H17" s="9">
        <f>VLOOKUP($A17,'[1]24-8-24 DATA ENTRY'!$A$1:$BR$258,7,FALSE)</f>
        <v>0.27083333333333331</v>
      </c>
      <c r="I17" s="10">
        <f>VLOOKUP($A17,'[1]24-8-24 DATA ENTRY'!$A$1:$BR$258,8,FALSE)</f>
        <v>45375</v>
      </c>
      <c r="J17" s="10">
        <f>VLOOKUP($A17,'[1]24-8-24 DATA ENTRY'!$A$1:$BR$258,9,FALSE)</f>
        <v>0</v>
      </c>
      <c r="K17" s="9">
        <f>VLOOKUP($A17,'[1]24-8-24 DATA ENTRY'!$A$1:$BR$258,10,FALSE)</f>
        <v>9850178326</v>
      </c>
      <c r="L17" s="9">
        <f>VLOOKUP($A17,'[1]24-8-24 DATA ENTRY'!$A$1:$BR$258,11,FALSE)</f>
        <v>9763879893</v>
      </c>
      <c r="M17" s="9">
        <f>VLOOKUP($A17,'[1]24-8-24 DATA ENTRY'!$A$1:$BR$258,12,FALSE)</f>
        <v>16</v>
      </c>
      <c r="N17" s="9">
        <f>VLOOKUP($A17,'[1]24-8-24 DATA ENTRY'!$A$1:$BR$258,13,FALSE)</f>
        <v>2</v>
      </c>
      <c r="O17" s="9">
        <f>VLOOKUP($A17,'[1]24-8-24 DATA ENTRY'!$A$1:$BR$258,14,FALSE)</f>
        <v>1</v>
      </c>
      <c r="P17" s="9">
        <f>VLOOKUP($A17,'[1]24-8-24 DATA ENTRY'!$A$1:$BR$258,15,FALSE)</f>
        <v>2</v>
      </c>
      <c r="Q17" s="9">
        <f>VLOOKUP($A17,'[1]24-8-24 DATA ENTRY'!$A$1:$BR$258,16,FALSE)</f>
        <v>2</v>
      </c>
      <c r="R17" s="9">
        <f>VLOOKUP($A17,'[1]24-8-24 DATA ENTRY'!$A$1:$BR$258,17,FALSE)</f>
        <v>2</v>
      </c>
      <c r="S17" s="9">
        <f>VLOOKUP($A17,'[1]24-8-24 DATA ENTRY'!$A$1:$BR$258,18,FALSE)</f>
        <v>2</v>
      </c>
      <c r="T17" s="9">
        <f>VLOOKUP($A17,'[1]24-8-24 DATA ENTRY'!$A$1:$BR$258,19,FALSE)</f>
        <v>2</v>
      </c>
      <c r="U17" s="9">
        <f>VLOOKUP($A17,'[1]24-8-24 DATA ENTRY'!$A$1:$BR$258,20,FALSE)</f>
        <v>2</v>
      </c>
      <c r="V17" s="9">
        <f>VLOOKUP($A17,'[1]24-8-24 DATA ENTRY'!$A$1:$BR$258,21,FALSE)</f>
        <v>2</v>
      </c>
      <c r="W17" s="9">
        <f>VLOOKUP($A17,'[1]24-8-24 DATA ENTRY'!$A$1:$BR$258,22,FALSE)</f>
        <v>0</v>
      </c>
      <c r="X17" s="9">
        <f>VLOOKUP($A17,'[1]24-8-24 DATA ENTRY'!$A$1:$BR$258,23,FALSE)</f>
        <v>12.7</v>
      </c>
      <c r="Y17" s="9">
        <f>VLOOKUP($A17,'[1]24-8-24 DATA ENTRY'!$A$1:$BR$258,24,FALSE)</f>
        <v>40.4</v>
      </c>
      <c r="Z17" s="9">
        <f>VLOOKUP($A17,'[1]24-8-24 DATA ENTRY'!$A$1:$BR$258,25,FALSE)</f>
        <v>72.900000000000006</v>
      </c>
      <c r="AA17" s="9">
        <f>VLOOKUP($A17,'[1]24-8-24 DATA ENTRY'!$A$1:$BR$258,26,FALSE)</f>
        <v>10.33</v>
      </c>
      <c r="AB17" s="9">
        <f>VLOOKUP($A17,'[1]24-8-24 DATA ENTRY'!$A$1:$BR$258,27,FALSE)</f>
        <v>12.7</v>
      </c>
      <c r="AC17" s="9">
        <f>VLOOKUP($A17,'[1]24-8-24 DATA ENTRY'!$A$1:$BR$258,28,FALSE)</f>
        <v>159</v>
      </c>
      <c r="AD17" s="9">
        <f>VLOOKUP($A17,'[1]24-8-24 DATA ENTRY'!$A$1:$BR$258,29,FALSE)</f>
        <v>106.4</v>
      </c>
      <c r="AE17" s="9">
        <f>VLOOKUP($A17,'[1]24-8-24 DATA ENTRY'!$A$1:$BR$258,30,FALSE)</f>
        <v>34</v>
      </c>
      <c r="AF17" s="9">
        <f>VLOOKUP($A17,'[1]24-8-24 DATA ENTRY'!$A$1:$BR$258,31,FALSE)</f>
        <v>18.600000000000001</v>
      </c>
      <c r="AG17" s="9">
        <f>VLOOKUP($A17,'[1]24-8-24 DATA ENTRY'!$A$1:$BR$258,32,FALSE)</f>
        <v>93</v>
      </c>
      <c r="AH17" s="9">
        <f>VLOOKUP($A17,'[1]24-8-24 DATA ENTRY'!$A$1:$BR$258,33,FALSE)</f>
        <v>248</v>
      </c>
      <c r="AI17" s="9">
        <f>VLOOKUP($A17,'[1]24-8-24 DATA ENTRY'!$A$1:$BR$258,34,FALSE)</f>
        <v>0</v>
      </c>
      <c r="AJ17" s="9">
        <f>VLOOKUP($A17,'[1]24-8-24 DATA ENTRY'!$A$1:$BR$258,35,FALSE)</f>
        <v>0</v>
      </c>
      <c r="AK17" s="9" t="str">
        <f>VLOOKUP($A17,'[1]24-8-24 DATA ENTRY'!$A$1:$BR$258,36,FALSE)</f>
        <v>Acute NHI in rt fronto-parieto-temporal region &amp; Rt GC region</v>
      </c>
      <c r="AL17" s="9" t="str">
        <f>VLOOKUP($A17,'[1]24-8-24 DATA ENTRY'!$A$1:$BR$258,37,FALSE)</f>
        <v>large Hypodensity in rt fronto-temporal region &amp; GC region restricted, Complete thrombotic occlusion of distal M1 segment of Rt MCA &amp; inferior devision of M2 segment of rt MCA noted</v>
      </c>
      <c r="AM17" s="9">
        <f>VLOOKUP($A17,'[1]24-8-24 DATA ENTRY'!$A$1:$BR$258,38,FALSE)</f>
        <v>0</v>
      </c>
      <c r="AN17" s="9">
        <f>VLOOKUP($A17,'[1]24-8-24 DATA ENTRY'!$A$1:$BR$258,39,FALSE)</f>
        <v>5</v>
      </c>
      <c r="AO17" s="9">
        <f>VLOOKUP($A17,'[1]24-8-24 DATA ENTRY'!$A$1:$BR$258,40,FALSE)</f>
        <v>1</v>
      </c>
      <c r="AP17" s="9">
        <f>VLOOKUP($A17,'[1]24-8-24 DATA ENTRY'!$A$1:$BR$258,41,FALSE)</f>
        <v>4</v>
      </c>
      <c r="AQ17" s="9">
        <f>VLOOKUP($A17,'[1]24-8-24 DATA ENTRY'!$A$1:$BR$258,42,FALSE)</f>
        <v>3</v>
      </c>
      <c r="AR17" s="9">
        <f>VLOOKUP($A17,'[1]24-8-24 DATA ENTRY'!$A$1:$BR$258,43,FALSE)</f>
        <v>5</v>
      </c>
      <c r="AS17" s="9">
        <f>VLOOKUP($A17,'[1]24-8-24 DATA ENTRY'!$A$1:$BR$258,44,FALSE)</f>
        <v>0</v>
      </c>
      <c r="AT17" s="9">
        <f>VLOOKUP($A17,'[1]24-8-24 DATA ENTRY'!$A$1:$BR$258,45,FALSE)</f>
        <v>1</v>
      </c>
      <c r="AU17" s="9">
        <f>VLOOKUP($A17,'[1]24-8-24 DATA ENTRY'!$A$1:$BR$258,46,FALSE)</f>
        <v>1</v>
      </c>
      <c r="AV17" s="9">
        <f>VLOOKUP($A17,'[1]24-8-24 DATA ENTRY'!$A$1:$BR$258,47,FALSE)</f>
        <v>2</v>
      </c>
      <c r="AW17" s="9">
        <f>VLOOKUP($A17,'[1]24-8-24 DATA ENTRY'!$A$1:$BR$258,48,FALSE)</f>
        <v>0</v>
      </c>
      <c r="AX17" s="9">
        <f>VLOOKUP($A17,'[1]24-8-24 DATA ENTRY'!$A$1:$BR$258,49,FALSE)</f>
        <v>0</v>
      </c>
      <c r="AY17" s="9">
        <f>VLOOKUP($A17,'[1]24-8-24 DATA ENTRY'!$A$1:$BR$258,50,FALSE)</f>
        <v>0</v>
      </c>
      <c r="AZ17" s="9">
        <f>VLOOKUP($A17,'[1]24-8-24 DATA ENTRY'!$A$1:$BR$258,51,FALSE)</f>
        <v>0</v>
      </c>
      <c r="BA17" s="9">
        <f>VLOOKUP($A17,'[1]24-8-24 DATA ENTRY'!$A$1:$BR$258,52,FALSE)</f>
        <v>1</v>
      </c>
      <c r="BB17" s="5">
        <v>1</v>
      </c>
      <c r="BC17" s="9">
        <f>VLOOKUP($A17,'[1]24-8-24 DATA ENTRY'!$A$1:$BR$258,53,FALSE)</f>
        <v>80</v>
      </c>
      <c r="BD17" s="8">
        <v>1</v>
      </c>
      <c r="BE17" s="8">
        <v>2</v>
      </c>
      <c r="BF17" s="8">
        <v>2</v>
      </c>
      <c r="BG17" s="8">
        <v>1</v>
      </c>
      <c r="BH17" s="8">
        <v>1</v>
      </c>
      <c r="BI17" s="8">
        <v>1</v>
      </c>
      <c r="BJ17" s="8">
        <v>1</v>
      </c>
      <c r="BK17" s="8">
        <v>1</v>
      </c>
      <c r="BL17" s="8">
        <v>2</v>
      </c>
      <c r="BM17" s="8">
        <v>2</v>
      </c>
      <c r="BN17" s="8">
        <v>2</v>
      </c>
      <c r="BO17" s="8">
        <v>1</v>
      </c>
      <c r="BP17" s="8">
        <v>1</v>
      </c>
      <c r="BQ17" s="8">
        <v>1</v>
      </c>
      <c r="BR17" s="8">
        <v>19</v>
      </c>
      <c r="BS17" s="8">
        <v>1</v>
      </c>
      <c r="BT17" s="8">
        <v>1</v>
      </c>
      <c r="BU17" s="8"/>
    </row>
    <row r="18" spans="1:73" x14ac:dyDescent="0.25">
      <c r="A18" s="5" t="s">
        <v>511</v>
      </c>
      <c r="B18" s="5">
        <v>0</v>
      </c>
      <c r="C18" s="5">
        <v>73.494699999999995</v>
      </c>
      <c r="D18" s="9">
        <f>VLOOKUP($A18,'[1]24-8-24 DATA ENTRY'!$A$1:$BR$303,3,FALSE)</f>
        <v>240000049153</v>
      </c>
      <c r="E18" s="9">
        <f>VLOOKUP($A18,'[1]24-8-24 DATA ENTRY'!$A$1:$BR$303,4,FALSE)</f>
        <v>46</v>
      </c>
      <c r="F18" s="9">
        <f>VLOOKUP($A18,'[1]24-8-24 DATA ENTRY'!$A$1:$BR$303,5,FALSE)</f>
        <v>1</v>
      </c>
      <c r="G18" s="10">
        <f>VLOOKUP($A18,'[1]24-8-24 DATA ENTRY'!$A$1:$BR$303,6,FALSE)</f>
        <v>45446</v>
      </c>
      <c r="H18" s="9">
        <f>VLOOKUP($A18,'[1]24-8-24 DATA ENTRY'!$A$1:$BR$303,7,FALSE)</f>
        <v>0.3125</v>
      </c>
      <c r="I18" s="10">
        <f>VLOOKUP($A18,'[1]24-8-24 DATA ENTRY'!$A$1:$BR$303,8,FALSE)</f>
        <v>45446</v>
      </c>
      <c r="J18" s="10">
        <f>VLOOKUP($A18,'[1]24-8-24 DATA ENTRY'!$A$1:$BR$303,9,FALSE)</f>
        <v>45449</v>
      </c>
      <c r="K18" s="9">
        <f>VLOOKUP($A18,'[1]24-8-24 DATA ENTRY'!$A$1:$BR$303,10,FALSE)</f>
        <v>9822757106</v>
      </c>
      <c r="L18" s="9">
        <f>VLOOKUP($A18,'[1]24-8-24 DATA ENTRY'!$A$1:$BR$303,11,FALSE)</f>
        <v>0</v>
      </c>
      <c r="M18" s="9">
        <f>VLOOKUP($A18,'[1]24-8-24 DATA ENTRY'!$A$1:$BR$303,12,FALSE)</f>
        <v>3</v>
      </c>
      <c r="N18" s="9">
        <f>VLOOKUP($A18,'[1]24-8-24 DATA ENTRY'!$A$1:$BR$303,13,FALSE)</f>
        <v>1</v>
      </c>
      <c r="O18" s="9">
        <f>VLOOKUP($A18,'[1]24-8-24 DATA ENTRY'!$A$1:$BR$303,14,FALSE)</f>
        <v>2</v>
      </c>
      <c r="P18" s="9">
        <f>VLOOKUP($A18,'[1]24-8-24 DATA ENTRY'!$A$1:$BR$303,15,FALSE)</f>
        <v>2</v>
      </c>
      <c r="Q18" s="9">
        <f>VLOOKUP($A18,'[1]24-8-24 DATA ENTRY'!$A$1:$BR$303,16,FALSE)</f>
        <v>2</v>
      </c>
      <c r="R18" s="9">
        <f>VLOOKUP($A18,'[1]24-8-24 DATA ENTRY'!$A$1:$BR$303,17,FALSE)</f>
        <v>2</v>
      </c>
      <c r="S18" s="9">
        <f>VLOOKUP($A18,'[1]24-8-24 DATA ENTRY'!$A$1:$BR$303,18,FALSE)</f>
        <v>2</v>
      </c>
      <c r="T18" s="9">
        <f>VLOOKUP($A18,'[1]24-8-24 DATA ENTRY'!$A$1:$BR$303,19,FALSE)</f>
        <v>2</v>
      </c>
      <c r="U18" s="9">
        <v>2</v>
      </c>
      <c r="V18" s="9">
        <f>VLOOKUP($A18,'[1]24-8-24 DATA ENTRY'!$A$1:$BR$303,21,FALSE)</f>
        <v>2</v>
      </c>
      <c r="W18" s="9">
        <f>VLOOKUP($A18,'[1]24-8-24 DATA ENTRY'!$A$1:$BR$303,22,FALSE)</f>
        <v>0</v>
      </c>
      <c r="X18" s="9">
        <f>VLOOKUP($A18,'[1]24-8-24 DATA ENTRY'!$A$1:$BR$303,23,FALSE)</f>
        <v>14.2</v>
      </c>
      <c r="Y18" s="9">
        <f>VLOOKUP($A18,'[1]24-8-24 DATA ENTRY'!$A$1:$BR$303,24,FALSE)</f>
        <v>43.9</v>
      </c>
      <c r="Z18" s="9">
        <f>VLOOKUP($A18,'[1]24-8-24 DATA ENTRY'!$A$1:$BR$303,25,FALSE)</f>
        <v>82.6</v>
      </c>
      <c r="AA18" s="9">
        <f>VLOOKUP($A18,'[1]24-8-24 DATA ENTRY'!$A$1:$BR$303,26,FALSE)</f>
        <v>9</v>
      </c>
      <c r="AB18" s="9">
        <f>VLOOKUP($A18,'[1]24-8-24 DATA ENTRY'!$A$1:$BR$303,27,FALSE)</f>
        <v>5.5</v>
      </c>
      <c r="AC18" s="9">
        <f>VLOOKUP($A18,'[1]24-8-24 DATA ENTRY'!$A$1:$BR$303,28,FALSE)</f>
        <v>161</v>
      </c>
      <c r="AD18" s="9">
        <f>VLOOKUP($A18,'[1]24-8-24 DATA ENTRY'!$A$1:$BR$303,29,FALSE)</f>
        <v>88</v>
      </c>
      <c r="AE18" s="9">
        <f>VLOOKUP($A18,'[1]24-8-24 DATA ENTRY'!$A$1:$BR$2303,30,FALSE)</f>
        <v>46</v>
      </c>
      <c r="AF18" s="9">
        <f>VLOOKUP($A18,'[1]24-8-24 DATA ENTRY'!$A$1:$BR$303,31,FALSE)</f>
        <v>26</v>
      </c>
      <c r="AG18" s="9">
        <f>VLOOKUP($A18,'[1]24-8-24 DATA ENTRY'!$A$1:$BR$303,32,FALSE)</f>
        <v>132</v>
      </c>
      <c r="AH18" s="9">
        <f>VLOOKUP($A18,'[1]24-8-24 DATA ENTRY'!$A$1:$BR$303,33,FALSE)</f>
        <v>0</v>
      </c>
      <c r="AI18" s="9">
        <f>VLOOKUP($A18,'[1]24-8-24 DATA ENTRY'!$A$1:$BR$303,34,FALSE)</f>
        <v>0</v>
      </c>
      <c r="AJ18" s="9">
        <f>VLOOKUP($A18,'[1]24-8-24 DATA ENTRY'!$A$1:$BR$303,35,FALSE)</f>
        <v>0</v>
      </c>
      <c r="AK18" s="9" t="str">
        <f>VLOOKUP($A18,'[1]24-8-24 DATA ENTRY'!$A$1:$BR$303,36,FALSE)</f>
        <v>hypodensity seen in left temporo-partietal lobe, Lt MCA stroke with Left ICA terminal occlusion</v>
      </c>
      <c r="AL18" s="9" t="str">
        <f>VLOOKUP($A18,'[1]24-8-24 DATA ENTRY'!$A$1:$BR$303,37,FALSE)</f>
        <v>Gyperintense signal with restricted diffusion seen in left temporo-parietal region, Moderate to severe narrowing of left thrombosis of left ICA</v>
      </c>
      <c r="AM18" s="9">
        <f>VLOOKUP($A18,'[1]24-8-24 DATA ENTRY'!$A$1:$BR$303,38,FALSE)</f>
        <v>0</v>
      </c>
      <c r="AN18" s="9">
        <f>VLOOKUP($A18,'[1]24-8-24 DATA ENTRY'!$A$1:$BR$303,39,FALSE)</f>
        <v>6</v>
      </c>
      <c r="AO18" s="9">
        <f>VLOOKUP($A18,'[1]24-8-24 DATA ENTRY'!$A$1:$BR$303,40,FALSE)</f>
        <v>2</v>
      </c>
      <c r="AP18" s="9">
        <f>VLOOKUP($A18,'[1]24-8-24 DATA ENTRY'!$A$1:$BR$303,41,FALSE)</f>
        <v>1</v>
      </c>
      <c r="AQ18" s="9">
        <f>VLOOKUP($A18,'[1]24-8-24 DATA ENTRY'!$A$1:$BR$303,42,FALSE)</f>
        <v>2</v>
      </c>
      <c r="AR18" s="9">
        <f>VLOOKUP($A18,'[1]24-8-24 DATA ENTRY'!$A$1:$BR$303,43,FALSE)</f>
        <v>2</v>
      </c>
      <c r="AS18" s="9">
        <f>VLOOKUP($A18,'[1]24-8-24 DATA ENTRY'!$A$1:$BR$303,44,FALSE)</f>
        <v>0</v>
      </c>
      <c r="AT18" s="9">
        <f>VLOOKUP($A18,'[1]24-8-24 DATA ENTRY'!$A$1:$BR$303,45,FALSE)</f>
        <v>1</v>
      </c>
      <c r="AU18" s="9">
        <f>VLOOKUP($A18,'[1]24-8-24 DATA ENTRY'!$A$1:$BR$303,46,FALSE)</f>
        <v>1</v>
      </c>
      <c r="AV18" s="9">
        <f>VLOOKUP($A18,'[1]24-8-24 DATA ENTRY'!$A$1:$BR$303,47,FALSE)</f>
        <v>2</v>
      </c>
      <c r="AW18" s="9">
        <f>VLOOKUP($A18,'[1]24-8-24 DATA ENTRY'!$A$1:$BR$303,48,FALSE)</f>
        <v>0</v>
      </c>
      <c r="AX18" s="9">
        <f>VLOOKUP($A18,'[1]24-8-24 DATA ENTRY'!$A$1:$BR$303,49,FALSE)</f>
        <v>0</v>
      </c>
      <c r="AY18" s="9">
        <f>VLOOKUP($A18,'[1]24-8-24 DATA ENTRY'!$A$1:$BR$303,50,FALSE)</f>
        <v>0</v>
      </c>
      <c r="AZ18" s="9">
        <f>VLOOKUP($A18,'[1]24-8-24 DATA ENTRY'!$A$1:$BR$303,51,FALSE)</f>
        <v>0</v>
      </c>
      <c r="BA18" s="9">
        <f>VLOOKUP($A18,'[1]24-8-24 DATA ENTRY'!$A$1:$BR$303,52,FALSE)</f>
        <v>0</v>
      </c>
      <c r="BB18" s="5">
        <v>1</v>
      </c>
      <c r="BC18" s="9">
        <f>VLOOKUP($A18,'[1]24-8-24 DATA ENTRY'!$A$1:$BR$303,53,FALSE)</f>
        <v>100</v>
      </c>
      <c r="BD18" s="5">
        <v>1</v>
      </c>
      <c r="BE18" s="5">
        <v>2</v>
      </c>
      <c r="BF18" s="5">
        <v>2</v>
      </c>
      <c r="BG18" s="5">
        <v>2</v>
      </c>
      <c r="BH18" s="5">
        <v>1</v>
      </c>
      <c r="BI18" s="5">
        <v>1</v>
      </c>
      <c r="BJ18" s="5">
        <v>1</v>
      </c>
      <c r="BK18" s="5">
        <v>0</v>
      </c>
      <c r="BL18" s="5">
        <v>2</v>
      </c>
      <c r="BM18" s="5">
        <v>2</v>
      </c>
      <c r="BN18" s="5">
        <v>2</v>
      </c>
      <c r="BO18" s="5">
        <v>1</v>
      </c>
      <c r="BP18" s="5">
        <v>1</v>
      </c>
      <c r="BQ18" s="5">
        <v>1</v>
      </c>
      <c r="BR18" s="5">
        <v>19</v>
      </c>
      <c r="BS18" s="5">
        <v>0</v>
      </c>
      <c r="BT18" s="5">
        <v>1</v>
      </c>
      <c r="BU18" s="5"/>
    </row>
    <row r="19" spans="1:73" x14ac:dyDescent="0.25">
      <c r="A19" s="12" t="s">
        <v>620</v>
      </c>
      <c r="B19" s="5"/>
      <c r="C19" s="5">
        <v>40.483899999999998</v>
      </c>
      <c r="D19" s="9">
        <f>VLOOKUP($A19,'[1]24-8-24 DATA ENTRY'!$A$1:$BR$303,3,FALSE)</f>
        <v>240000045139</v>
      </c>
      <c r="E19" s="9">
        <f>VLOOKUP($A19,'[1]24-8-24 DATA ENTRY'!$A$1:$BR$303,4,FALSE)</f>
        <v>62</v>
      </c>
      <c r="F19" s="9">
        <f>VLOOKUP($A19,'[1]24-8-24 DATA ENTRY'!$A$1:$BR$303,5,FALSE)</f>
        <v>1</v>
      </c>
      <c r="G19" s="10">
        <f>VLOOKUP($A19,'[1]24-8-24 DATA ENTRY'!$A$1:$BR$303,6,FALSE)</f>
        <v>45432</v>
      </c>
      <c r="H19" s="9">
        <f>VLOOKUP($A19,'[1]24-8-24 DATA ENTRY'!$A$1:$BR$303,7,FALSE)</f>
        <v>0.83333333333333337</v>
      </c>
      <c r="I19" s="10">
        <f>VLOOKUP($A19,'[1]24-8-24 DATA ENTRY'!$A$1:$BR$303,8,FALSE)</f>
        <v>45432</v>
      </c>
      <c r="J19" s="10">
        <f>VLOOKUP($A19,'[1]24-8-24 DATA ENTRY'!$A$1:$BR$303,9,FALSE)</f>
        <v>0</v>
      </c>
      <c r="K19" s="9">
        <f>VLOOKUP($A19,'[1]24-8-24 DATA ENTRY'!$A$1:$BR$303,10,FALSE)</f>
        <v>9890800209</v>
      </c>
      <c r="L19" s="9">
        <f>VLOOKUP($A19,'[1]24-8-24 DATA ENTRY'!$A$1:$BR$303,11,FALSE)</f>
        <v>0</v>
      </c>
      <c r="M19" s="9">
        <f>VLOOKUP($A19,'[1]24-8-24 DATA ENTRY'!$A$1:$BR$303,12,FALSE)</f>
        <v>17</v>
      </c>
      <c r="N19" s="9">
        <f>VLOOKUP($A19,'[1]24-8-24 DATA ENTRY'!$A$1:$BR$303,13,FALSE)</f>
        <v>2</v>
      </c>
      <c r="O19" s="9">
        <f>VLOOKUP($A19,'[1]24-8-24 DATA ENTRY'!$A$1:$BR$303,14,FALSE)</f>
        <v>2</v>
      </c>
      <c r="P19" s="9">
        <f>VLOOKUP($A19,'[1]24-8-24 DATA ENTRY'!$A$1:$BR$303,15,FALSE)</f>
        <v>2</v>
      </c>
      <c r="Q19" s="9">
        <f>VLOOKUP($A19,'[1]24-8-24 DATA ENTRY'!$A$1:$BR$303,16,FALSE)</f>
        <v>2</v>
      </c>
      <c r="R19" s="9">
        <f>VLOOKUP($A19,'[1]24-8-24 DATA ENTRY'!$A$1:$BR$303,17,FALSE)</f>
        <v>2</v>
      </c>
      <c r="S19" s="9">
        <f>VLOOKUP($A19,'[1]24-8-24 DATA ENTRY'!$A$1:$BR$303,18,FALSE)</f>
        <v>2</v>
      </c>
      <c r="T19" s="9">
        <f>VLOOKUP($A19,'[1]24-8-24 DATA ENTRY'!$A$1:$BR$303,19,FALSE)</f>
        <v>2</v>
      </c>
      <c r="U19" s="9">
        <f>VLOOKUP($A19,'[1]24-8-24 DATA ENTRY'!$A$1:$BR$278,20,FALSE)</f>
        <v>1</v>
      </c>
      <c r="V19" s="9">
        <f>VLOOKUP($A19,'[1]24-8-24 DATA ENTRY'!$A$1:$BR$303,21,FALSE)</f>
        <v>2</v>
      </c>
      <c r="W19" s="9">
        <f>VLOOKUP($A19,'[1]24-8-24 DATA ENTRY'!$A$1:$BR$303,22,FALSE)</f>
        <v>0</v>
      </c>
      <c r="X19" s="9">
        <f>VLOOKUP($A19,'[1]24-8-24 DATA ENTRY'!$A$1:$BR$303,23,FALSE)</f>
        <v>13</v>
      </c>
      <c r="Y19" s="9">
        <f>VLOOKUP($A19,'[1]24-8-24 DATA ENTRY'!$A$1:$BR$303,24,FALSE)</f>
        <v>40.799999999999997</v>
      </c>
      <c r="Z19" s="9">
        <f>VLOOKUP($A19,'[1]24-8-24 DATA ENTRY'!$A$1:$BR$303,25,FALSE)</f>
        <v>82.9</v>
      </c>
      <c r="AA19" s="9">
        <f>VLOOKUP($A19,'[1]24-8-24 DATA ENTRY'!$A$1:$BR$303,26,FALSE)</f>
        <v>25.09</v>
      </c>
      <c r="AB19" s="9">
        <f>VLOOKUP($A19,'[1]24-8-24 DATA ENTRY'!$A$1:$BR$303,27,FALSE)</f>
        <v>6.3</v>
      </c>
      <c r="AC19" s="9">
        <f>VLOOKUP($A19,'[1]24-8-24 DATA ENTRY'!$A$1:$BR$303,28,FALSE)</f>
        <v>146</v>
      </c>
      <c r="AD19" s="9">
        <f>VLOOKUP($A19,'[1]24-8-24 DATA ENTRY'!$A$1:$BR$303,29,FALSE)</f>
        <v>100</v>
      </c>
      <c r="AE19" s="9">
        <f>VLOOKUP($A19,'[1]24-8-24 DATA ENTRY'!$A$1:$BR$2303,30,FALSE)</f>
        <v>30</v>
      </c>
      <c r="AF19" s="9">
        <f>VLOOKUP($A19,'[1]24-8-24 DATA ENTRY'!$A$1:$BR$303,31,FALSE)</f>
        <v>16</v>
      </c>
      <c r="AG19" s="9">
        <f>VLOOKUP($A19,'[1]24-8-24 DATA ENTRY'!$A$1:$BR$303,32,FALSE)</f>
        <v>80</v>
      </c>
      <c r="AH19" s="9">
        <f>VLOOKUP($A19,'[1]24-8-24 DATA ENTRY'!$A$1:$BR$303,33,FALSE)</f>
        <v>148</v>
      </c>
      <c r="AI19" s="9">
        <f>VLOOKUP($A19,'[1]24-8-24 DATA ENTRY'!$A$1:$BR$303,34,FALSE)</f>
        <v>0</v>
      </c>
      <c r="AJ19" s="9">
        <f>VLOOKUP($A19,'[1]24-8-24 DATA ENTRY'!$A$1:$BR$303,35,FALSE)</f>
        <v>0</v>
      </c>
      <c r="AK19" s="9" t="str">
        <f>VLOOKUP($A19,'[1]24-8-24 DATA ENTRY'!$A$1:$BR$303,36,FALSE)</f>
        <v>New areas of acute non-hemorrhagic infarcts in right fronto-parieto-temporo- occipital region Intraparenchymal bleed in left gangliocapsular region with subfalcine herniation and extension of the bleed into the ventricles</v>
      </c>
      <c r="AL19" s="9" t="str">
        <f>VLOOKUP($A19,'[1]24-8-24 DATA ENTRY'!$A$1:$BR$303,37,FALSE)</f>
        <v>left m1 stenosis , left ica terminal occlusion</v>
      </c>
      <c r="AM19" s="9">
        <f>VLOOKUP($A19,'[1]24-8-24 DATA ENTRY'!$A$1:$BR$303,38,FALSE)</f>
        <v>0</v>
      </c>
      <c r="AN19" s="9">
        <f>VLOOKUP($A19,'[1]24-8-24 DATA ENTRY'!$A$1:$BR$303,39,FALSE)</f>
        <v>6</v>
      </c>
      <c r="AO19" s="9">
        <f>VLOOKUP($A19,'[1]24-8-24 DATA ENTRY'!$A$1:$BR$303,40,FALSE)</f>
        <v>2</v>
      </c>
      <c r="AP19" s="9">
        <f>VLOOKUP($A19,'[1]24-8-24 DATA ENTRY'!$A$1:$BR$303,41,FALSE)</f>
        <v>2</v>
      </c>
      <c r="AQ19" s="9">
        <f>VLOOKUP($A19,'[1]24-8-24 DATA ENTRY'!$A$1:$BR$303,42,FALSE)</f>
        <v>2</v>
      </c>
      <c r="AR19" s="9">
        <f>VLOOKUP($A19,'[1]24-8-24 DATA ENTRY'!$A$1:$BR$303,43,FALSE)</f>
        <v>0</v>
      </c>
      <c r="AS19" s="9">
        <f>VLOOKUP($A19,'[1]24-8-24 DATA ENTRY'!$A$1:$BR$303,44,FALSE)</f>
        <v>0</v>
      </c>
      <c r="AT19" s="9">
        <f>VLOOKUP($A19,'[1]24-8-24 DATA ENTRY'!$A$1:$BR$303,45,FALSE)</f>
        <v>1</v>
      </c>
      <c r="AU19" s="9">
        <f>VLOOKUP($A19,'[1]24-8-24 DATA ENTRY'!$A$1:$BR$303,46,FALSE)</f>
        <v>2</v>
      </c>
      <c r="AV19" s="9">
        <f>VLOOKUP($A19,'[1]24-8-24 DATA ENTRY'!$A$1:$BR$303,47,FALSE)</f>
        <v>1</v>
      </c>
      <c r="AW19" s="9">
        <f>VLOOKUP($A19,'[1]24-8-24 DATA ENTRY'!$A$1:$BR$303,48,FALSE)</f>
        <v>2</v>
      </c>
      <c r="AX19" s="9">
        <f>VLOOKUP($A19,'[1]24-8-24 DATA ENTRY'!$A$1:$BR$303,49,FALSE)</f>
        <v>0</v>
      </c>
      <c r="AY19" s="9">
        <f>VLOOKUP($A19,'[1]24-8-24 DATA ENTRY'!$A$1:$BR$303,50,FALSE)</f>
        <v>0</v>
      </c>
      <c r="AZ19" s="9">
        <f>VLOOKUP($A19,'[1]24-8-24 DATA ENTRY'!$A$1:$BR$303,51,FALSE)</f>
        <v>0</v>
      </c>
      <c r="BA19" s="9">
        <f>VLOOKUP($A19,'[1]24-8-24 DATA ENTRY'!$A$1:$BR$303,52,FALSE)</f>
        <v>0</v>
      </c>
      <c r="BB19" s="5">
        <v>1</v>
      </c>
      <c r="BC19" s="9">
        <f>VLOOKUP($A19,'[1]24-8-24 DATA ENTRY'!$A$1:$BR$303,53,FALSE)</f>
        <v>0</v>
      </c>
      <c r="BD19" s="5"/>
      <c r="BE19" s="5"/>
      <c r="BF19" s="5"/>
      <c r="BG19" s="5"/>
      <c r="BH19" s="5"/>
      <c r="BI19" s="5"/>
      <c r="BJ19" s="5"/>
      <c r="BK19" s="5"/>
      <c r="BL19" s="5"/>
      <c r="BM19" s="5"/>
      <c r="BN19" s="5"/>
      <c r="BO19" s="5"/>
      <c r="BP19" s="5"/>
      <c r="BQ19" s="5"/>
      <c r="BR19" s="5"/>
      <c r="BS19" s="5"/>
      <c r="BT19" s="5"/>
      <c r="BU19" s="5" t="s">
        <v>578</v>
      </c>
    </row>
    <row r="20" spans="1:73" x14ac:dyDescent="0.25">
      <c r="A20" s="5" t="s">
        <v>534</v>
      </c>
      <c r="B20" s="5">
        <v>0</v>
      </c>
      <c r="C20" s="5" t="s">
        <v>535</v>
      </c>
      <c r="D20" s="18">
        <f>VLOOKUP($A20,'[1]24-8-24 DATA ENTRY'!$A$1:$BR$258,3,FALSE)</f>
        <v>230000022720</v>
      </c>
      <c r="E20" s="18">
        <f>VLOOKUP($A20,'[1]24-8-24 DATA ENTRY'!$A$1:$BR$258,4,FALSE)</f>
        <v>75</v>
      </c>
      <c r="F20" s="18">
        <f>VLOOKUP($A20,'[1]24-8-24 DATA ENTRY'!$A$1:$BR$258,5,FALSE)</f>
        <v>2</v>
      </c>
      <c r="G20" s="19">
        <f>VLOOKUP($A20,'[1]24-8-24 DATA ENTRY'!$A$1:$BR$258,6,FALSE)</f>
        <v>45398</v>
      </c>
      <c r="H20" s="18">
        <f>VLOOKUP($A20,'[1]24-8-24 DATA ENTRY'!$A$1:$BR$258,7,FALSE)</f>
        <v>0.3125</v>
      </c>
      <c r="I20" s="19">
        <f>VLOOKUP($A20,'[1]24-8-24 DATA ENTRY'!$A$1:$BR$258,8,FALSE)</f>
        <v>45398</v>
      </c>
      <c r="J20" s="19">
        <f>VLOOKUP($A20,'[1]24-8-24 DATA ENTRY'!$A$1:$BR$258,9,FALSE)</f>
        <v>0</v>
      </c>
      <c r="K20" s="18">
        <f>VLOOKUP($A20,'[1]24-8-24 DATA ENTRY'!$A$1:$BR$258,10,FALSE)</f>
        <v>9890084283</v>
      </c>
      <c r="L20" s="18">
        <f>VLOOKUP($A20,'[1]24-8-24 DATA ENTRY'!$A$1:$BR$258,11,FALSE)</f>
        <v>9970450799</v>
      </c>
      <c r="M20" s="18">
        <f>VLOOKUP($A20,'[1]24-8-24 DATA ENTRY'!$A$1:$BR$258,12,FALSE)</f>
        <v>26</v>
      </c>
      <c r="N20" s="18">
        <f>VLOOKUP($A20,'[1]24-8-24 DATA ENTRY'!$A$1:$BR$258,13,FALSE)</f>
        <v>1</v>
      </c>
      <c r="O20" s="18">
        <f>VLOOKUP($A20,'[1]24-8-24 DATA ENTRY'!$A$1:$BR$258,14,FALSE)</f>
        <v>2</v>
      </c>
      <c r="P20" s="18">
        <f>VLOOKUP($A20,'[1]24-8-24 DATA ENTRY'!$A$1:$BR$258,15,FALSE)</f>
        <v>2</v>
      </c>
      <c r="Q20" s="18">
        <f>VLOOKUP($A20,'[1]24-8-24 DATA ENTRY'!$A$1:$BR$258,16,FALSE)</f>
        <v>2</v>
      </c>
      <c r="R20" s="18">
        <f>VLOOKUP($A20,'[1]24-8-24 DATA ENTRY'!$A$1:$BR$258,17,FALSE)</f>
        <v>2</v>
      </c>
      <c r="S20" s="18">
        <f>VLOOKUP($A20,'[1]24-8-24 DATA ENTRY'!$A$1:$BR$258,18,FALSE)</f>
        <v>2</v>
      </c>
      <c r="T20" s="18">
        <f>VLOOKUP($A20,'[1]24-8-24 DATA ENTRY'!$A$1:$BR$258,19,FALSE)</f>
        <v>2</v>
      </c>
      <c r="U20" s="18">
        <f>VLOOKUP($A20,'[1]24-8-24 DATA ENTRY'!$A$1:$BR$258,20,FALSE)</f>
        <v>2</v>
      </c>
      <c r="V20" s="18">
        <f>VLOOKUP($A20,'[1]24-8-24 DATA ENTRY'!$A$1:$BR$258,21,FALSE)</f>
        <v>2</v>
      </c>
      <c r="W20" s="18" t="e">
        <f>VLOOKUP($A20,'[2]24-8-24 DATA ENTRY'!$A$1:$BR$258,22,FALSE)</f>
        <v>#N/A</v>
      </c>
      <c r="X20" s="18">
        <f>VLOOKUP($A20,'[1]24-8-24 DATA ENTRY'!$A$1:$BR$258,23,FALSE)</f>
        <v>12.7</v>
      </c>
      <c r="Y20" s="18">
        <f>VLOOKUP($A20,'[1]24-8-24 DATA ENTRY'!$A$1:$BR$258,24,FALSE)</f>
        <v>39</v>
      </c>
      <c r="Z20" s="18">
        <f>VLOOKUP($A20,'[1]24-8-24 DATA ENTRY'!$A$1:$BR$258,25,FALSE)</f>
        <v>88.7</v>
      </c>
      <c r="AA20" s="18">
        <f>VLOOKUP($A20,'[1]24-8-24 DATA ENTRY'!$A$1:$BR$258,26,FALSE)</f>
        <v>14.48</v>
      </c>
      <c r="AB20" s="18">
        <f>VLOOKUP($A20,'[1]24-8-24 DATA ENTRY'!$A$1:$BR$258,27,FALSE)</f>
        <v>0</v>
      </c>
      <c r="AC20" s="18">
        <f>VLOOKUP($A20,'[1]24-8-24 DATA ENTRY'!$A$1:$BR$258,28,FALSE)</f>
        <v>0</v>
      </c>
      <c r="AD20" s="18">
        <f>VLOOKUP($A20,'[1]24-8-24 DATA ENTRY'!$A$1:$BR$258,29,FALSE)</f>
        <v>0</v>
      </c>
      <c r="AE20" s="18">
        <f>VLOOKUP($A20,'[1]24-8-24 DATA ENTRY'!$A$1:$BR$258,30,FALSE)</f>
        <v>0</v>
      </c>
      <c r="AF20" s="18">
        <f>VLOOKUP($A20,'[1]24-8-24 DATA ENTRY'!$A$1:$BR$258,31,FALSE)</f>
        <v>0</v>
      </c>
      <c r="AG20" s="18">
        <f>VLOOKUP($A20,'[1]24-8-24 DATA ENTRY'!$A$1:$BR$258,32,FALSE)</f>
        <v>0</v>
      </c>
      <c r="AH20" s="18">
        <f>VLOOKUP($A20,'[1]24-8-24 DATA ENTRY'!$A$1:$BR$258,33,FALSE)</f>
        <v>0</v>
      </c>
      <c r="AI20" s="18">
        <f>VLOOKUP($A20,'[1]24-8-24 DATA ENTRY'!$A$1:$BR$258,34,FALSE)</f>
        <v>0</v>
      </c>
      <c r="AJ20" s="18">
        <f>VLOOKUP($A20,'[1]24-8-24 DATA ENTRY'!$A$1:$BR$258,35,FALSE)</f>
        <v>0</v>
      </c>
      <c r="AK20" s="18" t="str">
        <f>VLOOKUP($A20,'[1]24-8-24 DATA ENTRY'!$A$1:$BR$258,36,FALSE)</f>
        <v>rt mca inferior division infarct, old left PICA infarct</v>
      </c>
      <c r="AL20" s="18" t="str">
        <f>VLOOKUP($A20,'[1]24-8-24 DATA ENTRY'!$A$1:$BR$258,37,FALSE)</f>
        <v>Rt MCA inferior division occlusion</v>
      </c>
      <c r="AM20" s="18">
        <f>VLOOKUP($A20,'[1]24-8-24 DATA ENTRY'!$A$1:$BR$258,38,FALSE)</f>
        <v>0</v>
      </c>
      <c r="AN20" s="18">
        <f>VLOOKUP($A20,'[1]24-8-24 DATA ENTRY'!$A$1:$BR$258,39,FALSE)</f>
        <v>6</v>
      </c>
      <c r="AO20" s="18">
        <f>VLOOKUP($A20,'[1]24-8-24 DATA ENTRY'!$A$1:$BR$258,40,FALSE)</f>
        <v>1</v>
      </c>
      <c r="AP20" s="18">
        <f>VLOOKUP($A20,'[1]24-8-24 DATA ENTRY'!$A$1:$BR$258,41,FALSE)</f>
        <v>3</v>
      </c>
      <c r="AQ20" s="18">
        <f>VLOOKUP($A20,'[1]24-8-24 DATA ENTRY'!$A$1:$BR$258,42,FALSE)</f>
        <v>3</v>
      </c>
      <c r="AR20" s="18">
        <f>VLOOKUP($A20,'[1]24-8-24 DATA ENTRY'!$A$1:$BR$258,43,FALSE)</f>
        <v>4</v>
      </c>
      <c r="AS20" s="18">
        <f>VLOOKUP($A20,'[1]24-8-24 DATA ENTRY'!$A$1:$BR$258,44,FALSE)</f>
        <v>0</v>
      </c>
      <c r="AT20" s="18">
        <f>VLOOKUP($A20,'[1]24-8-24 DATA ENTRY'!$A$1:$BR$258,45,FALSE)</f>
        <v>1</v>
      </c>
      <c r="AU20" s="18">
        <f>VLOOKUP($A20,'[1]24-8-24 DATA ENTRY'!$A$1:$BR$258,46,FALSE)</f>
        <v>1</v>
      </c>
      <c r="AV20" s="18">
        <f>VLOOKUP($A20,'[1]24-8-24 DATA ENTRY'!$A$1:$BR$258,47,FALSE)</f>
        <v>0</v>
      </c>
      <c r="AW20" s="18">
        <f>VLOOKUP($A20,'[1]24-8-24 DATA ENTRY'!$A$1:$BR$258,48,FALSE)</f>
        <v>0</v>
      </c>
      <c r="AX20" s="18">
        <f>VLOOKUP($A20,'[1]24-8-24 DATA ENTRY'!$A$1:$BR$258,49,FALSE)</f>
        <v>0</v>
      </c>
      <c r="AY20" s="18">
        <f>VLOOKUP($A20,'[1]24-8-24 DATA ENTRY'!$A$1:$BR$258,50,FALSE)</f>
        <v>0</v>
      </c>
      <c r="AZ20" s="18">
        <f>VLOOKUP($A20,'[1]24-8-24 DATA ENTRY'!$A$1:$BR$258,51,FALSE)</f>
        <v>0</v>
      </c>
      <c r="BA20" s="18">
        <f>VLOOKUP($A20,'[1]24-8-24 DATA ENTRY'!$A$1:$BR$258,52,FALSE)</f>
        <v>6</v>
      </c>
      <c r="BB20" s="5">
        <v>2</v>
      </c>
      <c r="BC20" s="18">
        <f>VLOOKUP($A20,'[1]24-8-24 DATA ENTRY'!$A$1:$BR$258,53,FALSE)</f>
        <v>0</v>
      </c>
      <c r="BD20" s="5">
        <v>1</v>
      </c>
      <c r="BE20" s="5">
        <v>2</v>
      </c>
      <c r="BF20" s="5">
        <v>2</v>
      </c>
      <c r="BG20" s="5">
        <v>2</v>
      </c>
      <c r="BH20" s="5">
        <v>1</v>
      </c>
      <c r="BI20" s="5">
        <v>0</v>
      </c>
      <c r="BJ20" s="5">
        <v>1</v>
      </c>
      <c r="BK20" s="5">
        <v>1</v>
      </c>
      <c r="BL20" s="5">
        <v>2</v>
      </c>
      <c r="BM20" s="5">
        <v>2</v>
      </c>
      <c r="BN20" s="5">
        <v>2</v>
      </c>
      <c r="BO20" s="5">
        <v>1</v>
      </c>
      <c r="BP20" s="5">
        <v>1</v>
      </c>
      <c r="BQ20" s="5">
        <v>1</v>
      </c>
      <c r="BR20" s="5">
        <v>19</v>
      </c>
      <c r="BS20" s="5">
        <v>0</v>
      </c>
      <c r="BT20" s="5">
        <v>0</v>
      </c>
      <c r="BU20" s="5" t="s">
        <v>87</v>
      </c>
    </row>
    <row r="21" spans="1:73" x14ac:dyDescent="0.25">
      <c r="A21" s="8" t="s">
        <v>75</v>
      </c>
      <c r="B21" s="5">
        <v>1</v>
      </c>
      <c r="C21" s="8">
        <v>21.1355</v>
      </c>
      <c r="D21" s="9">
        <f>VLOOKUP($A21,'[1]24-8-24 DATA ENTRY'!$A$1:$BR$258,3,FALSE)</f>
        <v>240000037353</v>
      </c>
      <c r="E21" s="9">
        <f>VLOOKUP($A21,'[1]24-8-24 DATA ENTRY'!$A$1:$BR$258,4,FALSE)</f>
        <v>35</v>
      </c>
      <c r="F21" s="9">
        <f>VLOOKUP($A21,'[1]24-8-24 DATA ENTRY'!$A$1:$BR$258,5,FALSE)</f>
        <v>1</v>
      </c>
      <c r="G21" s="10">
        <f>VLOOKUP($A21,'[1]24-8-24 DATA ENTRY'!$A$1:$BR$258,6,FALSE)</f>
        <v>45405</v>
      </c>
      <c r="H21" s="9">
        <f>VLOOKUP($A21,'[1]24-8-24 DATA ENTRY'!$A$1:$BR$258,7,FALSE)</f>
        <v>0.4375</v>
      </c>
      <c r="I21" s="10">
        <f>VLOOKUP($A21,'[1]24-8-24 DATA ENTRY'!$A$1:$BR$258,8,FALSE)</f>
        <v>45405</v>
      </c>
      <c r="J21" s="10">
        <f>VLOOKUP($A21,'[1]24-8-24 DATA ENTRY'!$A$1:$BR$258,9,FALSE)</f>
        <v>0</v>
      </c>
      <c r="K21" s="9">
        <f>VLOOKUP($A21,'[1]24-8-24 DATA ENTRY'!$A$1:$BR$258,10,FALSE)</f>
        <v>9881490701</v>
      </c>
      <c r="L21" s="9">
        <f>VLOOKUP($A21,'[1]24-8-24 DATA ENTRY'!$A$1:$BR$258,11,FALSE)</f>
        <v>907565071</v>
      </c>
      <c r="M21" s="9">
        <f>VLOOKUP($A21,'[1]24-8-24 DATA ENTRY'!$A$1:$BR$258,12,FALSE)</f>
        <v>17</v>
      </c>
      <c r="N21" s="9">
        <f>VLOOKUP($A21,'[1]24-8-24 DATA ENTRY'!$A$1:$BR$258,13,FALSE)</f>
        <v>2</v>
      </c>
      <c r="O21" s="9">
        <f>VLOOKUP($A21,'[1]24-8-24 DATA ENTRY'!$A$1:$BR$258,14,FALSE)</f>
        <v>2</v>
      </c>
      <c r="P21" s="9">
        <f>VLOOKUP($A21,'[1]24-8-24 DATA ENTRY'!$A$1:$BR$258,15,FALSE)</f>
        <v>2</v>
      </c>
      <c r="Q21" s="9">
        <f>VLOOKUP($A21,'[1]24-8-24 DATA ENTRY'!$A$1:$BR$258,16,FALSE)</f>
        <v>2</v>
      </c>
      <c r="R21" s="9">
        <f>VLOOKUP($A21,'[1]24-8-24 DATA ENTRY'!$A$1:$BR$258,17,FALSE)</f>
        <v>2</v>
      </c>
      <c r="S21" s="9">
        <f>VLOOKUP($A21,'[1]24-8-24 DATA ENTRY'!$A$1:$BR$258,18,FALSE)</f>
        <v>2</v>
      </c>
      <c r="T21" s="9">
        <f>VLOOKUP($A21,'[1]24-8-24 DATA ENTRY'!$A$1:$BR$258,19,FALSE)</f>
        <v>2</v>
      </c>
      <c r="U21" s="9">
        <f>VLOOKUP($A21,'[1]24-8-24 DATA ENTRY'!$A$1:$BR$258,20,FALSE)</f>
        <v>2</v>
      </c>
      <c r="V21" s="9">
        <f>VLOOKUP($A21,'[1]24-8-24 DATA ENTRY'!$A$1:$BR$258,21,FALSE)</f>
        <v>2</v>
      </c>
      <c r="W21" s="9">
        <f>VLOOKUP($A21,'[1]24-8-24 DATA ENTRY'!$A$1:$BR$258,22,FALSE)</f>
        <v>0</v>
      </c>
      <c r="X21" s="9">
        <f>VLOOKUP($A21,'[1]24-8-24 DATA ENTRY'!$A$1:$BR$258,23,FALSE)</f>
        <v>15.2</v>
      </c>
      <c r="Y21" s="9">
        <f>VLOOKUP($A21,'[1]24-8-24 DATA ENTRY'!$A$1:$BR$258,24,FALSE)</f>
        <v>44.7</v>
      </c>
      <c r="Z21" s="9">
        <f>VLOOKUP($A21,'[1]24-8-24 DATA ENTRY'!$A$1:$BR$258,25,FALSE)</f>
        <v>90.7</v>
      </c>
      <c r="AA21" s="9">
        <f>VLOOKUP($A21,'[1]24-8-24 DATA ENTRY'!$A$1:$BR$258,26,FALSE)</f>
        <v>19.920000000000002</v>
      </c>
      <c r="AB21" s="9">
        <f>VLOOKUP($A21,'[1]24-8-24 DATA ENTRY'!$A$1:$BR$258,27,FALSE)</f>
        <v>0</v>
      </c>
      <c r="AC21" s="9">
        <f>VLOOKUP($A21,'[1]24-8-24 DATA ENTRY'!$A$1:$BR$258,28,FALSE)</f>
        <v>150</v>
      </c>
      <c r="AD21" s="9">
        <f>VLOOKUP($A21,'[1]24-8-24 DATA ENTRY'!$A$1:$BR$258,29,FALSE)</f>
        <v>101</v>
      </c>
      <c r="AE21" s="9">
        <f>VLOOKUP($A21,'[1]24-8-24 DATA ENTRY'!$A$1:$BR$258,30,FALSE)</f>
        <v>28</v>
      </c>
      <c r="AF21" s="9">
        <f>VLOOKUP($A21,'[1]24-8-24 DATA ENTRY'!$A$1:$BR$258,31,FALSE)</f>
        <v>21</v>
      </c>
      <c r="AG21" s="9">
        <f>VLOOKUP($A21,'[1]24-8-24 DATA ENTRY'!$A$1:$BR$258,32,FALSE)</f>
        <v>105</v>
      </c>
      <c r="AH21" s="9">
        <f>VLOOKUP($A21,'[1]24-8-24 DATA ENTRY'!$A$1:$BR$258,33,FALSE)</f>
        <v>238</v>
      </c>
      <c r="AI21" s="9">
        <f>VLOOKUP($A21,'[1]24-8-24 DATA ENTRY'!$A$1:$BR$258,34,FALSE)</f>
        <v>0</v>
      </c>
      <c r="AJ21" s="9">
        <f>VLOOKUP($A21,'[1]24-8-24 DATA ENTRY'!$A$1:$BR$258,35,FALSE)</f>
        <v>0</v>
      </c>
      <c r="AK21" s="9" t="str">
        <f>VLOOKUP($A21,'[1]24-8-24 DATA ENTRY'!$A$1:$BR$258,36,FALSE)</f>
        <v xml:space="preserve">left corona radiata infarct </v>
      </c>
      <c r="AL21" s="9" t="str">
        <f>VLOOKUP($A21,'[1]24-8-24 DATA ENTRY'!$A$1:$BR$258,37,FALSE)</f>
        <v>left ICA 99% stenosis with clot till left M2 occlusion</v>
      </c>
      <c r="AM21" s="9">
        <f>VLOOKUP($A21,'[1]24-8-24 DATA ENTRY'!$A$1:$BR$258,38,FALSE)</f>
        <v>0</v>
      </c>
      <c r="AN21" s="9">
        <f>VLOOKUP($A21,'[1]24-8-24 DATA ENTRY'!$A$1:$BR$258,39,FALSE)</f>
        <v>7</v>
      </c>
      <c r="AO21" s="9">
        <f>VLOOKUP($A21,'[1]24-8-24 DATA ENTRY'!$A$1:$BR$258,40,FALSE)</f>
        <v>1</v>
      </c>
      <c r="AP21" s="9">
        <f>VLOOKUP($A21,'[1]24-8-24 DATA ENTRY'!$A$1:$BR$258,41,FALSE)</f>
        <v>3</v>
      </c>
      <c r="AQ21" s="9">
        <f>VLOOKUP($A21,'[1]24-8-24 DATA ENTRY'!$A$1:$BR$258,42,FALSE)</f>
        <v>2</v>
      </c>
      <c r="AR21" s="9">
        <f>VLOOKUP($A21,'[1]24-8-24 DATA ENTRY'!$A$1:$BR$258,43,FALSE)</f>
        <v>4</v>
      </c>
      <c r="AS21" s="9">
        <f>VLOOKUP($A21,'[1]24-8-24 DATA ENTRY'!$A$1:$BR$258,44,FALSE)</f>
        <v>0</v>
      </c>
      <c r="AT21" s="9">
        <f>VLOOKUP($A21,'[1]24-8-24 DATA ENTRY'!$A$1:$BR$258,45,FALSE)</f>
        <v>1</v>
      </c>
      <c r="AU21" s="9">
        <f>VLOOKUP($A21,'[1]24-8-24 DATA ENTRY'!$A$1:$BR$258,46,FALSE)</f>
        <v>1</v>
      </c>
      <c r="AV21" s="9">
        <f>VLOOKUP($A21,'[1]24-8-24 DATA ENTRY'!$A$1:$BR$258,47,FALSE)</f>
        <v>2</v>
      </c>
      <c r="AW21" s="9">
        <f>VLOOKUP($A21,'[1]24-8-24 DATA ENTRY'!$A$1:$BR$258,48,FALSE)</f>
        <v>0</v>
      </c>
      <c r="AX21" s="9">
        <f>VLOOKUP($A21,'[1]24-8-24 DATA ENTRY'!$A$1:$BR$258,49,FALSE)</f>
        <v>0</v>
      </c>
      <c r="AY21" s="9">
        <f>VLOOKUP($A21,'[1]24-8-24 DATA ENTRY'!$A$1:$BR$258,50,FALSE)</f>
        <v>1</v>
      </c>
      <c r="AZ21" s="9">
        <f>VLOOKUP($A21,'[1]24-8-24 DATA ENTRY'!$A$1:$BR$258,51,FALSE)</f>
        <v>0</v>
      </c>
      <c r="BA21" s="9">
        <f>VLOOKUP($A21,'[1]24-8-24 DATA ENTRY'!$A$1:$BR$258,52,FALSE)</f>
        <v>0</v>
      </c>
      <c r="BB21" s="9">
        <v>1</v>
      </c>
      <c r="BC21" s="9">
        <f>VLOOKUP($A21,'[1]24-8-24 DATA ENTRY'!$A$1:$BR$258,53,FALSE)</f>
        <v>100</v>
      </c>
      <c r="BD21" s="8">
        <v>1</v>
      </c>
      <c r="BE21" s="8">
        <v>2</v>
      </c>
      <c r="BF21" s="8">
        <v>2</v>
      </c>
      <c r="BG21" s="8">
        <v>2</v>
      </c>
      <c r="BH21" s="8">
        <v>1</v>
      </c>
      <c r="BI21" s="8">
        <v>1</v>
      </c>
      <c r="BJ21" s="8">
        <v>1</v>
      </c>
      <c r="BK21" s="8">
        <v>0</v>
      </c>
      <c r="BL21" s="8">
        <v>0</v>
      </c>
      <c r="BM21" s="8">
        <v>0</v>
      </c>
      <c r="BN21" s="8">
        <v>0</v>
      </c>
      <c r="BO21" s="8">
        <v>0</v>
      </c>
      <c r="BP21" s="8">
        <v>0</v>
      </c>
      <c r="BQ21" s="8">
        <v>0</v>
      </c>
      <c r="BR21" s="8">
        <v>10</v>
      </c>
      <c r="BS21" s="8">
        <v>0</v>
      </c>
      <c r="BT21" s="8">
        <v>1</v>
      </c>
      <c r="BU21" s="8"/>
    </row>
    <row r="22" spans="1:73" x14ac:dyDescent="0.25">
      <c r="A22" s="12" t="s">
        <v>98</v>
      </c>
      <c r="B22" s="5">
        <v>1</v>
      </c>
      <c r="C22" s="12">
        <v>66.090999999999994</v>
      </c>
      <c r="D22" s="13">
        <v>200401395</v>
      </c>
      <c r="E22" s="12">
        <v>53</v>
      </c>
      <c r="F22" s="12">
        <v>1</v>
      </c>
      <c r="G22" s="14"/>
      <c r="H22" s="12"/>
      <c r="I22" s="14">
        <v>44957</v>
      </c>
      <c r="J22" s="14">
        <v>44963</v>
      </c>
      <c r="K22" s="12">
        <v>9657461888</v>
      </c>
      <c r="L22" s="12"/>
      <c r="M22" s="12">
        <v>24</v>
      </c>
      <c r="N22" s="12">
        <v>2</v>
      </c>
      <c r="O22" s="12">
        <v>2</v>
      </c>
      <c r="P22" s="12">
        <v>2</v>
      </c>
      <c r="Q22" s="12">
        <v>2</v>
      </c>
      <c r="R22" s="12">
        <v>2</v>
      </c>
      <c r="S22" s="12">
        <v>2</v>
      </c>
      <c r="T22" s="12">
        <v>2</v>
      </c>
      <c r="U22" s="12">
        <v>2</v>
      </c>
      <c r="V22" s="12">
        <v>2</v>
      </c>
      <c r="W22" s="12" t="s">
        <v>99</v>
      </c>
      <c r="X22" s="12">
        <v>13.4</v>
      </c>
      <c r="Y22" s="12">
        <v>37.9</v>
      </c>
      <c r="Z22" s="12"/>
      <c r="AA22" s="12">
        <v>20.57</v>
      </c>
      <c r="AB22" s="12"/>
      <c r="AC22" s="12"/>
      <c r="AD22" s="12"/>
      <c r="AE22" s="12"/>
      <c r="AF22" s="12"/>
      <c r="AG22" s="12"/>
      <c r="AH22" s="12">
        <v>209</v>
      </c>
      <c r="AI22" s="12" t="s">
        <v>100</v>
      </c>
      <c r="AJ22" s="12"/>
      <c r="AK22" s="12"/>
      <c r="AL22" s="12" t="s">
        <v>101</v>
      </c>
      <c r="AM22" s="12"/>
      <c r="AN22" s="12">
        <v>7</v>
      </c>
      <c r="AO22" s="12">
        <v>2</v>
      </c>
      <c r="AP22" s="12">
        <v>3</v>
      </c>
      <c r="AQ22" s="12">
        <v>1</v>
      </c>
      <c r="AR22" s="12">
        <v>3</v>
      </c>
      <c r="AS22" s="12"/>
      <c r="AT22" s="12"/>
      <c r="AU22" s="12"/>
      <c r="AV22" s="12"/>
      <c r="AW22" s="12"/>
      <c r="AX22" s="12"/>
      <c r="AY22" s="12"/>
      <c r="AZ22" s="12"/>
      <c r="BA22" s="12">
        <v>0</v>
      </c>
      <c r="BB22" s="5">
        <v>1</v>
      </c>
      <c r="BC22" s="12">
        <v>100</v>
      </c>
      <c r="BD22" s="12">
        <v>1</v>
      </c>
      <c r="BE22" s="12">
        <v>2</v>
      </c>
      <c r="BF22" s="12">
        <v>2</v>
      </c>
      <c r="BG22" s="12">
        <v>2</v>
      </c>
      <c r="BH22" s="12">
        <v>1</v>
      </c>
      <c r="BI22" s="12">
        <v>1</v>
      </c>
      <c r="BJ22" s="12">
        <v>1</v>
      </c>
      <c r="BK22" s="12">
        <v>0</v>
      </c>
      <c r="BL22" s="12">
        <v>2</v>
      </c>
      <c r="BM22" s="12">
        <v>0</v>
      </c>
      <c r="BN22" s="12">
        <v>0</v>
      </c>
      <c r="BO22" s="12">
        <v>0</v>
      </c>
      <c r="BP22" s="12">
        <v>0</v>
      </c>
      <c r="BQ22" s="12">
        <v>1</v>
      </c>
      <c r="BR22" s="12">
        <v>14</v>
      </c>
      <c r="BS22" s="12">
        <v>0</v>
      </c>
      <c r="BT22" s="12">
        <v>1</v>
      </c>
      <c r="BU22" s="12"/>
    </row>
    <row r="23" spans="1:73" x14ac:dyDescent="0.25">
      <c r="A23" s="12" t="s">
        <v>287</v>
      </c>
      <c r="B23" s="5">
        <v>1</v>
      </c>
      <c r="C23" s="12">
        <v>24.080100000000002</v>
      </c>
      <c r="D23" s="13">
        <v>230000000000</v>
      </c>
      <c r="E23" s="12">
        <v>83</v>
      </c>
      <c r="F23" s="12">
        <v>1</v>
      </c>
      <c r="G23" s="14">
        <v>45196</v>
      </c>
      <c r="H23" s="16">
        <v>0.25</v>
      </c>
      <c r="I23" s="14">
        <v>45197</v>
      </c>
      <c r="J23" s="14">
        <v>45210</v>
      </c>
      <c r="K23" s="12">
        <v>7798907861</v>
      </c>
      <c r="L23" s="12"/>
      <c r="M23" s="12">
        <v>7</v>
      </c>
      <c r="N23" s="12">
        <v>2</v>
      </c>
      <c r="O23" s="12">
        <v>2</v>
      </c>
      <c r="P23" s="12">
        <v>2</v>
      </c>
      <c r="Q23" s="12">
        <v>2</v>
      </c>
      <c r="R23" s="12">
        <v>2</v>
      </c>
      <c r="S23" s="12">
        <v>2</v>
      </c>
      <c r="T23" s="12">
        <v>2</v>
      </c>
      <c r="U23" s="12">
        <v>2</v>
      </c>
      <c r="V23" s="12">
        <v>2</v>
      </c>
      <c r="W23" s="12" t="s">
        <v>288</v>
      </c>
      <c r="X23" s="12">
        <v>13.7</v>
      </c>
      <c r="Y23" s="12">
        <v>40.9</v>
      </c>
      <c r="Z23" s="12">
        <v>91.5</v>
      </c>
      <c r="AA23" s="12"/>
      <c r="AB23" s="12"/>
      <c r="AC23" s="12">
        <v>145</v>
      </c>
      <c r="AD23" s="12">
        <v>101.4</v>
      </c>
      <c r="AE23" s="12">
        <v>35</v>
      </c>
      <c r="AF23" s="12">
        <v>8.6</v>
      </c>
      <c r="AG23" s="12">
        <v>43</v>
      </c>
      <c r="AH23" s="12"/>
      <c r="AI23" s="12"/>
      <c r="AJ23" s="12"/>
      <c r="AK23" s="12" t="s">
        <v>289</v>
      </c>
      <c r="AL23" s="12" t="s">
        <v>290</v>
      </c>
      <c r="AM23" s="12"/>
      <c r="AN23" s="12">
        <v>7</v>
      </c>
      <c r="AO23" s="12">
        <v>1</v>
      </c>
      <c r="AP23" s="12">
        <v>5</v>
      </c>
      <c r="AQ23" s="12">
        <v>3</v>
      </c>
      <c r="AR23" s="12">
        <v>5</v>
      </c>
      <c r="AS23" s="12"/>
      <c r="AT23" s="12"/>
      <c r="AU23" s="12"/>
      <c r="AV23" s="12"/>
      <c r="AW23" s="12"/>
      <c r="AX23" s="12"/>
      <c r="AY23" s="12"/>
      <c r="AZ23" s="12"/>
      <c r="BA23" s="12">
        <v>0</v>
      </c>
      <c r="BB23" s="5">
        <v>1</v>
      </c>
      <c r="BC23" s="12">
        <v>100</v>
      </c>
      <c r="BD23" s="12">
        <v>1</v>
      </c>
      <c r="BE23" s="12">
        <v>2</v>
      </c>
      <c r="BF23" s="12">
        <v>2</v>
      </c>
      <c r="BG23" s="12">
        <v>2</v>
      </c>
      <c r="BH23" s="12">
        <v>1</v>
      </c>
      <c r="BI23" s="12">
        <v>1</v>
      </c>
      <c r="BJ23" s="12">
        <v>1</v>
      </c>
      <c r="BK23" s="12">
        <v>0</v>
      </c>
      <c r="BL23" s="12">
        <v>2</v>
      </c>
      <c r="BM23" s="12">
        <v>2</v>
      </c>
      <c r="BN23" s="12">
        <v>2</v>
      </c>
      <c r="BO23" s="12">
        <v>1</v>
      </c>
      <c r="BP23" s="12">
        <v>1</v>
      </c>
      <c r="BQ23" s="12">
        <v>1</v>
      </c>
      <c r="BR23" s="12">
        <v>19</v>
      </c>
      <c r="BS23" s="12">
        <v>1</v>
      </c>
      <c r="BT23" s="12">
        <v>1</v>
      </c>
      <c r="BU23" s="12" t="s">
        <v>291</v>
      </c>
    </row>
    <row r="24" spans="1:73" x14ac:dyDescent="0.25">
      <c r="A24" s="5" t="s">
        <v>313</v>
      </c>
      <c r="B24" s="5">
        <v>1</v>
      </c>
      <c r="C24" s="5">
        <v>43.568899999999999</v>
      </c>
      <c r="D24" s="6">
        <v>230802551</v>
      </c>
      <c r="E24" s="5">
        <v>75</v>
      </c>
      <c r="F24" s="5">
        <v>2</v>
      </c>
      <c r="G24" s="7">
        <v>45153</v>
      </c>
      <c r="H24" s="11">
        <v>0.375</v>
      </c>
      <c r="I24" s="7">
        <v>45155</v>
      </c>
      <c r="J24" s="7">
        <v>45163</v>
      </c>
      <c r="K24" s="5">
        <v>9604718659</v>
      </c>
      <c r="L24" s="5"/>
      <c r="M24" s="5">
        <v>9</v>
      </c>
      <c r="N24" s="5">
        <v>1</v>
      </c>
      <c r="O24" s="5">
        <v>1</v>
      </c>
      <c r="P24" s="5">
        <v>2</v>
      </c>
      <c r="Q24" s="5">
        <v>2</v>
      </c>
      <c r="R24" s="5">
        <v>1</v>
      </c>
      <c r="S24" s="5">
        <v>2</v>
      </c>
      <c r="T24" s="5">
        <v>2</v>
      </c>
      <c r="U24" s="5">
        <v>2</v>
      </c>
      <c r="V24" s="5">
        <v>2</v>
      </c>
      <c r="W24" s="5"/>
      <c r="X24" s="5">
        <v>9</v>
      </c>
      <c r="Y24" s="5"/>
      <c r="Z24" s="5"/>
      <c r="AA24" s="5">
        <v>9.5299999999999994</v>
      </c>
      <c r="AB24" s="5">
        <v>10.1</v>
      </c>
      <c r="AC24" s="5">
        <v>171</v>
      </c>
      <c r="AD24" s="5">
        <v>102</v>
      </c>
      <c r="AE24" s="5">
        <v>39</v>
      </c>
      <c r="AF24" s="5">
        <v>22.6</v>
      </c>
      <c r="AG24" s="5">
        <v>113</v>
      </c>
      <c r="AH24" s="5">
        <v>2000</v>
      </c>
      <c r="AI24" s="5" t="s">
        <v>314</v>
      </c>
      <c r="AJ24" s="5"/>
      <c r="AK24" s="5" t="s">
        <v>315</v>
      </c>
      <c r="AL24" s="5"/>
      <c r="AM24" s="5"/>
      <c r="AN24" s="5">
        <v>7</v>
      </c>
      <c r="AO24" s="5"/>
      <c r="AP24" s="5"/>
      <c r="AQ24" s="5"/>
      <c r="AR24" s="5"/>
      <c r="AS24" s="5"/>
      <c r="AT24" s="5">
        <v>1</v>
      </c>
      <c r="AU24" s="5">
        <v>1</v>
      </c>
      <c r="AV24" s="5">
        <v>2</v>
      </c>
      <c r="AW24" s="5"/>
      <c r="AX24" s="5"/>
      <c r="AY24" s="5"/>
      <c r="AZ24" s="5"/>
      <c r="BA24" s="5">
        <v>0</v>
      </c>
      <c r="BB24" s="5">
        <v>1</v>
      </c>
      <c r="BC24" s="5">
        <v>100</v>
      </c>
      <c r="BD24" s="5">
        <v>1</v>
      </c>
      <c r="BE24" s="5">
        <v>2</v>
      </c>
      <c r="BF24" s="5">
        <v>2</v>
      </c>
      <c r="BG24" s="5">
        <v>1</v>
      </c>
      <c r="BH24" s="5">
        <v>1</v>
      </c>
      <c r="BI24" s="5">
        <v>1</v>
      </c>
      <c r="BJ24" s="5">
        <v>1</v>
      </c>
      <c r="BK24" s="5">
        <v>1</v>
      </c>
      <c r="BL24" s="5">
        <v>2</v>
      </c>
      <c r="BM24" s="5">
        <v>2</v>
      </c>
      <c r="BN24" s="5">
        <v>2</v>
      </c>
      <c r="BO24" s="5">
        <v>1</v>
      </c>
      <c r="BP24" s="5">
        <v>1</v>
      </c>
      <c r="BQ24" s="5">
        <v>1</v>
      </c>
      <c r="BR24" s="5">
        <v>19</v>
      </c>
      <c r="BS24" s="5">
        <v>1</v>
      </c>
      <c r="BT24" s="5">
        <v>1</v>
      </c>
      <c r="BU24" s="5" t="s">
        <v>316</v>
      </c>
    </row>
    <row r="25" spans="1:73" x14ac:dyDescent="0.25">
      <c r="A25" s="21" t="s">
        <v>505</v>
      </c>
      <c r="B25" s="5">
        <v>0</v>
      </c>
      <c r="C25" s="5">
        <v>13.367100000000001</v>
      </c>
      <c r="D25" s="9">
        <f>VLOOKUP($A25,'[1]24-8-24 DATA ENTRY'!$A$1:$BR$278,3,FALSE)</f>
        <v>240000048201</v>
      </c>
      <c r="E25" s="9">
        <f>VLOOKUP($A25,'[1]24-8-24 DATA ENTRY'!$A$1:$BR$278,4,FALSE)</f>
        <v>57</v>
      </c>
      <c r="F25" s="9">
        <f>VLOOKUP($A25,'[1]24-8-24 DATA ENTRY'!$A$1:$BR$278,5,FALSE)</f>
        <v>1</v>
      </c>
      <c r="G25" s="10">
        <f>VLOOKUP($A25,'[1]24-8-24 DATA ENTRY'!$A$1:$BR$278,6,FALSE)</f>
        <v>45442</v>
      </c>
      <c r="H25" s="9">
        <f>VLOOKUP($A25,'[1]24-8-24 DATA ENTRY'!$A$1:$BR$278,7,FALSE)</f>
        <v>0.64583333333333337</v>
      </c>
      <c r="I25" s="10">
        <f>VLOOKUP($A25,'[1]24-8-24 DATA ENTRY'!$A$1:$BR$278,8,FALSE)</f>
        <v>45442</v>
      </c>
      <c r="J25" s="10">
        <f>VLOOKUP($A25,'[1]24-8-24 DATA ENTRY'!$A$1:$BR$278,9,FALSE)</f>
        <v>45448</v>
      </c>
      <c r="K25" s="9">
        <f>VLOOKUP($A25,'[1]24-8-24 DATA ENTRY'!$A$1:$BR$278,10,FALSE)</f>
        <v>9975292865</v>
      </c>
      <c r="L25" s="9">
        <f>VLOOKUP($A25,'[1]24-8-24 DATA ENTRY'!$A$1:$BR$278,11,FALSE)</f>
        <v>9096159020</v>
      </c>
      <c r="M25" s="9">
        <f>VLOOKUP($A25,'[1]24-8-24 DATA ENTRY'!$A$1:$BR$278,12,FALSE)</f>
        <v>7</v>
      </c>
      <c r="N25" s="9">
        <f>VLOOKUP($A25,'[1]24-8-24 DATA ENTRY'!$A$1:$BR$278,13,FALSE)</f>
        <v>1</v>
      </c>
      <c r="O25" s="9">
        <f>VLOOKUP($A25,'[1]24-8-24 DATA ENTRY'!$A$1:$BR$278,14,FALSE)</f>
        <v>1</v>
      </c>
      <c r="P25" s="9">
        <f>VLOOKUP($A25,'[1]24-8-24 DATA ENTRY'!$A$1:$BR$278,15,FALSE)</f>
        <v>2</v>
      </c>
      <c r="Q25" s="9">
        <f>VLOOKUP($A25,'[1]24-8-24 DATA ENTRY'!$A$1:$BR$278,16,FALSE)</f>
        <v>2</v>
      </c>
      <c r="R25" s="9">
        <f>VLOOKUP($A25,'[1]24-8-24 DATA ENTRY'!$A$1:$BR$278,17,FALSE)</f>
        <v>1</v>
      </c>
      <c r="S25" s="9">
        <f>VLOOKUP($A25,'[1]24-8-24 DATA ENTRY'!$A$1:$BR$278,18,FALSE)</f>
        <v>2</v>
      </c>
      <c r="T25" s="9">
        <f>VLOOKUP($A25,'[1]24-8-24 DATA ENTRY'!$A$1:$BR$278,19,FALSE)</f>
        <v>2</v>
      </c>
      <c r="U25" s="9">
        <f>VLOOKUP($A25,'[1]24-8-24 DATA ENTRY'!$A$1:$BR$278,20,FALSE)</f>
        <v>1</v>
      </c>
      <c r="V25" s="9">
        <f>VLOOKUP($A25,'[1]24-8-24 DATA ENTRY'!$A$1:$BR$278,21,FALSE)</f>
        <v>2</v>
      </c>
      <c r="W25" s="9">
        <f>VLOOKUP($A25,'[1]24-8-24 DATA ENTRY'!$A$1:$BR$278,22,FALSE)</f>
        <v>0</v>
      </c>
      <c r="X25" s="9">
        <f>VLOOKUP($A25,'[1]24-8-24 DATA ENTRY'!$A$1:$BR$278,23,FALSE)</f>
        <v>14.3</v>
      </c>
      <c r="Y25" s="9">
        <f>VLOOKUP($A25,'[1]24-8-24 DATA ENTRY'!$A$1:$BR$278,24,FALSE)</f>
        <v>44.4</v>
      </c>
      <c r="Z25" s="9">
        <f>VLOOKUP($A25,'[1]24-8-24 DATA ENTRY'!$A$1:$BR$278,25,FALSE)</f>
        <v>81.8</v>
      </c>
      <c r="AA25" s="9">
        <f>VLOOKUP($A25,'[1]24-8-24 DATA ENTRY'!$A$1:$BR$278,26,FALSE)</f>
        <v>20.170000000000002</v>
      </c>
      <c r="AB25" s="9">
        <f>VLOOKUP($A25,'[1]24-8-24 DATA ENTRY'!$A$1:$BR$278,27,FALSE)</f>
        <v>7</v>
      </c>
      <c r="AC25" s="9">
        <f>VLOOKUP($A25,'[1]24-8-24 DATA ENTRY'!$A$1:$BR$278,28,FALSE)</f>
        <v>141</v>
      </c>
      <c r="AD25" s="9">
        <f>VLOOKUP($A25,'[1]24-8-24 DATA ENTRY'!$A$1:$BR$278,29,FALSE)</f>
        <v>88.4</v>
      </c>
      <c r="AE25" s="9">
        <f>VLOOKUP($A25,'[1]24-8-24 DATA ENTRY'!$A$1:$BR$278,30,FALSE)</f>
        <v>29</v>
      </c>
      <c r="AF25" s="9">
        <f>VLOOKUP($A25,'[1]24-8-24 DATA ENTRY'!$A$1:$BR$278,31,FALSE)</f>
        <v>23.6</v>
      </c>
      <c r="AG25" s="9">
        <f>VLOOKUP($A25,'[1]24-8-24 DATA ENTRY'!$A$1:$BR$278,32,FALSE)</f>
        <v>118</v>
      </c>
      <c r="AH25" s="9">
        <f>VLOOKUP($A25,'[1]24-8-24 DATA ENTRY'!$A$1:$BR$278,33,FALSE)</f>
        <v>208</v>
      </c>
      <c r="AI25" s="9">
        <f>VLOOKUP($A25,'[1]24-8-24 DATA ENTRY'!$A$1:$BR$278,34,FALSE)</f>
        <v>0</v>
      </c>
      <c r="AJ25" s="9">
        <f>VLOOKUP($A25,'[1]24-8-24 DATA ENTRY'!$A$1:$BR$278,35,FALSE)</f>
        <v>0</v>
      </c>
      <c r="AK25" s="9" t="str">
        <f>VLOOKUP($A25,'[1]24-8-24 DATA ENTRY'!$A$1:$BR$278,36,FALSE)</f>
        <v>RT CORONA RADIATA MEDIAL TEMPORAL LOBE PATCHY INFARCT IN RT PERIATAL REGION AND LEFT CAUDATE REGION</v>
      </c>
      <c r="AL25" s="9" t="str">
        <f>VLOOKUP($A25,'[1]24-8-24 DATA ENTRY'!$A$1:$BR$278,37,FALSE)</f>
        <v xml:space="preserve">RIGHT M1 SRENOSI. CALCIFIED PLAQUES IN RT CCA AND CAROTID BIFURCATION. LEFT V4 SEGMENT FOCAL STENOSIS. </v>
      </c>
      <c r="AM25" s="9">
        <f>VLOOKUP($A25,'[1]24-8-24 DATA ENTRY'!$A$1:$BR$278,38,FALSE)</f>
        <v>0</v>
      </c>
      <c r="AN25" s="9">
        <f>VLOOKUP($A25,'[1]24-8-24 DATA ENTRY'!$A$1:$BR$278,39,FALSE)</f>
        <v>7</v>
      </c>
      <c r="AO25" s="9">
        <f>VLOOKUP($A25,'[1]24-8-24 DATA ENTRY'!$A$1:$BR$278,40,FALSE)</f>
        <v>1</v>
      </c>
      <c r="AP25" s="9">
        <f>VLOOKUP($A25,'[1]24-8-24 DATA ENTRY'!$A$1:$BR$278,41,FALSE)</f>
        <v>2</v>
      </c>
      <c r="AQ25" s="9">
        <f>VLOOKUP($A25,'[1]24-8-24 DATA ENTRY'!$A$1:$BR$278,42,FALSE)</f>
        <v>2</v>
      </c>
      <c r="AR25" s="9">
        <f>VLOOKUP($A25,'[1]24-8-24 DATA ENTRY'!$A$1:$BR$278,43,FALSE)</f>
        <v>5</v>
      </c>
      <c r="AS25" s="9">
        <f>VLOOKUP($A25,'[1]24-8-24 DATA ENTRY'!$A$1:$BR$278,44,FALSE)</f>
        <v>0</v>
      </c>
      <c r="AT25" s="9">
        <f>VLOOKUP($A25,'[1]24-8-24 DATA ENTRY'!$A$1:$BR$278,45,FALSE)</f>
        <v>1</v>
      </c>
      <c r="AU25" s="9">
        <f>VLOOKUP($A25,'[1]24-8-24 DATA ENTRY'!$A$1:$BR$278,46,FALSE)</f>
        <v>1</v>
      </c>
      <c r="AV25" s="9">
        <f>VLOOKUP($A25,'[1]24-8-24 DATA ENTRY'!$A$1:$BR$278,47,FALSE)</f>
        <v>2</v>
      </c>
      <c r="AW25" s="9">
        <f>VLOOKUP($A25,'[1]24-8-24 DATA ENTRY'!$A$1:$BR$278,48,FALSE)</f>
        <v>0</v>
      </c>
      <c r="AX25" s="9">
        <f>VLOOKUP($A25,'[1]24-8-24 DATA ENTRY'!$A$1:$BR$278,49,FALSE)</f>
        <v>0</v>
      </c>
      <c r="AY25" s="9">
        <f>VLOOKUP($A25,'[1]24-8-24 DATA ENTRY'!$A$1:$BR$278,50,FALSE)</f>
        <v>0</v>
      </c>
      <c r="AZ25" s="9">
        <f>VLOOKUP($A25,'[1]24-8-24 DATA ENTRY'!$A$1:$BR$278,51,FALSE)</f>
        <v>0</v>
      </c>
      <c r="BA25" s="9">
        <f>VLOOKUP($A25,'[1]24-8-24 DATA ENTRY'!$A$1:$BR$278,52,FALSE)</f>
        <v>0</v>
      </c>
      <c r="BB25" s="5">
        <v>1</v>
      </c>
      <c r="BC25" s="9">
        <f>VLOOKUP($A25,'[1]24-8-24 DATA ENTRY'!$A$1:$BR$278,53,FALSE)</f>
        <v>100</v>
      </c>
      <c r="BD25" s="5">
        <v>0</v>
      </c>
      <c r="BE25" s="5">
        <v>2</v>
      </c>
      <c r="BF25" s="5">
        <v>0</v>
      </c>
      <c r="BG25" s="5">
        <v>0</v>
      </c>
      <c r="BH25" s="5">
        <v>1</v>
      </c>
      <c r="BI25" s="5">
        <v>1</v>
      </c>
      <c r="BJ25" s="5">
        <v>1</v>
      </c>
      <c r="BK25" s="5">
        <v>0</v>
      </c>
      <c r="BL25" s="5">
        <v>2</v>
      </c>
      <c r="BM25" s="5">
        <v>2</v>
      </c>
      <c r="BN25" s="5">
        <v>2</v>
      </c>
      <c r="BO25" s="5">
        <v>1</v>
      </c>
      <c r="BP25" s="5">
        <v>1</v>
      </c>
      <c r="BQ25" s="5">
        <v>1</v>
      </c>
      <c r="BR25" s="5">
        <v>14</v>
      </c>
      <c r="BS25" s="5">
        <v>0</v>
      </c>
      <c r="BT25" s="5">
        <v>0</v>
      </c>
      <c r="BU25" s="5"/>
    </row>
    <row r="26" spans="1:73" x14ac:dyDescent="0.25">
      <c r="A26" s="8" t="s">
        <v>394</v>
      </c>
      <c r="B26" s="5">
        <v>1</v>
      </c>
      <c r="C26" s="8">
        <v>6.1043700000000003</v>
      </c>
      <c r="D26" s="9">
        <f>VLOOKUP($A26,'[1]24-8-24 DATA ENTRY'!$A$1:$BR$258,3,FALSE)</f>
        <v>240000034634</v>
      </c>
      <c r="E26" s="9">
        <f>VLOOKUP($A26,'[1]24-8-24 DATA ENTRY'!$A$1:$BR$258,4,FALSE)</f>
        <v>62</v>
      </c>
      <c r="F26" s="9">
        <f>VLOOKUP($A26,'[1]24-8-24 DATA ENTRY'!$A$1:$BR$258,5,FALSE)</f>
        <v>2</v>
      </c>
      <c r="G26" s="10">
        <f>VLOOKUP($A26,'[1]24-8-24 DATA ENTRY'!$A$1:$BR$258,6,FALSE)</f>
        <v>45395</v>
      </c>
      <c r="H26" s="9">
        <f>VLOOKUP($A26,'[1]24-8-24 DATA ENTRY'!$A$1:$BR$258,7,FALSE)</f>
        <v>0.35416666666666669</v>
      </c>
      <c r="I26" s="10">
        <f>VLOOKUP($A26,'[1]24-8-24 DATA ENTRY'!$A$1:$BR$258,8,FALSE)</f>
        <v>45395</v>
      </c>
      <c r="J26" s="10">
        <f>VLOOKUP($A26,'[1]24-8-24 DATA ENTRY'!$A$1:$BR$258,9,FALSE)</f>
        <v>45397</v>
      </c>
      <c r="K26" s="9">
        <f>VLOOKUP($A26,'[1]24-8-24 DATA ENTRY'!$A$1:$BR$258,10,FALSE)</f>
        <v>9922328960</v>
      </c>
      <c r="L26" s="9">
        <f>VLOOKUP($A26,'[1]24-8-24 DATA ENTRY'!$A$1:$BR$258,11,FALSE)</f>
        <v>9764824635</v>
      </c>
      <c r="M26" s="9">
        <f>VLOOKUP($A26,'[1]24-8-24 DATA ENTRY'!$A$1:$BR$258,12,FALSE)</f>
        <v>12</v>
      </c>
      <c r="N26" s="9">
        <f>VLOOKUP($A26,'[1]24-8-24 DATA ENTRY'!$A$1:$BR$258,13,FALSE)</f>
        <v>1</v>
      </c>
      <c r="O26" s="9">
        <f>VLOOKUP($A26,'[1]24-8-24 DATA ENTRY'!$A$1:$BR$258,14,FALSE)</f>
        <v>2</v>
      </c>
      <c r="P26" s="9">
        <f>VLOOKUP($A26,'[1]24-8-24 DATA ENTRY'!$A$1:$BR$258,15,FALSE)</f>
        <v>2</v>
      </c>
      <c r="Q26" s="9">
        <f>VLOOKUP($A26,'[1]24-8-24 DATA ENTRY'!$A$1:$BR$258,16,FALSE)</f>
        <v>2</v>
      </c>
      <c r="R26" s="9">
        <f>VLOOKUP($A26,'[1]24-8-24 DATA ENTRY'!$A$1:$BR$258,17,FALSE)</f>
        <v>1</v>
      </c>
      <c r="S26" s="9">
        <f>VLOOKUP($A26,'[1]24-8-24 DATA ENTRY'!$A$1:$BR$258,18,FALSE)</f>
        <v>2</v>
      </c>
      <c r="T26" s="9">
        <f>VLOOKUP($A26,'[1]24-8-24 DATA ENTRY'!$A$1:$BR$258,19,FALSE)</f>
        <v>2</v>
      </c>
      <c r="U26" s="9">
        <f>VLOOKUP($A26,'[1]24-8-24 DATA ENTRY'!$A$1:$BR$258,20,FALSE)</f>
        <v>2</v>
      </c>
      <c r="V26" s="9">
        <f>VLOOKUP($A26,'[1]24-8-24 DATA ENTRY'!$A$1:$BR$258,21,FALSE)</f>
        <v>2</v>
      </c>
      <c r="W26" s="9" t="str">
        <f>VLOOKUP($A26,'[1]24-8-24 DATA ENTRY'!$A$1:$BR$258,22,FALSE)</f>
        <v>K/C/O rheumathoid arthritis</v>
      </c>
      <c r="X26" s="9">
        <f>VLOOKUP($A26,'[1]24-8-24 DATA ENTRY'!$A$1:$BR$258,23,FALSE)</f>
        <v>12.5</v>
      </c>
      <c r="Y26" s="9">
        <f>VLOOKUP($A26,'[1]24-8-24 DATA ENTRY'!$A$1:$BR$258,24,FALSE)</f>
        <v>37.299999999999997</v>
      </c>
      <c r="Z26" s="9">
        <f>VLOOKUP($A26,'[1]24-8-24 DATA ENTRY'!$A$1:$BR$258,25,FALSE)</f>
        <v>106.6</v>
      </c>
      <c r="AA26" s="9">
        <f>VLOOKUP($A26,'[1]24-8-24 DATA ENTRY'!$A$1:$BR$258,26,FALSE)</f>
        <v>46.2</v>
      </c>
      <c r="AB26" s="9">
        <f>VLOOKUP($A26,'[1]24-8-24 DATA ENTRY'!$A$1:$BR$258,27,FALSE)</f>
        <v>151.4</v>
      </c>
      <c r="AC26" s="9">
        <f>VLOOKUP($A26,'[1]24-8-24 DATA ENTRY'!$A$1:$BR$258,28,FALSE)</f>
        <v>210</v>
      </c>
      <c r="AD26" s="9">
        <f>VLOOKUP($A26,'[1]24-8-24 DATA ENTRY'!$A$1:$BR$258,29,FALSE)</f>
        <v>151.4</v>
      </c>
      <c r="AE26" s="9">
        <f>VLOOKUP($A26,'[1]24-8-24 DATA ENTRY'!$A$1:$BR$258,30,FALSE)</f>
        <v>40</v>
      </c>
      <c r="AF26" s="9">
        <f>VLOOKUP($A26,'[1]24-8-24 DATA ENTRY'!$A$1:$BR$258,31,FALSE)</f>
        <v>18.600000000000001</v>
      </c>
      <c r="AG26" s="9">
        <f>VLOOKUP($A26,'[1]24-8-24 DATA ENTRY'!$A$1:$BR$258,32,FALSE)</f>
        <v>93</v>
      </c>
      <c r="AH26" s="9">
        <f>VLOOKUP($A26,'[1]24-8-24 DATA ENTRY'!$A$1:$BR$258,33,FALSE)</f>
        <v>221</v>
      </c>
      <c r="AI26" s="9">
        <f>VLOOKUP($A26,'[1]24-8-24 DATA ENTRY'!$A$1:$BR$258,34,FALSE)</f>
        <v>0</v>
      </c>
      <c r="AJ26" s="9">
        <f>VLOOKUP($A26,'[1]24-8-24 DATA ENTRY'!$A$1:$BR$258,35,FALSE)</f>
        <v>0</v>
      </c>
      <c r="AK26" s="9" t="str">
        <f>VLOOKUP($A26,'[1]24-8-24 DATA ENTRY'!$A$1:$BR$258,36,FALSE)</f>
        <v>right M1 infarct</v>
      </c>
      <c r="AL26" s="9">
        <f>VLOOKUP($A26,'[1]24-8-24 DATA ENTRY'!$A$1:$BR$258,37,FALSE)</f>
        <v>0</v>
      </c>
      <c r="AM26" s="9">
        <f>VLOOKUP($A26,'[1]24-8-24 DATA ENTRY'!$A$1:$BR$258,38,FALSE)</f>
        <v>0</v>
      </c>
      <c r="AN26" s="9">
        <f>VLOOKUP($A26,'[1]24-8-24 DATA ENTRY'!$A$1:$BR$258,39,FALSE)</f>
        <v>7</v>
      </c>
      <c r="AO26" s="9">
        <f>VLOOKUP($A26,'[1]24-8-24 DATA ENTRY'!$A$1:$BR$258,40,FALSE)</f>
        <v>1</v>
      </c>
      <c r="AP26" s="9">
        <f>VLOOKUP($A26,'[1]24-8-24 DATA ENTRY'!$A$1:$BR$258,41,FALSE)</f>
        <v>3</v>
      </c>
      <c r="AQ26" s="9">
        <f>VLOOKUP($A26,'[1]24-8-24 DATA ENTRY'!$A$1:$BR$258,42,FALSE)</f>
        <v>3</v>
      </c>
      <c r="AR26" s="9">
        <f>VLOOKUP($A26,'[1]24-8-24 DATA ENTRY'!$A$1:$BR$258,43,FALSE)</f>
        <v>5</v>
      </c>
      <c r="AS26" s="9">
        <f>VLOOKUP($A26,'[1]24-8-24 DATA ENTRY'!$A$1:$BR$258,44,FALSE)</f>
        <v>0</v>
      </c>
      <c r="AT26" s="9">
        <f>VLOOKUP($A26,'[1]24-8-24 DATA ENTRY'!$A$1:$BR$258,45,FALSE)</f>
        <v>1</v>
      </c>
      <c r="AU26" s="9">
        <f>VLOOKUP($A26,'[1]24-8-24 DATA ENTRY'!$A$1:$BR$258,46,FALSE)</f>
        <v>1</v>
      </c>
      <c r="AV26" s="9">
        <f>VLOOKUP($A26,'[1]24-8-24 DATA ENTRY'!$A$1:$BR$258,47,FALSE)</f>
        <v>2</v>
      </c>
      <c r="AW26" s="9">
        <f>VLOOKUP($A26,'[1]24-8-24 DATA ENTRY'!$A$1:$BR$258,48,FALSE)</f>
        <v>0</v>
      </c>
      <c r="AX26" s="9">
        <f>VLOOKUP($A26,'[1]24-8-24 DATA ENTRY'!$A$1:$BR$258,49,FALSE)</f>
        <v>0</v>
      </c>
      <c r="AY26" s="9">
        <f>VLOOKUP($A26,'[1]24-8-24 DATA ENTRY'!$A$1:$BR$258,50,FALSE)</f>
        <v>0</v>
      </c>
      <c r="AZ26" s="9">
        <f>VLOOKUP($A26,'[1]24-8-24 DATA ENTRY'!$A$1:$BR$258,51,FALSE)</f>
        <v>0</v>
      </c>
      <c r="BA26" s="9">
        <f>VLOOKUP($A26,'[1]24-8-24 DATA ENTRY'!$A$1:$BR$258,52,FALSE)</f>
        <v>1</v>
      </c>
      <c r="BB26" s="5">
        <v>1</v>
      </c>
      <c r="BC26" s="9">
        <f>VLOOKUP($A26,'[1]24-8-24 DATA ENTRY'!$A$1:$BR$258,53,FALSE)</f>
        <v>80</v>
      </c>
      <c r="BD26" s="8">
        <v>1</v>
      </c>
      <c r="BE26" s="8">
        <v>2</v>
      </c>
      <c r="BF26" s="8">
        <v>2</v>
      </c>
      <c r="BG26" s="8">
        <v>2</v>
      </c>
      <c r="BH26" s="8">
        <v>1</v>
      </c>
      <c r="BI26" s="8">
        <v>1</v>
      </c>
      <c r="BJ26" s="8">
        <v>1</v>
      </c>
      <c r="BK26" s="8">
        <v>1</v>
      </c>
      <c r="BL26" s="8">
        <v>2</v>
      </c>
      <c r="BM26" s="8">
        <v>2</v>
      </c>
      <c r="BN26" s="8">
        <v>2</v>
      </c>
      <c r="BO26" s="8">
        <v>1</v>
      </c>
      <c r="BP26" s="8">
        <v>1</v>
      </c>
      <c r="BQ26" s="8">
        <v>1</v>
      </c>
      <c r="BR26" s="8">
        <v>20</v>
      </c>
      <c r="BS26" s="8">
        <v>1</v>
      </c>
      <c r="BT26" s="8">
        <v>1</v>
      </c>
      <c r="BU26" s="8"/>
    </row>
    <row r="27" spans="1:73" x14ac:dyDescent="0.25">
      <c r="A27" s="5" t="s">
        <v>408</v>
      </c>
      <c r="B27" s="5">
        <v>1</v>
      </c>
      <c r="C27" s="5">
        <v>7.00319</v>
      </c>
      <c r="D27" s="6">
        <v>230000000000</v>
      </c>
      <c r="E27" s="5">
        <v>61</v>
      </c>
      <c r="F27" s="5">
        <v>2</v>
      </c>
      <c r="G27" s="7">
        <v>45279</v>
      </c>
      <c r="H27" s="11">
        <v>0.29166666666666669</v>
      </c>
      <c r="I27" s="7">
        <v>45281</v>
      </c>
      <c r="J27" s="7">
        <v>45288</v>
      </c>
      <c r="K27" s="5">
        <v>9860267622</v>
      </c>
      <c r="L27" s="5">
        <v>28122023</v>
      </c>
      <c r="M27" s="5">
        <v>25</v>
      </c>
      <c r="N27" s="5">
        <v>1</v>
      </c>
      <c r="O27" s="5">
        <v>1</v>
      </c>
      <c r="P27" s="5">
        <v>2</v>
      </c>
      <c r="Q27" s="5">
        <v>2</v>
      </c>
      <c r="R27" s="5">
        <v>2</v>
      </c>
      <c r="S27" s="5">
        <v>2</v>
      </c>
      <c r="T27" s="5">
        <v>2</v>
      </c>
      <c r="U27" s="5">
        <v>2</v>
      </c>
      <c r="V27" s="5">
        <v>2</v>
      </c>
      <c r="W27" s="5"/>
      <c r="X27" s="5">
        <v>9.3000000000000007</v>
      </c>
      <c r="Y27" s="5">
        <v>28.4</v>
      </c>
      <c r="Z27" s="5">
        <v>82</v>
      </c>
      <c r="AA27" s="5">
        <v>14.96</v>
      </c>
      <c r="AB27" s="5">
        <v>6</v>
      </c>
      <c r="AC27" s="5">
        <v>221</v>
      </c>
      <c r="AD27" s="5">
        <v>156.80000000000001</v>
      </c>
      <c r="AE27" s="5">
        <v>29</v>
      </c>
      <c r="AF27" s="5">
        <v>35.200000000000003</v>
      </c>
      <c r="AG27" s="5">
        <v>176</v>
      </c>
      <c r="AH27" s="5">
        <v>352</v>
      </c>
      <c r="AI27" s="5"/>
      <c r="AJ27" s="5"/>
      <c r="AK27" s="5" t="s">
        <v>409</v>
      </c>
      <c r="AL27" s="5" t="s">
        <v>410</v>
      </c>
      <c r="AM27" s="5"/>
      <c r="AN27" s="5">
        <v>7</v>
      </c>
      <c r="AO27" s="5">
        <v>1</v>
      </c>
      <c r="AP27" s="5">
        <v>3</v>
      </c>
      <c r="AQ27" s="5">
        <v>3</v>
      </c>
      <c r="AR27" s="5">
        <v>5</v>
      </c>
      <c r="AS27" s="5"/>
      <c r="AT27" s="5">
        <v>1</v>
      </c>
      <c r="AU27" s="5">
        <v>1</v>
      </c>
      <c r="AV27" s="5">
        <v>2</v>
      </c>
      <c r="AW27" s="5"/>
      <c r="AX27" s="5"/>
      <c r="AY27" s="5"/>
      <c r="AZ27" s="5"/>
      <c r="BA27" s="5">
        <v>1</v>
      </c>
      <c r="BB27" s="5">
        <v>1</v>
      </c>
      <c r="BC27" s="5">
        <v>95</v>
      </c>
      <c r="BD27" s="5">
        <v>1</v>
      </c>
      <c r="BE27" s="5">
        <v>2</v>
      </c>
      <c r="BF27" s="5">
        <v>2</v>
      </c>
      <c r="BG27" s="5">
        <v>2</v>
      </c>
      <c r="BH27" s="5">
        <v>1</v>
      </c>
      <c r="BI27" s="5">
        <v>1</v>
      </c>
      <c r="BJ27" s="5">
        <v>1</v>
      </c>
      <c r="BK27" s="5">
        <v>1</v>
      </c>
      <c r="BL27" s="5">
        <v>2</v>
      </c>
      <c r="BM27" s="5">
        <v>2</v>
      </c>
      <c r="BN27" s="5">
        <v>2</v>
      </c>
      <c r="BO27" s="5">
        <v>1</v>
      </c>
      <c r="BP27" s="5">
        <v>1</v>
      </c>
      <c r="BQ27" s="5">
        <v>1</v>
      </c>
      <c r="BR27" s="5">
        <v>20</v>
      </c>
      <c r="BS27" s="5">
        <v>1</v>
      </c>
      <c r="BT27" s="5">
        <v>1</v>
      </c>
      <c r="BU27" s="5"/>
    </row>
    <row r="28" spans="1:73" x14ac:dyDescent="0.25">
      <c r="A28" s="5" t="s">
        <v>520</v>
      </c>
      <c r="B28" s="5">
        <v>0</v>
      </c>
      <c r="C28" s="5">
        <v>44.072499999999998</v>
      </c>
      <c r="D28" s="6">
        <v>240000000000</v>
      </c>
      <c r="E28" s="5">
        <v>68</v>
      </c>
      <c r="F28" s="5">
        <v>1</v>
      </c>
      <c r="G28" s="7">
        <v>45299</v>
      </c>
      <c r="H28" s="11">
        <v>0.97916666666666663</v>
      </c>
      <c r="I28" s="7">
        <v>45300</v>
      </c>
      <c r="J28" s="7">
        <v>45306</v>
      </c>
      <c r="K28" s="5">
        <v>9960374392</v>
      </c>
      <c r="L28" s="5"/>
      <c r="M28" s="5">
        <v>7</v>
      </c>
      <c r="N28" s="5">
        <v>1</v>
      </c>
      <c r="O28" s="5">
        <v>2</v>
      </c>
      <c r="P28" s="5">
        <v>2</v>
      </c>
      <c r="Q28" s="5">
        <v>2</v>
      </c>
      <c r="R28" s="5">
        <v>2</v>
      </c>
      <c r="S28" s="5">
        <v>2</v>
      </c>
      <c r="T28" s="5">
        <v>1</v>
      </c>
      <c r="U28" s="5">
        <v>2</v>
      </c>
      <c r="V28" s="5">
        <v>2</v>
      </c>
      <c r="W28" s="5" t="s">
        <v>521</v>
      </c>
      <c r="X28" s="5">
        <v>12.4</v>
      </c>
      <c r="Y28" s="5">
        <v>36.5</v>
      </c>
      <c r="Z28" s="5">
        <v>92.2</v>
      </c>
      <c r="AA28" s="5">
        <v>20.73</v>
      </c>
      <c r="AB28" s="5">
        <v>5.5</v>
      </c>
      <c r="AC28" s="5">
        <v>203</v>
      </c>
      <c r="AD28" s="5">
        <v>136.4</v>
      </c>
      <c r="AE28" s="5">
        <v>36</v>
      </c>
      <c r="AF28" s="5">
        <v>30.6</v>
      </c>
      <c r="AG28" s="5">
        <v>153</v>
      </c>
      <c r="AH28" s="5">
        <v>400</v>
      </c>
      <c r="AI28" s="5"/>
      <c r="AJ28" s="5"/>
      <c r="AK28" s="5" t="s">
        <v>273</v>
      </c>
      <c r="AL28" s="5" t="s">
        <v>522</v>
      </c>
      <c r="AM28" s="5" t="s">
        <v>523</v>
      </c>
      <c r="AN28" s="5">
        <v>7</v>
      </c>
      <c r="AO28" s="5">
        <v>1</v>
      </c>
      <c r="AP28" s="5">
        <v>3</v>
      </c>
      <c r="AQ28" s="5">
        <v>3</v>
      </c>
      <c r="AR28" s="5">
        <v>5</v>
      </c>
      <c r="AS28" s="5"/>
      <c r="AT28" s="5">
        <v>1</v>
      </c>
      <c r="AU28" s="5">
        <v>1</v>
      </c>
      <c r="AV28" s="5">
        <v>2</v>
      </c>
      <c r="AW28" s="5"/>
      <c r="AX28" s="5"/>
      <c r="AY28" s="5"/>
      <c r="AZ28" s="5"/>
      <c r="BA28" s="5">
        <v>1</v>
      </c>
      <c r="BB28" s="5">
        <v>1</v>
      </c>
      <c r="BC28" s="5">
        <v>100</v>
      </c>
      <c r="BD28" s="5">
        <v>1</v>
      </c>
      <c r="BE28" s="5">
        <v>2</v>
      </c>
      <c r="BF28" s="5">
        <v>2</v>
      </c>
      <c r="BG28" s="5">
        <v>2</v>
      </c>
      <c r="BH28" s="5">
        <v>1</v>
      </c>
      <c r="BI28" s="5">
        <v>1</v>
      </c>
      <c r="BJ28" s="5">
        <v>1</v>
      </c>
      <c r="BK28" s="5">
        <v>1</v>
      </c>
      <c r="BL28" s="5">
        <v>2</v>
      </c>
      <c r="BM28" s="5">
        <v>1</v>
      </c>
      <c r="BN28" s="5">
        <v>2</v>
      </c>
      <c r="BO28" s="5">
        <v>1</v>
      </c>
      <c r="BP28" s="5">
        <v>1</v>
      </c>
      <c r="BQ28" s="5">
        <v>1</v>
      </c>
      <c r="BR28" s="5">
        <v>19</v>
      </c>
      <c r="BS28" s="5">
        <v>1</v>
      </c>
      <c r="BT28" s="5">
        <v>1</v>
      </c>
      <c r="BU28" s="5"/>
    </row>
    <row r="29" spans="1:73" x14ac:dyDescent="0.25">
      <c r="A29" s="5" t="s">
        <v>573</v>
      </c>
      <c r="B29" s="5">
        <v>0</v>
      </c>
      <c r="C29" s="5">
        <v>67.707099999999997</v>
      </c>
      <c r="D29" s="6">
        <v>230403075</v>
      </c>
      <c r="E29" s="5">
        <v>65</v>
      </c>
      <c r="F29" s="5">
        <v>2</v>
      </c>
      <c r="G29" s="7"/>
      <c r="H29" s="5"/>
      <c r="I29" s="7">
        <v>45035</v>
      </c>
      <c r="J29" s="7"/>
      <c r="K29" s="5">
        <v>9158797476</v>
      </c>
      <c r="L29" s="5"/>
      <c r="M29" s="5">
        <v>10</v>
      </c>
      <c r="N29" s="5">
        <v>2</v>
      </c>
      <c r="O29" s="5">
        <v>1</v>
      </c>
      <c r="P29" s="5">
        <v>2</v>
      </c>
      <c r="Q29" s="5">
        <v>2</v>
      </c>
      <c r="R29" s="5">
        <v>2</v>
      </c>
      <c r="S29" s="5">
        <v>2</v>
      </c>
      <c r="T29" s="5">
        <v>2</v>
      </c>
      <c r="U29" s="5">
        <v>2</v>
      </c>
      <c r="V29" s="5">
        <v>2</v>
      </c>
      <c r="W29" s="5"/>
      <c r="X29" s="5">
        <v>13</v>
      </c>
      <c r="Y29" s="5">
        <v>39.700000000000003</v>
      </c>
      <c r="Z29" s="5"/>
      <c r="AA29" s="5">
        <v>6.51</v>
      </c>
      <c r="AB29" s="5">
        <v>14.3</v>
      </c>
      <c r="AC29" s="5">
        <v>198</v>
      </c>
      <c r="AD29" s="5">
        <v>109.2</v>
      </c>
      <c r="AE29" s="5">
        <v>29</v>
      </c>
      <c r="AF29" s="5"/>
      <c r="AG29" s="5">
        <v>299</v>
      </c>
      <c r="AH29" s="5">
        <v>413</v>
      </c>
      <c r="AI29" s="5" t="s">
        <v>574</v>
      </c>
      <c r="AJ29" s="5"/>
      <c r="AK29" s="5"/>
      <c r="AL29" s="5" t="s">
        <v>575</v>
      </c>
      <c r="AM29" s="5"/>
      <c r="AN29" s="5">
        <v>7</v>
      </c>
      <c r="AO29" s="5">
        <v>1</v>
      </c>
      <c r="AP29" s="5">
        <v>2</v>
      </c>
      <c r="AQ29" s="5">
        <v>2</v>
      </c>
      <c r="AR29" s="5">
        <v>4</v>
      </c>
      <c r="AS29" s="5"/>
      <c r="AT29" s="5">
        <v>1</v>
      </c>
      <c r="AU29" s="5">
        <v>1</v>
      </c>
      <c r="AV29" s="5">
        <v>2</v>
      </c>
      <c r="AW29" s="5"/>
      <c r="AX29" s="5">
        <v>4</v>
      </c>
      <c r="AY29" s="5">
        <v>2</v>
      </c>
      <c r="AZ29" s="5">
        <v>2</v>
      </c>
      <c r="BA29" s="5">
        <v>1</v>
      </c>
      <c r="BB29" s="5">
        <v>1</v>
      </c>
      <c r="BC29" s="5">
        <v>100</v>
      </c>
      <c r="BD29" s="5">
        <v>1</v>
      </c>
      <c r="BE29" s="5">
        <v>2</v>
      </c>
      <c r="BF29" s="5">
        <v>2</v>
      </c>
      <c r="BG29" s="5">
        <v>2</v>
      </c>
      <c r="BH29" s="5">
        <v>0</v>
      </c>
      <c r="BI29" s="5">
        <v>1</v>
      </c>
      <c r="BJ29" s="5">
        <v>1</v>
      </c>
      <c r="BK29" s="5">
        <v>1</v>
      </c>
      <c r="BL29" s="5">
        <v>2</v>
      </c>
      <c r="BM29" s="5">
        <v>2</v>
      </c>
      <c r="BN29" s="5">
        <v>2</v>
      </c>
      <c r="BO29" s="5">
        <v>1</v>
      </c>
      <c r="BP29" s="5">
        <v>1</v>
      </c>
      <c r="BQ29" s="5">
        <v>1</v>
      </c>
      <c r="BR29" s="5">
        <v>19</v>
      </c>
      <c r="BS29" s="5">
        <v>1</v>
      </c>
      <c r="BT29" s="5">
        <v>1</v>
      </c>
      <c r="BU29" s="5"/>
    </row>
    <row r="30" spans="1:73" x14ac:dyDescent="0.25">
      <c r="A30" s="5" t="s">
        <v>636</v>
      </c>
      <c r="B30" s="5">
        <v>0</v>
      </c>
      <c r="C30" s="5">
        <v>34.502499999999998</v>
      </c>
      <c r="D30" s="6">
        <v>180900552</v>
      </c>
      <c r="E30" s="5">
        <v>71</v>
      </c>
      <c r="F30" s="5">
        <v>1</v>
      </c>
      <c r="G30" s="7"/>
      <c r="H30" s="5"/>
      <c r="I30" s="7">
        <v>44613</v>
      </c>
      <c r="J30" s="7">
        <v>44979</v>
      </c>
      <c r="K30" s="5">
        <v>9850654519</v>
      </c>
      <c r="L30" s="5">
        <v>8888447896</v>
      </c>
      <c r="M30" s="5">
        <v>11</v>
      </c>
      <c r="N30" s="5">
        <v>1</v>
      </c>
      <c r="O30" s="5">
        <v>1</v>
      </c>
      <c r="P30" s="5">
        <v>2</v>
      </c>
      <c r="Q30" s="5">
        <v>2</v>
      </c>
      <c r="R30" s="5">
        <v>2</v>
      </c>
      <c r="S30" s="5">
        <v>2</v>
      </c>
      <c r="T30" s="5">
        <v>2</v>
      </c>
      <c r="U30" s="5">
        <v>2</v>
      </c>
      <c r="V30" s="5">
        <v>2</v>
      </c>
      <c r="W30" s="5"/>
      <c r="X30" s="5">
        <v>13.7</v>
      </c>
      <c r="Y30" s="5">
        <v>41</v>
      </c>
      <c r="Z30" s="5"/>
      <c r="AA30" s="5">
        <v>19</v>
      </c>
      <c r="AB30" s="5">
        <v>6.6</v>
      </c>
      <c r="AC30" s="5"/>
      <c r="AD30" s="5"/>
      <c r="AE30" s="5"/>
      <c r="AF30" s="5"/>
      <c r="AG30" s="5"/>
      <c r="AH30" s="5">
        <v>273</v>
      </c>
      <c r="AI30" s="5" t="s">
        <v>637</v>
      </c>
      <c r="AJ30" s="5"/>
      <c r="AK30" s="5" t="s">
        <v>638</v>
      </c>
      <c r="AL30" s="5"/>
      <c r="AM30" s="5"/>
      <c r="AN30" s="5">
        <v>7</v>
      </c>
      <c r="AO30" s="5"/>
      <c r="AP30" s="5"/>
      <c r="AQ30" s="5"/>
      <c r="AR30" s="5"/>
      <c r="AS30" s="5" t="s">
        <v>639</v>
      </c>
      <c r="AT30" s="5">
        <v>2</v>
      </c>
      <c r="AU30" s="5">
        <v>2</v>
      </c>
      <c r="AV30" s="5"/>
      <c r="AW30" s="5"/>
      <c r="AX30" s="5">
        <v>2</v>
      </c>
      <c r="AY30" s="5">
        <v>1</v>
      </c>
      <c r="AZ30" s="5"/>
      <c r="BA30" s="5">
        <v>1</v>
      </c>
      <c r="BB30" s="5">
        <v>1</v>
      </c>
      <c r="BC30" s="5">
        <v>100</v>
      </c>
      <c r="BD30" s="5"/>
      <c r="BE30" s="5"/>
      <c r="BF30" s="5"/>
      <c r="BG30" s="5"/>
      <c r="BH30" s="5"/>
      <c r="BI30" s="5"/>
      <c r="BJ30" s="5"/>
      <c r="BK30" s="5"/>
      <c r="BL30" s="5"/>
      <c r="BM30" s="5"/>
      <c r="BN30" s="5"/>
      <c r="BO30" s="5"/>
      <c r="BP30" s="5"/>
      <c r="BQ30" s="5"/>
      <c r="BR30" s="5"/>
      <c r="BS30" s="5"/>
      <c r="BT30" s="5"/>
      <c r="BU30" s="5" t="s">
        <v>594</v>
      </c>
    </row>
    <row r="31" spans="1:73" x14ac:dyDescent="0.25">
      <c r="A31" s="12" t="s">
        <v>181</v>
      </c>
      <c r="B31" s="5">
        <v>1</v>
      </c>
      <c r="C31" s="12">
        <v>8.2649799999999995</v>
      </c>
      <c r="D31" s="13">
        <v>220602866</v>
      </c>
      <c r="E31" s="12">
        <v>80</v>
      </c>
      <c r="F31" s="12">
        <v>1</v>
      </c>
      <c r="G31" s="14"/>
      <c r="H31" s="12"/>
      <c r="I31" s="14">
        <v>44732</v>
      </c>
      <c r="J31" s="14">
        <v>44747</v>
      </c>
      <c r="K31" s="12">
        <v>9822894046</v>
      </c>
      <c r="L31" s="12"/>
      <c r="M31" s="12">
        <v>6</v>
      </c>
      <c r="N31" s="12">
        <v>1</v>
      </c>
      <c r="O31" s="12">
        <v>2</v>
      </c>
      <c r="P31" s="12">
        <v>2</v>
      </c>
      <c r="Q31" s="12">
        <v>2</v>
      </c>
      <c r="R31" s="12">
        <v>1</v>
      </c>
      <c r="S31" s="12">
        <v>2</v>
      </c>
      <c r="T31" s="12">
        <v>2</v>
      </c>
      <c r="U31" s="12">
        <v>2</v>
      </c>
      <c r="V31" s="12">
        <v>2</v>
      </c>
      <c r="W31" s="12" t="s">
        <v>182</v>
      </c>
      <c r="X31" s="12">
        <v>13.2</v>
      </c>
      <c r="Y31" s="12">
        <v>41</v>
      </c>
      <c r="Z31" s="12"/>
      <c r="AA31" s="12">
        <v>43.6</v>
      </c>
      <c r="AB31" s="12">
        <v>10.6</v>
      </c>
      <c r="AC31" s="12">
        <v>177</v>
      </c>
      <c r="AD31" s="12">
        <v>100</v>
      </c>
      <c r="AE31" s="12">
        <v>35</v>
      </c>
      <c r="AF31" s="12"/>
      <c r="AG31" s="12">
        <v>210</v>
      </c>
      <c r="AH31" s="12"/>
      <c r="AI31" s="12"/>
      <c r="AJ31" s="12"/>
      <c r="AK31" s="12"/>
      <c r="AL31" s="12" t="s">
        <v>183</v>
      </c>
      <c r="AM31" s="12"/>
      <c r="AN31" s="12">
        <v>7</v>
      </c>
      <c r="AO31" s="12">
        <v>1</v>
      </c>
      <c r="AP31" s="12">
        <v>4</v>
      </c>
      <c r="AQ31" s="12">
        <v>3</v>
      </c>
      <c r="AR31" s="12">
        <v>5</v>
      </c>
      <c r="AS31" s="12"/>
      <c r="AT31" s="12">
        <v>1</v>
      </c>
      <c r="AU31" s="12">
        <v>2</v>
      </c>
      <c r="AV31" s="12">
        <v>1</v>
      </c>
      <c r="AW31" s="12">
        <v>1</v>
      </c>
      <c r="AX31" s="12"/>
      <c r="AY31" s="12"/>
      <c r="AZ31" s="12"/>
      <c r="BA31" s="12">
        <v>2</v>
      </c>
      <c r="BB31" s="5">
        <v>1</v>
      </c>
      <c r="BC31" s="12">
        <v>95</v>
      </c>
      <c r="BD31" s="12">
        <v>0</v>
      </c>
      <c r="BE31" s="12">
        <v>2</v>
      </c>
      <c r="BF31" s="12">
        <v>2</v>
      </c>
      <c r="BG31" s="12">
        <v>2</v>
      </c>
      <c r="BH31" s="12">
        <v>1</v>
      </c>
      <c r="BI31" s="12">
        <v>0</v>
      </c>
      <c r="BJ31" s="12">
        <v>1</v>
      </c>
      <c r="BK31" s="12">
        <v>0</v>
      </c>
      <c r="BL31" s="12">
        <v>2</v>
      </c>
      <c r="BM31" s="12">
        <v>2</v>
      </c>
      <c r="BN31" s="12">
        <v>2</v>
      </c>
      <c r="BO31" s="12">
        <v>1</v>
      </c>
      <c r="BP31" s="12">
        <v>1</v>
      </c>
      <c r="BQ31" s="12">
        <v>1</v>
      </c>
      <c r="BR31" s="12">
        <v>17</v>
      </c>
      <c r="BS31" s="12">
        <v>1</v>
      </c>
      <c r="BT31" s="12">
        <v>1</v>
      </c>
      <c r="BU31" s="12"/>
    </row>
    <row r="32" spans="1:73" x14ac:dyDescent="0.25">
      <c r="A32" s="5" t="s">
        <v>554</v>
      </c>
      <c r="B32" s="5">
        <v>0</v>
      </c>
      <c r="C32" s="5">
        <v>5.5679100000000004</v>
      </c>
      <c r="D32" s="6">
        <v>150606327</v>
      </c>
      <c r="E32" s="5">
        <v>72</v>
      </c>
      <c r="F32" s="5">
        <v>1</v>
      </c>
      <c r="G32" s="7">
        <v>45003</v>
      </c>
      <c r="H32" s="11">
        <v>0.70833333333333337</v>
      </c>
      <c r="I32" s="7">
        <v>45003</v>
      </c>
      <c r="J32" s="7">
        <v>45005</v>
      </c>
      <c r="K32" s="5">
        <v>9545509971</v>
      </c>
      <c r="L32" s="5"/>
      <c r="M32" s="5">
        <v>2</v>
      </c>
      <c r="N32" s="5">
        <v>1</v>
      </c>
      <c r="O32" s="5">
        <v>1</v>
      </c>
      <c r="P32" s="5">
        <v>2</v>
      </c>
      <c r="Q32" s="5">
        <v>2</v>
      </c>
      <c r="R32" s="5">
        <v>2</v>
      </c>
      <c r="S32" s="5">
        <v>2</v>
      </c>
      <c r="T32" s="5">
        <v>2</v>
      </c>
      <c r="U32" s="5">
        <v>2</v>
      </c>
      <c r="V32" s="5">
        <v>2</v>
      </c>
      <c r="W32" s="5" t="s">
        <v>555</v>
      </c>
      <c r="X32" s="5">
        <v>14.6</v>
      </c>
      <c r="Y32" s="5">
        <v>42</v>
      </c>
      <c r="Z32" s="5"/>
      <c r="AA32" s="5">
        <v>15.4</v>
      </c>
      <c r="AB32" s="5">
        <v>11.8</v>
      </c>
      <c r="AC32" s="5">
        <v>208</v>
      </c>
      <c r="AD32" s="5">
        <v>135</v>
      </c>
      <c r="AE32" s="5">
        <v>42</v>
      </c>
      <c r="AF32" s="5">
        <v>30</v>
      </c>
      <c r="AG32" s="5">
        <v>153</v>
      </c>
      <c r="AH32" s="5">
        <v>196</v>
      </c>
      <c r="AI32" s="5" t="s">
        <v>556</v>
      </c>
      <c r="AJ32" s="5"/>
      <c r="AK32" s="5" t="s">
        <v>557</v>
      </c>
      <c r="AL32" s="5" t="s">
        <v>558</v>
      </c>
      <c r="AM32" s="5"/>
      <c r="AN32" s="5">
        <v>7</v>
      </c>
      <c r="AO32" s="5">
        <v>3</v>
      </c>
      <c r="AP32" s="5">
        <v>3</v>
      </c>
      <c r="AQ32" s="5">
        <v>2</v>
      </c>
      <c r="AR32" s="5">
        <v>5</v>
      </c>
      <c r="AS32" s="5"/>
      <c r="AT32" s="5">
        <v>1</v>
      </c>
      <c r="AU32" s="5">
        <v>2</v>
      </c>
      <c r="AV32" s="5">
        <v>1</v>
      </c>
      <c r="AW32" s="5">
        <v>1</v>
      </c>
      <c r="AX32" s="5"/>
      <c r="AY32" s="5"/>
      <c r="AZ32" s="5"/>
      <c r="BA32" s="5">
        <v>2</v>
      </c>
      <c r="BB32" s="5">
        <v>1</v>
      </c>
      <c r="BC32" s="5">
        <v>90</v>
      </c>
      <c r="BD32" s="5">
        <v>1</v>
      </c>
      <c r="BE32" s="5">
        <v>2</v>
      </c>
      <c r="BF32" s="5">
        <v>2</v>
      </c>
      <c r="BG32" s="5">
        <v>2</v>
      </c>
      <c r="BH32" s="5">
        <v>1</v>
      </c>
      <c r="BI32" s="5">
        <v>1</v>
      </c>
      <c r="BJ32" s="5">
        <v>1</v>
      </c>
      <c r="BK32" s="5">
        <v>1</v>
      </c>
      <c r="BL32" s="5">
        <v>2</v>
      </c>
      <c r="BM32" s="5">
        <v>2</v>
      </c>
      <c r="BN32" s="5">
        <v>2</v>
      </c>
      <c r="BO32" s="5">
        <v>1</v>
      </c>
      <c r="BP32" s="5">
        <v>1</v>
      </c>
      <c r="BQ32" s="5">
        <v>1</v>
      </c>
      <c r="BR32" s="5">
        <v>20</v>
      </c>
      <c r="BS32" s="5">
        <v>1</v>
      </c>
      <c r="BT32" s="5">
        <v>1</v>
      </c>
      <c r="BU32" s="5"/>
    </row>
    <row r="33" spans="1:73" x14ac:dyDescent="0.25">
      <c r="A33" s="5" t="s">
        <v>374</v>
      </c>
      <c r="B33" s="5">
        <v>1</v>
      </c>
      <c r="C33" s="5">
        <v>84.561199999999999</v>
      </c>
      <c r="D33" s="6">
        <v>130700886</v>
      </c>
      <c r="E33" s="5">
        <v>42</v>
      </c>
      <c r="F33" s="5">
        <v>1</v>
      </c>
      <c r="G33" s="7"/>
      <c r="H33" s="5"/>
      <c r="I33" s="7">
        <v>44761</v>
      </c>
      <c r="J33" s="7">
        <v>44793</v>
      </c>
      <c r="K33" s="5">
        <v>8149566554</v>
      </c>
      <c r="L33" s="5"/>
      <c r="M33" s="5">
        <v>22</v>
      </c>
      <c r="N33" s="5">
        <v>1</v>
      </c>
      <c r="O33" s="5">
        <v>2</v>
      </c>
      <c r="P33" s="5">
        <v>1</v>
      </c>
      <c r="Q33" s="5">
        <v>2</v>
      </c>
      <c r="R33" s="5">
        <v>2</v>
      </c>
      <c r="S33" s="5">
        <v>2</v>
      </c>
      <c r="T33" s="5">
        <v>2</v>
      </c>
      <c r="U33" s="5">
        <v>1</v>
      </c>
      <c r="V33" s="5">
        <v>2</v>
      </c>
      <c r="W33" s="5" t="s">
        <v>375</v>
      </c>
      <c r="X33" s="5">
        <v>12.9</v>
      </c>
      <c r="Y33" s="5">
        <v>34.6</v>
      </c>
      <c r="Z33" s="5"/>
      <c r="AA33" s="5">
        <v>29.76</v>
      </c>
      <c r="AB33" s="5">
        <v>5.8</v>
      </c>
      <c r="AC33" s="5">
        <v>166</v>
      </c>
      <c r="AD33" s="5">
        <v>111.6</v>
      </c>
      <c r="AE33" s="5">
        <v>25</v>
      </c>
      <c r="AF33" s="5"/>
      <c r="AG33" s="5">
        <v>147</v>
      </c>
      <c r="AH33" s="5">
        <v>176</v>
      </c>
      <c r="AI33" s="5"/>
      <c r="AJ33" s="5"/>
      <c r="AK33" s="5"/>
      <c r="AL33" s="5" t="s">
        <v>376</v>
      </c>
      <c r="AM33" s="5"/>
      <c r="AN33" s="5">
        <v>7</v>
      </c>
      <c r="AO33" s="5">
        <v>2</v>
      </c>
      <c r="AP33" s="5">
        <v>3</v>
      </c>
      <c r="AQ33" s="5">
        <v>2</v>
      </c>
      <c r="AR33" s="5">
        <v>4</v>
      </c>
      <c r="AS33" s="5"/>
      <c r="AT33" s="5">
        <v>1</v>
      </c>
      <c r="AU33" s="5">
        <v>1</v>
      </c>
      <c r="AV33" s="5">
        <v>2</v>
      </c>
      <c r="AW33" s="5"/>
      <c r="AX33" s="5"/>
      <c r="AY33" s="5"/>
      <c r="AZ33" s="5"/>
      <c r="BA33" s="5">
        <v>6</v>
      </c>
      <c r="BB33" s="5">
        <v>2</v>
      </c>
      <c r="BC33" s="5">
        <v>0</v>
      </c>
      <c r="BD33" s="5">
        <v>1</v>
      </c>
      <c r="BE33" s="5">
        <v>2</v>
      </c>
      <c r="BF33" s="5">
        <v>2</v>
      </c>
      <c r="BG33" s="5">
        <v>2</v>
      </c>
      <c r="BH33" s="5">
        <v>1</v>
      </c>
      <c r="BI33" s="5">
        <v>1</v>
      </c>
      <c r="BJ33" s="5">
        <v>1</v>
      </c>
      <c r="BK33" s="5">
        <v>1</v>
      </c>
      <c r="BL33" s="5">
        <v>2</v>
      </c>
      <c r="BM33" s="5">
        <v>2</v>
      </c>
      <c r="BN33" s="5">
        <v>2</v>
      </c>
      <c r="BO33" s="5">
        <v>0</v>
      </c>
      <c r="BP33" s="5">
        <v>1</v>
      </c>
      <c r="BQ33" s="5">
        <v>1</v>
      </c>
      <c r="BR33" s="5">
        <v>19</v>
      </c>
      <c r="BS33" s="5">
        <v>1</v>
      </c>
      <c r="BT33" s="5">
        <v>1</v>
      </c>
      <c r="BU33" s="5"/>
    </row>
    <row r="34" spans="1:73" x14ac:dyDescent="0.25">
      <c r="A34" s="5" t="s">
        <v>487</v>
      </c>
      <c r="B34" s="5">
        <v>1</v>
      </c>
      <c r="C34" s="5">
        <v>181.03200000000001</v>
      </c>
      <c r="D34" s="6">
        <v>230000000000</v>
      </c>
      <c r="E34" s="5">
        <v>45</v>
      </c>
      <c r="F34" s="5">
        <v>2</v>
      </c>
      <c r="G34" s="7">
        <v>45229</v>
      </c>
      <c r="H34" s="11">
        <v>0.33333333333333331</v>
      </c>
      <c r="I34" s="7">
        <v>45229</v>
      </c>
      <c r="J34" s="7">
        <v>45253</v>
      </c>
      <c r="K34" s="5">
        <v>9960643811</v>
      </c>
      <c r="L34" s="5">
        <v>8888434416</v>
      </c>
      <c r="M34" s="5">
        <v>17</v>
      </c>
      <c r="N34" s="5">
        <v>1</v>
      </c>
      <c r="O34" s="5">
        <v>2</v>
      </c>
      <c r="P34" s="5">
        <v>2</v>
      </c>
      <c r="Q34" s="5">
        <v>2</v>
      </c>
      <c r="R34" s="5">
        <v>2</v>
      </c>
      <c r="S34" s="5">
        <v>2</v>
      </c>
      <c r="T34" s="5">
        <v>2</v>
      </c>
      <c r="U34" s="5">
        <v>2</v>
      </c>
      <c r="V34" s="5">
        <v>2</v>
      </c>
      <c r="W34" s="5" t="s">
        <v>488</v>
      </c>
      <c r="X34" s="5">
        <v>7.7</v>
      </c>
      <c r="Y34" s="5">
        <v>27.3</v>
      </c>
      <c r="Z34" s="5">
        <v>53.4</v>
      </c>
      <c r="AA34" s="5">
        <v>8.66</v>
      </c>
      <c r="AB34" s="5">
        <v>9.9</v>
      </c>
      <c r="AC34" s="5">
        <v>197</v>
      </c>
      <c r="AD34" s="5">
        <v>139.80000000000001</v>
      </c>
      <c r="AE34" s="5">
        <v>33</v>
      </c>
      <c r="AF34" s="5">
        <v>24.2</v>
      </c>
      <c r="AG34" s="5">
        <v>121</v>
      </c>
      <c r="AH34" s="5">
        <v>2000</v>
      </c>
      <c r="AI34" s="5"/>
      <c r="AJ34" s="5"/>
      <c r="AK34" s="5" t="s">
        <v>489</v>
      </c>
      <c r="AL34" s="5" t="s">
        <v>490</v>
      </c>
      <c r="AM34" s="5"/>
      <c r="AN34" s="5">
        <v>7</v>
      </c>
      <c r="AO34" s="5">
        <v>3</v>
      </c>
      <c r="AP34" s="5">
        <v>3</v>
      </c>
      <c r="AQ34" s="5">
        <v>3</v>
      </c>
      <c r="AR34" s="5">
        <v>4</v>
      </c>
      <c r="AS34" s="5"/>
      <c r="AT34" s="5">
        <v>1</v>
      </c>
      <c r="AU34" s="5">
        <v>1</v>
      </c>
      <c r="AV34" s="5">
        <v>2</v>
      </c>
      <c r="AW34" s="5"/>
      <c r="AX34" s="5"/>
      <c r="AY34" s="5"/>
      <c r="AZ34" s="5">
        <v>1</v>
      </c>
      <c r="BA34" s="5">
        <v>6</v>
      </c>
      <c r="BB34" s="5">
        <v>2</v>
      </c>
      <c r="BC34" s="5">
        <v>0</v>
      </c>
      <c r="BD34" s="5">
        <v>1</v>
      </c>
      <c r="BE34" s="5">
        <v>2</v>
      </c>
      <c r="BF34" s="5">
        <v>2</v>
      </c>
      <c r="BG34" s="5">
        <v>2</v>
      </c>
      <c r="BH34" s="5">
        <v>1</v>
      </c>
      <c r="BI34" s="5">
        <v>1</v>
      </c>
      <c r="BJ34" s="5">
        <v>1</v>
      </c>
      <c r="BK34" s="5">
        <v>1</v>
      </c>
      <c r="BL34" s="5">
        <v>2</v>
      </c>
      <c r="BM34" s="5">
        <v>2</v>
      </c>
      <c r="BN34" s="5">
        <v>2</v>
      </c>
      <c r="BO34" s="5">
        <v>1</v>
      </c>
      <c r="BP34" s="5">
        <v>1</v>
      </c>
      <c r="BQ34" s="5">
        <v>1</v>
      </c>
      <c r="BR34" s="5">
        <v>20</v>
      </c>
      <c r="BS34" s="5">
        <v>0</v>
      </c>
      <c r="BT34" s="5">
        <v>1</v>
      </c>
      <c r="BU34" s="5"/>
    </row>
    <row r="35" spans="1:73" x14ac:dyDescent="0.25">
      <c r="A35" s="5" t="s">
        <v>538</v>
      </c>
      <c r="B35" s="5">
        <v>0</v>
      </c>
      <c r="C35" s="5">
        <v>56.451599999999999</v>
      </c>
      <c r="D35" s="6">
        <v>240000013172</v>
      </c>
      <c r="E35" s="5">
        <v>85</v>
      </c>
      <c r="F35" s="5">
        <v>2</v>
      </c>
      <c r="G35" s="7" t="s">
        <v>539</v>
      </c>
      <c r="H35" s="20">
        <v>0.72916666666666663</v>
      </c>
      <c r="I35" s="7" t="s">
        <v>539</v>
      </c>
      <c r="J35" s="7" t="s">
        <v>540</v>
      </c>
      <c r="K35" s="5">
        <v>7058983347</v>
      </c>
      <c r="L35" s="5"/>
      <c r="M35" s="5">
        <v>21</v>
      </c>
      <c r="N35" s="5">
        <v>1</v>
      </c>
      <c r="O35" s="5">
        <v>2</v>
      </c>
      <c r="P35" s="5">
        <v>2</v>
      </c>
      <c r="Q35" s="5">
        <v>2</v>
      </c>
      <c r="R35" s="5">
        <v>2</v>
      </c>
      <c r="S35" s="5">
        <v>2</v>
      </c>
      <c r="T35" s="5">
        <v>2</v>
      </c>
      <c r="U35" s="5">
        <v>2</v>
      </c>
      <c r="V35" s="5">
        <v>2</v>
      </c>
      <c r="W35" s="5"/>
      <c r="X35" s="5"/>
      <c r="Y35" s="5"/>
      <c r="Z35" s="5"/>
      <c r="AA35" s="5"/>
      <c r="AB35" s="5"/>
      <c r="AC35" s="5"/>
      <c r="AD35" s="5"/>
      <c r="AE35" s="5"/>
      <c r="AF35" s="5"/>
      <c r="AG35" s="5"/>
      <c r="AH35" s="5"/>
      <c r="AI35" s="5"/>
      <c r="AJ35" s="5"/>
      <c r="AK35" s="5" t="s">
        <v>541</v>
      </c>
      <c r="AL35" s="5"/>
      <c r="AM35" s="5"/>
      <c r="AN35" s="5">
        <v>7</v>
      </c>
      <c r="AO35" s="5">
        <v>1</v>
      </c>
      <c r="AP35" s="5">
        <v>2</v>
      </c>
      <c r="AQ35" s="5">
        <v>1</v>
      </c>
      <c r="AR35" s="5">
        <v>3</v>
      </c>
      <c r="AS35" s="5"/>
      <c r="AT35" s="5">
        <v>1</v>
      </c>
      <c r="AU35" s="5">
        <v>2</v>
      </c>
      <c r="AV35" s="5">
        <v>1</v>
      </c>
      <c r="AW35" s="5">
        <v>1</v>
      </c>
      <c r="AX35" s="5">
        <v>8</v>
      </c>
      <c r="AY35" s="5">
        <v>2</v>
      </c>
      <c r="AZ35" s="5">
        <v>2</v>
      </c>
      <c r="BA35" s="5">
        <v>6</v>
      </c>
      <c r="BB35" s="5">
        <v>2</v>
      </c>
      <c r="BC35" s="5">
        <v>0</v>
      </c>
      <c r="BD35" s="5">
        <v>1</v>
      </c>
      <c r="BE35" s="5">
        <v>2</v>
      </c>
      <c r="BF35" s="5">
        <v>2</v>
      </c>
      <c r="BG35" s="5">
        <v>2</v>
      </c>
      <c r="BH35" s="5">
        <v>1</v>
      </c>
      <c r="BI35" s="5">
        <v>1</v>
      </c>
      <c r="BJ35" s="5">
        <v>1</v>
      </c>
      <c r="BK35" s="5">
        <v>1</v>
      </c>
      <c r="BL35" s="5">
        <v>2</v>
      </c>
      <c r="BM35" s="5">
        <v>0</v>
      </c>
      <c r="BN35" s="5">
        <v>0</v>
      </c>
      <c r="BO35" s="5">
        <v>0</v>
      </c>
      <c r="BP35" s="5">
        <v>0</v>
      </c>
      <c r="BQ35" s="5">
        <v>1</v>
      </c>
      <c r="BR35" s="5">
        <v>14</v>
      </c>
      <c r="BS35" s="5">
        <v>1</v>
      </c>
      <c r="BT35" s="5">
        <v>1</v>
      </c>
      <c r="BU35" s="5" t="s">
        <v>373</v>
      </c>
    </row>
    <row r="36" spans="1:73" x14ac:dyDescent="0.25">
      <c r="A36" s="5" t="s">
        <v>76</v>
      </c>
      <c r="B36" s="5">
        <v>1</v>
      </c>
      <c r="C36" s="5">
        <v>53.894500000000001</v>
      </c>
      <c r="D36" s="6">
        <v>240000000000</v>
      </c>
      <c r="E36" s="5">
        <v>50</v>
      </c>
      <c r="F36" s="5">
        <v>1</v>
      </c>
      <c r="G36" s="7">
        <v>45294</v>
      </c>
      <c r="H36" s="11">
        <v>0.76041666666666663</v>
      </c>
      <c r="I36" s="7">
        <v>45294</v>
      </c>
      <c r="J36" s="7">
        <v>45306</v>
      </c>
      <c r="K36" s="5">
        <v>7822843581</v>
      </c>
      <c r="L36" s="5"/>
      <c r="M36" s="5">
        <v>24</v>
      </c>
      <c r="N36" s="5">
        <v>1</v>
      </c>
      <c r="O36" s="5">
        <v>2</v>
      </c>
      <c r="P36" s="5">
        <v>2</v>
      </c>
      <c r="Q36" s="5">
        <v>1</v>
      </c>
      <c r="R36" s="5">
        <v>1</v>
      </c>
      <c r="S36" s="5">
        <v>2</v>
      </c>
      <c r="T36" s="5">
        <v>2</v>
      </c>
      <c r="U36" s="5">
        <v>2</v>
      </c>
      <c r="V36" s="5">
        <v>2</v>
      </c>
      <c r="W36" s="5" t="s">
        <v>77</v>
      </c>
      <c r="X36" s="5">
        <v>13.5</v>
      </c>
      <c r="Y36" s="5">
        <v>41</v>
      </c>
      <c r="Z36" s="5">
        <v>97.2</v>
      </c>
      <c r="AA36" s="5">
        <v>33.42</v>
      </c>
      <c r="AB36" s="5">
        <v>5.6</v>
      </c>
      <c r="AC36" s="5">
        <v>115</v>
      </c>
      <c r="AD36" s="5">
        <v>64.400000000000006</v>
      </c>
      <c r="AE36" s="5">
        <v>31</v>
      </c>
      <c r="AF36" s="5">
        <v>19.600000000000001</v>
      </c>
      <c r="AG36" s="5">
        <v>98</v>
      </c>
      <c r="AH36" s="5">
        <v>156</v>
      </c>
      <c r="AI36" s="5"/>
      <c r="AJ36" s="5"/>
      <c r="AK36" s="5" t="s">
        <v>78</v>
      </c>
      <c r="AL36" s="5" t="s">
        <v>79</v>
      </c>
      <c r="AM36" s="5"/>
      <c r="AN36" s="5">
        <v>8</v>
      </c>
      <c r="AO36" s="5">
        <v>2</v>
      </c>
      <c r="AP36" s="5">
        <v>2</v>
      </c>
      <c r="AQ36" s="5">
        <v>1</v>
      </c>
      <c r="AR36" s="5">
        <v>3</v>
      </c>
      <c r="AS36" s="5"/>
      <c r="AT36" s="5">
        <v>1</v>
      </c>
      <c r="AU36" s="5">
        <v>1</v>
      </c>
      <c r="AV36" s="5">
        <v>2</v>
      </c>
      <c r="AW36" s="5">
        <v>4</v>
      </c>
      <c r="AX36" s="5">
        <v>8</v>
      </c>
      <c r="AY36" s="5">
        <v>2</v>
      </c>
      <c r="AZ36" s="5">
        <v>2</v>
      </c>
      <c r="BA36" s="5">
        <v>0</v>
      </c>
      <c r="BB36" s="5">
        <v>1</v>
      </c>
      <c r="BC36" s="5">
        <v>100</v>
      </c>
      <c r="BD36" s="5">
        <v>1</v>
      </c>
      <c r="BE36" s="5">
        <v>2</v>
      </c>
      <c r="BF36" s="5">
        <v>2</v>
      </c>
      <c r="BG36" s="5">
        <v>2</v>
      </c>
      <c r="BH36" s="5">
        <v>1</v>
      </c>
      <c r="BI36" s="5">
        <v>1</v>
      </c>
      <c r="BJ36" s="5">
        <v>1</v>
      </c>
      <c r="BK36" s="5">
        <v>0</v>
      </c>
      <c r="BL36" s="5">
        <v>0</v>
      </c>
      <c r="BM36" s="5">
        <v>0</v>
      </c>
      <c r="BN36" s="5">
        <v>0</v>
      </c>
      <c r="BO36" s="5">
        <v>0</v>
      </c>
      <c r="BP36" s="5">
        <v>0</v>
      </c>
      <c r="BQ36" s="5">
        <v>1</v>
      </c>
      <c r="BR36" s="5">
        <v>11</v>
      </c>
      <c r="BS36" s="5">
        <v>0</v>
      </c>
      <c r="BT36" s="5">
        <v>1</v>
      </c>
      <c r="BU36" s="5"/>
    </row>
    <row r="37" spans="1:73" x14ac:dyDescent="0.25">
      <c r="A37" s="17" t="s">
        <v>134</v>
      </c>
      <c r="B37" s="5">
        <v>1</v>
      </c>
      <c r="C37" s="17">
        <v>163.78</v>
      </c>
      <c r="D37" s="18">
        <f>VLOOKUP($A37,'[1]24-8-24 DATA ENTRY'!$A$1:$BR$258,3,FALSE)</f>
        <v>240000026031</v>
      </c>
      <c r="E37" s="18">
        <f>VLOOKUP($A37,'[1]24-8-24 DATA ENTRY'!$A$1:$BR$258,4,FALSE)</f>
        <v>65</v>
      </c>
      <c r="F37" s="18">
        <f>VLOOKUP($A37,'[1]24-8-24 DATA ENTRY'!$A$1:$BR$258,5,FALSE)</f>
        <v>2</v>
      </c>
      <c r="G37" s="19">
        <f>VLOOKUP($A37,'[1]24-8-24 DATA ENTRY'!$A$1:$BR$258,6,FALSE)</f>
        <v>45365</v>
      </c>
      <c r="H37" s="18">
        <f>VLOOKUP($A37,'[1]24-8-24 DATA ENTRY'!$A$1:$BR$258,7,FALSE)</f>
        <v>0.91666666666666663</v>
      </c>
      <c r="I37" s="19">
        <f>VLOOKUP($A37,'[1]24-8-24 DATA ENTRY'!$A$1:$BR$258,8,FALSE)</f>
        <v>45367</v>
      </c>
      <c r="J37" s="19">
        <f>VLOOKUP($A37,'[1]24-8-24 DATA ENTRY'!$A$1:$BR$258,9,FALSE)</f>
        <v>0</v>
      </c>
      <c r="K37" s="18">
        <f>VLOOKUP($A37,'[1]24-8-24 DATA ENTRY'!$A$1:$BR$258,10,FALSE)</f>
        <v>8668549830</v>
      </c>
      <c r="L37" s="18">
        <f>VLOOKUP($A37,'[1]24-8-24 DATA ENTRY'!$A$1:$BR$258,11,FALSE)</f>
        <v>0</v>
      </c>
      <c r="M37" s="18">
        <f>VLOOKUP($A37,'[1]24-8-24 DATA ENTRY'!$A$1:$BR$258,12,FALSE)</f>
        <v>23</v>
      </c>
      <c r="N37" s="18">
        <f>VLOOKUP($A37,'[1]24-8-24 DATA ENTRY'!$A$1:$BR$258,13,FALSE)</f>
        <v>1</v>
      </c>
      <c r="O37" s="18">
        <f>VLOOKUP($A37,'[1]24-8-24 DATA ENTRY'!$A$1:$BR$258,14,FALSE)</f>
        <v>2</v>
      </c>
      <c r="P37" s="18">
        <f>VLOOKUP($A37,'[1]24-8-24 DATA ENTRY'!$A$1:$BR$258,15,FALSE)</f>
        <v>2</v>
      </c>
      <c r="Q37" s="18">
        <f>VLOOKUP($A37,'[1]24-8-24 DATA ENTRY'!$A$1:$BR$258,16,FALSE)</f>
        <v>2</v>
      </c>
      <c r="R37" s="18">
        <f>VLOOKUP($A37,'[1]24-8-24 DATA ENTRY'!$A$1:$BR$258,17,FALSE)</f>
        <v>1</v>
      </c>
      <c r="S37" s="18">
        <f>VLOOKUP($A37,'[1]24-8-24 DATA ENTRY'!$A$1:$BR$258,18,FALSE)</f>
        <v>2</v>
      </c>
      <c r="T37" s="18">
        <f>VLOOKUP($A37,'[1]24-8-24 DATA ENTRY'!$A$1:$BR$258,19,FALSE)</f>
        <v>2</v>
      </c>
      <c r="U37" s="18">
        <f>VLOOKUP($A37,'[1]24-8-24 DATA ENTRY'!$A$1:$BR$258,20,FALSE)</f>
        <v>2</v>
      </c>
      <c r="V37" s="18">
        <f>VLOOKUP($A37,'[1]24-8-24 DATA ENTRY'!$A$1:$BR$258,21,FALSE)</f>
        <v>2</v>
      </c>
      <c r="W37" s="18">
        <f>VLOOKUP($A37,'[1]24-8-24 DATA ENTRY'!$A$1:$BR$258,22,FALSE)</f>
        <v>0</v>
      </c>
      <c r="X37" s="18">
        <f>VLOOKUP($A37,'[1]24-8-24 DATA ENTRY'!$A$1:$BR$258,23,FALSE)</f>
        <v>13.2</v>
      </c>
      <c r="Y37" s="18">
        <f>VLOOKUP($A37,'[1]24-8-24 DATA ENTRY'!$A$1:$BR$258,24,FALSE)</f>
        <v>0</v>
      </c>
      <c r="Z37" s="18">
        <f>VLOOKUP($A37,'[1]24-8-24 DATA ENTRY'!$A$1:$BR$258,25,FALSE)</f>
        <v>0</v>
      </c>
      <c r="AA37" s="18">
        <f>VLOOKUP($A37,'[1]24-8-24 DATA ENTRY'!$A$1:$BR$258,26,FALSE)</f>
        <v>0</v>
      </c>
      <c r="AB37" s="18">
        <f>VLOOKUP($A37,'[1]24-8-24 DATA ENTRY'!$A$1:$BR$258,27,FALSE)</f>
        <v>0</v>
      </c>
      <c r="AC37" s="18">
        <f>VLOOKUP($A37,'[1]24-8-24 DATA ENTRY'!$A$1:$BR$258,28,FALSE)</f>
        <v>128</v>
      </c>
      <c r="AD37" s="18">
        <f>VLOOKUP($A37,'[1]24-8-24 DATA ENTRY'!$A$1:$BR$258,29,FALSE)</f>
        <v>60.4</v>
      </c>
      <c r="AE37" s="18">
        <f>VLOOKUP($A37,'[1]24-8-24 DATA ENTRY'!$A$1:$BR$258,30,FALSE)</f>
        <v>44</v>
      </c>
      <c r="AF37" s="18">
        <f>VLOOKUP($A37,'[1]24-8-24 DATA ENTRY'!$A$1:$BR$258,31,FALSE)</f>
        <v>23.6</v>
      </c>
      <c r="AG37" s="18">
        <f>VLOOKUP($A37,'[1]24-8-24 DATA ENTRY'!$A$1:$BR$258,32,FALSE)</f>
        <v>118</v>
      </c>
      <c r="AH37" s="18">
        <f>VLOOKUP($A37,'[1]24-8-24 DATA ENTRY'!$A$1:$BR$258,33,FALSE)</f>
        <v>0</v>
      </c>
      <c r="AI37" s="18">
        <f>VLOOKUP($A37,'[1]24-8-24 DATA ENTRY'!$A$1:$BR$258,34,FALSE)</f>
        <v>0</v>
      </c>
      <c r="AJ37" s="18">
        <f>VLOOKUP($A37,'[1]24-8-24 DATA ENTRY'!$A$1:$BR$258,35,FALSE)</f>
        <v>0</v>
      </c>
      <c r="AK37" s="18" t="str">
        <f>VLOOKUP($A37,'[1]24-8-24 DATA ENTRY'!$A$1:$BR$258,36,FALSE)</f>
        <v>left MCA territory patchy infarct, left MCA ACA watershed, Left MCA PCA watershed infarct</v>
      </c>
      <c r="AL37" s="18" t="str">
        <f>VLOOKUP($A37,'[1]24-8-24 DATA ENTRY'!$A$1:$BR$258,37,FALSE)</f>
        <v>left ICA thrombus from origin 100%, Left MCA normal</v>
      </c>
      <c r="AM37" s="18">
        <f>VLOOKUP($A37,'[1]24-8-24 DATA ENTRY'!$A$1:$BR$258,38,FALSE)</f>
        <v>0</v>
      </c>
      <c r="AN37" s="18">
        <f>VLOOKUP($A37,'[1]24-8-24 DATA ENTRY'!$A$1:$BR$258,39,FALSE)</f>
        <v>8</v>
      </c>
      <c r="AO37" s="18">
        <f>VLOOKUP($A37,'[1]24-8-24 DATA ENTRY'!$A$1:$BR$258,40,FALSE)</f>
        <v>1</v>
      </c>
      <c r="AP37" s="18">
        <f>VLOOKUP($A37,'[1]24-8-24 DATA ENTRY'!$A$1:$BR$258,41,FALSE)</f>
        <v>2</v>
      </c>
      <c r="AQ37" s="18">
        <f>VLOOKUP($A37,'[1]24-8-24 DATA ENTRY'!$A$1:$BR$258,42,FALSE)</f>
        <v>3</v>
      </c>
      <c r="AR37" s="18">
        <f>VLOOKUP($A37,'[1]24-8-24 DATA ENTRY'!$A$1:$BR$258,43,FALSE)</f>
        <v>5</v>
      </c>
      <c r="AS37" s="18">
        <f>VLOOKUP($A37,'[1]24-8-24 DATA ENTRY'!$A$1:$BR$258,44,FALSE)</f>
        <v>0</v>
      </c>
      <c r="AT37" s="18">
        <f>VLOOKUP($A37,'[1]24-8-24 DATA ENTRY'!$A$1:$BR$258,45,FALSE)</f>
        <v>1</v>
      </c>
      <c r="AU37" s="18">
        <f>VLOOKUP($A37,'[1]24-8-24 DATA ENTRY'!$A$1:$BR$258,46,FALSE)</f>
        <v>1</v>
      </c>
      <c r="AV37" s="18">
        <f>VLOOKUP($A37,'[1]24-8-24 DATA ENTRY'!$A$1:$BR$258,47,FALSE)</f>
        <v>0</v>
      </c>
      <c r="AW37" s="18">
        <f>VLOOKUP($A37,'[1]24-8-24 DATA ENTRY'!$A$1:$BR$258,48,FALSE)</f>
        <v>0</v>
      </c>
      <c r="AX37" s="18">
        <f>VLOOKUP($A37,'[1]24-8-24 DATA ENTRY'!$A$1:$BR$258,49,FALSE)</f>
        <v>0</v>
      </c>
      <c r="AY37" s="18">
        <f>VLOOKUP($A37,'[1]24-8-24 DATA ENTRY'!$A$1:$BR$258,50,FALSE)</f>
        <v>0</v>
      </c>
      <c r="AZ37" s="18">
        <f>VLOOKUP($A37,'[1]24-8-24 DATA ENTRY'!$A$1:$BR$258,51,FALSE)</f>
        <v>0</v>
      </c>
      <c r="BA37" s="18">
        <f>VLOOKUP($A37,'[1]24-8-24 DATA ENTRY'!$A$1:$BR$258,52,FALSE)</f>
        <v>0</v>
      </c>
      <c r="BB37" s="5">
        <v>1</v>
      </c>
      <c r="BC37" s="18">
        <f>VLOOKUP($A37,'[1]24-8-24 DATA ENTRY'!$A$1:$BR$258,53,FALSE)</f>
        <v>0</v>
      </c>
      <c r="BD37" s="5">
        <v>0</v>
      </c>
      <c r="BE37" s="5">
        <v>1</v>
      </c>
      <c r="BF37" s="5">
        <v>2</v>
      </c>
      <c r="BG37" s="5">
        <v>2</v>
      </c>
      <c r="BH37" s="5">
        <v>1</v>
      </c>
      <c r="BI37" s="5">
        <v>1</v>
      </c>
      <c r="BJ37" s="5">
        <v>1</v>
      </c>
      <c r="BK37" s="5">
        <v>0</v>
      </c>
      <c r="BL37" s="5">
        <v>1</v>
      </c>
      <c r="BM37" s="5">
        <v>2</v>
      </c>
      <c r="BN37" s="5">
        <v>1</v>
      </c>
      <c r="BO37" s="5">
        <v>2</v>
      </c>
      <c r="BP37" s="5">
        <v>1</v>
      </c>
      <c r="BQ37" s="5">
        <v>1</v>
      </c>
      <c r="BR37" s="5">
        <v>16</v>
      </c>
      <c r="BS37" s="5">
        <v>0</v>
      </c>
      <c r="BT37" s="5">
        <v>1</v>
      </c>
      <c r="BU37" s="5"/>
    </row>
    <row r="38" spans="1:73" x14ac:dyDescent="0.25">
      <c r="A38" s="5" t="s">
        <v>189</v>
      </c>
      <c r="B38" s="5">
        <v>1</v>
      </c>
      <c r="C38" s="5">
        <v>3.5161199999999999</v>
      </c>
      <c r="D38" s="6">
        <v>200900562</v>
      </c>
      <c r="E38" s="5">
        <v>55</v>
      </c>
      <c r="F38" s="5">
        <v>1</v>
      </c>
      <c r="G38" s="7">
        <v>45180</v>
      </c>
      <c r="H38" s="11">
        <v>0.27083333333333331</v>
      </c>
      <c r="I38" s="7">
        <v>45180</v>
      </c>
      <c r="J38" s="7">
        <v>45204</v>
      </c>
      <c r="K38" s="5">
        <v>9890854804</v>
      </c>
      <c r="L38" s="5"/>
      <c r="M38" s="5">
        <v>8</v>
      </c>
      <c r="N38" s="5">
        <v>1</v>
      </c>
      <c r="O38" s="5">
        <v>1</v>
      </c>
      <c r="P38" s="5">
        <v>2</v>
      </c>
      <c r="Q38" s="5">
        <v>2</v>
      </c>
      <c r="R38" s="5">
        <v>2</v>
      </c>
      <c r="S38" s="5">
        <v>2</v>
      </c>
      <c r="T38" s="5">
        <v>2</v>
      </c>
      <c r="U38" s="5">
        <v>1</v>
      </c>
      <c r="V38" s="5">
        <v>2</v>
      </c>
      <c r="W38" s="5"/>
      <c r="X38" s="5">
        <v>13.2</v>
      </c>
      <c r="Y38" s="5">
        <v>39.4</v>
      </c>
      <c r="Z38" s="5">
        <v>81.400000000000006</v>
      </c>
      <c r="AA38" s="5">
        <v>10.9</v>
      </c>
      <c r="AB38" s="5">
        <v>8.5</v>
      </c>
      <c r="AC38" s="5">
        <v>96</v>
      </c>
      <c r="AD38" s="5">
        <v>42.6</v>
      </c>
      <c r="AE38" s="5">
        <v>33</v>
      </c>
      <c r="AF38" s="5">
        <v>20.399999999999999</v>
      </c>
      <c r="AG38" s="5">
        <v>102</v>
      </c>
      <c r="AH38" s="5">
        <v>213</v>
      </c>
      <c r="AI38" s="5"/>
      <c r="AJ38" s="5"/>
      <c r="AK38" s="5" t="s">
        <v>190</v>
      </c>
      <c r="AL38" s="5" t="s">
        <v>191</v>
      </c>
      <c r="AM38" s="5"/>
      <c r="AN38" s="5">
        <v>8</v>
      </c>
      <c r="AO38" s="5">
        <v>1</v>
      </c>
      <c r="AP38" s="5">
        <v>3</v>
      </c>
      <c r="AQ38" s="5">
        <v>2</v>
      </c>
      <c r="AR38" s="5">
        <v>4</v>
      </c>
      <c r="AS38" s="5"/>
      <c r="AT38" s="5">
        <v>1</v>
      </c>
      <c r="AU38" s="5">
        <v>1</v>
      </c>
      <c r="AV38" s="5">
        <v>2</v>
      </c>
      <c r="AW38" s="5"/>
      <c r="AX38" s="5"/>
      <c r="AY38" s="5"/>
      <c r="AZ38" s="5"/>
      <c r="BA38" s="5">
        <v>0</v>
      </c>
      <c r="BB38" s="5">
        <v>1</v>
      </c>
      <c r="BC38" s="5">
        <v>85</v>
      </c>
      <c r="BD38" s="5">
        <v>0</v>
      </c>
      <c r="BE38" s="5">
        <v>2</v>
      </c>
      <c r="BF38" s="5">
        <v>2</v>
      </c>
      <c r="BG38" s="5">
        <v>1</v>
      </c>
      <c r="BH38" s="5">
        <v>1</v>
      </c>
      <c r="BI38" s="5">
        <v>1</v>
      </c>
      <c r="BJ38" s="5">
        <v>1</v>
      </c>
      <c r="BK38" s="5">
        <v>1</v>
      </c>
      <c r="BL38" s="5">
        <v>2</v>
      </c>
      <c r="BM38" s="5">
        <v>2</v>
      </c>
      <c r="BN38" s="5">
        <v>2</v>
      </c>
      <c r="BO38" s="5">
        <v>1</v>
      </c>
      <c r="BP38" s="5">
        <v>1</v>
      </c>
      <c r="BQ38" s="5">
        <v>1</v>
      </c>
      <c r="BR38" s="5">
        <v>18</v>
      </c>
      <c r="BS38" s="5">
        <v>1</v>
      </c>
      <c r="BT38" s="5">
        <v>0</v>
      </c>
      <c r="BU38" s="5" t="s">
        <v>192</v>
      </c>
    </row>
    <row r="39" spans="1:73" x14ac:dyDescent="0.25">
      <c r="A39" s="5" t="s">
        <v>223</v>
      </c>
      <c r="B39" s="5">
        <v>1</v>
      </c>
      <c r="C39" s="5">
        <v>60.874600000000001</v>
      </c>
      <c r="D39" s="6">
        <v>220904362</v>
      </c>
      <c r="E39" s="5">
        <v>65</v>
      </c>
      <c r="F39" s="5">
        <v>2</v>
      </c>
      <c r="G39" s="7"/>
      <c r="H39" s="5"/>
      <c r="I39" s="7">
        <v>44827</v>
      </c>
      <c r="J39" s="7">
        <v>44829</v>
      </c>
      <c r="K39" s="5">
        <v>9657788822</v>
      </c>
      <c r="L39" s="5">
        <v>9112318022</v>
      </c>
      <c r="M39" s="5">
        <v>24</v>
      </c>
      <c r="N39" s="5">
        <v>1</v>
      </c>
      <c r="O39" s="5">
        <v>2</v>
      </c>
      <c r="P39" s="5">
        <v>2</v>
      </c>
      <c r="Q39" s="5">
        <v>2</v>
      </c>
      <c r="R39" s="5">
        <v>2</v>
      </c>
      <c r="S39" s="5">
        <v>2</v>
      </c>
      <c r="T39" s="5">
        <v>2</v>
      </c>
      <c r="U39" s="5">
        <v>2</v>
      </c>
      <c r="V39" s="5">
        <v>2</v>
      </c>
      <c r="W39" s="5" t="s">
        <v>224</v>
      </c>
      <c r="X39" s="5">
        <v>12</v>
      </c>
      <c r="Y39" s="5">
        <v>38.9</v>
      </c>
      <c r="Z39" s="5"/>
      <c r="AA39" s="5">
        <v>8</v>
      </c>
      <c r="AB39" s="5"/>
      <c r="AC39" s="5"/>
      <c r="AD39" s="5"/>
      <c r="AE39" s="5"/>
      <c r="AF39" s="5"/>
      <c r="AG39" s="5"/>
      <c r="AH39" s="5">
        <v>732</v>
      </c>
      <c r="AI39" s="5" t="s">
        <v>225</v>
      </c>
      <c r="AJ39" s="5"/>
      <c r="AK39" s="5" t="s">
        <v>226</v>
      </c>
      <c r="AL39" s="5" t="s">
        <v>227</v>
      </c>
      <c r="AM39" s="5"/>
      <c r="AN39" s="5">
        <v>8</v>
      </c>
      <c r="AO39" s="5">
        <v>2</v>
      </c>
      <c r="AP39" s="5">
        <v>3</v>
      </c>
      <c r="AQ39" s="5">
        <v>3</v>
      </c>
      <c r="AR39" s="5">
        <v>4</v>
      </c>
      <c r="AS39" s="5"/>
      <c r="AT39" s="5">
        <v>1</v>
      </c>
      <c r="AU39" s="5">
        <v>1</v>
      </c>
      <c r="AV39" s="5">
        <v>2</v>
      </c>
      <c r="AW39" s="5">
        <v>4</v>
      </c>
      <c r="AX39" s="5"/>
      <c r="AY39" s="5">
        <v>2</v>
      </c>
      <c r="AZ39" s="5">
        <v>2</v>
      </c>
      <c r="BA39" s="5">
        <v>0</v>
      </c>
      <c r="BB39" s="5">
        <v>1</v>
      </c>
      <c r="BC39" s="5">
        <v>100</v>
      </c>
      <c r="BD39" s="5">
        <v>1</v>
      </c>
      <c r="BE39" s="5">
        <v>2</v>
      </c>
      <c r="BF39" s="5">
        <v>1</v>
      </c>
      <c r="BG39" s="5">
        <v>1</v>
      </c>
      <c r="BH39" s="5">
        <v>1</v>
      </c>
      <c r="BI39" s="5">
        <v>1</v>
      </c>
      <c r="BJ39" s="5">
        <v>1</v>
      </c>
      <c r="BK39" s="5">
        <v>1</v>
      </c>
      <c r="BL39" s="5">
        <v>2</v>
      </c>
      <c r="BM39" s="5">
        <v>2</v>
      </c>
      <c r="BN39" s="5">
        <v>2</v>
      </c>
      <c r="BO39" s="5">
        <v>1</v>
      </c>
      <c r="BP39" s="5">
        <v>1</v>
      </c>
      <c r="BQ39" s="5">
        <v>1</v>
      </c>
      <c r="BR39" s="5">
        <v>18</v>
      </c>
      <c r="BS39" s="5">
        <v>1</v>
      </c>
      <c r="BT39" s="5">
        <v>1</v>
      </c>
      <c r="BU39" s="5"/>
    </row>
    <row r="40" spans="1:73" x14ac:dyDescent="0.25">
      <c r="A40" s="5" t="s">
        <v>266</v>
      </c>
      <c r="B40" s="5">
        <v>1</v>
      </c>
      <c r="C40" s="5">
        <v>8.7370199999999993</v>
      </c>
      <c r="D40" s="6">
        <v>230305332</v>
      </c>
      <c r="E40" s="5">
        <v>49</v>
      </c>
      <c r="F40" s="5">
        <v>2</v>
      </c>
      <c r="G40" s="7"/>
      <c r="H40" s="5"/>
      <c r="I40" s="7">
        <v>45013</v>
      </c>
      <c r="J40" s="7"/>
      <c r="K40" s="5">
        <v>7875730168</v>
      </c>
      <c r="L40" s="5"/>
      <c r="M40" s="5">
        <v>16</v>
      </c>
      <c r="N40" s="5">
        <v>1</v>
      </c>
      <c r="O40" s="5">
        <v>1</v>
      </c>
      <c r="P40" s="5">
        <v>2</v>
      </c>
      <c r="Q40" s="5">
        <v>2</v>
      </c>
      <c r="R40" s="5">
        <v>2</v>
      </c>
      <c r="S40" s="5">
        <v>2</v>
      </c>
      <c r="T40" s="5">
        <v>2</v>
      </c>
      <c r="U40" s="5">
        <v>2</v>
      </c>
      <c r="V40" s="5">
        <v>2</v>
      </c>
      <c r="W40" s="5" t="s">
        <v>267</v>
      </c>
      <c r="X40" s="5">
        <v>12.8</v>
      </c>
      <c r="Y40" s="5">
        <v>41</v>
      </c>
      <c r="Z40" s="5"/>
      <c r="AA40" s="5">
        <v>13</v>
      </c>
      <c r="AB40" s="5">
        <v>9.1999999999999993</v>
      </c>
      <c r="AC40" s="5"/>
      <c r="AD40" s="5"/>
      <c r="AE40" s="5"/>
      <c r="AF40" s="5"/>
      <c r="AG40" s="5"/>
      <c r="AH40" s="5"/>
      <c r="AI40" s="5" t="s">
        <v>268</v>
      </c>
      <c r="AJ40" s="5"/>
      <c r="AK40" s="5" t="s">
        <v>269</v>
      </c>
      <c r="AL40" s="5" t="s">
        <v>270</v>
      </c>
      <c r="AM40" s="5"/>
      <c r="AN40" s="5">
        <v>8</v>
      </c>
      <c r="AO40" s="5">
        <v>1</v>
      </c>
      <c r="AP40" s="5">
        <v>4</v>
      </c>
      <c r="AQ40" s="5">
        <v>3</v>
      </c>
      <c r="AR40" s="5">
        <v>5</v>
      </c>
      <c r="AS40" s="5"/>
      <c r="AT40" s="5">
        <v>1</v>
      </c>
      <c r="AU40" s="5">
        <v>1</v>
      </c>
      <c r="AV40" s="5">
        <v>2</v>
      </c>
      <c r="AW40" s="5">
        <v>4</v>
      </c>
      <c r="AX40" s="5">
        <v>8</v>
      </c>
      <c r="AY40" s="5">
        <v>2</v>
      </c>
      <c r="AZ40" s="5">
        <v>2</v>
      </c>
      <c r="BA40" s="5">
        <v>0</v>
      </c>
      <c r="BB40" s="5">
        <v>1</v>
      </c>
      <c r="BC40" s="5">
        <v>100</v>
      </c>
      <c r="BD40" s="5">
        <v>1</v>
      </c>
      <c r="BE40" s="5">
        <v>2</v>
      </c>
      <c r="BF40" s="5">
        <v>2</v>
      </c>
      <c r="BG40" s="5">
        <v>2</v>
      </c>
      <c r="BH40" s="5">
        <v>1</v>
      </c>
      <c r="BI40" s="5">
        <v>0</v>
      </c>
      <c r="BJ40" s="5">
        <v>1</v>
      </c>
      <c r="BK40" s="5">
        <v>1</v>
      </c>
      <c r="BL40" s="5">
        <v>2</v>
      </c>
      <c r="BM40" s="5">
        <v>2</v>
      </c>
      <c r="BN40" s="5">
        <v>2</v>
      </c>
      <c r="BO40" s="5">
        <v>1</v>
      </c>
      <c r="BP40" s="5">
        <v>1</v>
      </c>
      <c r="BQ40" s="5">
        <v>1</v>
      </c>
      <c r="BR40" s="5">
        <v>19</v>
      </c>
      <c r="BS40" s="5">
        <v>1</v>
      </c>
      <c r="BT40" s="5">
        <v>1</v>
      </c>
      <c r="BU40" s="5"/>
    </row>
    <row r="41" spans="1:73" x14ac:dyDescent="0.25">
      <c r="A41" s="12" t="s">
        <v>296</v>
      </c>
      <c r="B41" s="5">
        <v>1</v>
      </c>
      <c r="C41" s="12">
        <v>32.797699999999999</v>
      </c>
      <c r="D41" s="13">
        <v>230104302</v>
      </c>
      <c r="E41" s="12">
        <v>52</v>
      </c>
      <c r="F41" s="12">
        <v>1</v>
      </c>
      <c r="G41" s="14"/>
      <c r="H41" s="12"/>
      <c r="I41" s="14">
        <v>44949</v>
      </c>
      <c r="J41" s="14">
        <v>44950</v>
      </c>
      <c r="K41" s="12">
        <v>9545062949</v>
      </c>
      <c r="L41" s="12"/>
      <c r="M41" s="12">
        <v>6</v>
      </c>
      <c r="N41" s="12">
        <v>1</v>
      </c>
      <c r="O41" s="12">
        <v>2</v>
      </c>
      <c r="P41" s="12">
        <v>2</v>
      </c>
      <c r="Q41" s="12">
        <v>2</v>
      </c>
      <c r="R41" s="12">
        <v>2</v>
      </c>
      <c r="S41" s="12">
        <v>2</v>
      </c>
      <c r="T41" s="12">
        <v>2</v>
      </c>
      <c r="U41" s="12">
        <v>2</v>
      </c>
      <c r="V41" s="12">
        <v>2</v>
      </c>
      <c r="W41" s="12" t="s">
        <v>297</v>
      </c>
      <c r="X41" s="12">
        <v>13.4</v>
      </c>
      <c r="Y41" s="12">
        <v>41.5</v>
      </c>
      <c r="Z41" s="12"/>
      <c r="AA41" s="12">
        <v>40.700000000000003</v>
      </c>
      <c r="AB41" s="12"/>
      <c r="AC41" s="12"/>
      <c r="AD41" s="12"/>
      <c r="AE41" s="12"/>
      <c r="AF41" s="12"/>
      <c r="AG41" s="12"/>
      <c r="AH41" s="12">
        <v>241</v>
      </c>
      <c r="AI41" s="12"/>
      <c r="AJ41" s="12"/>
      <c r="AK41" s="12" t="s">
        <v>298</v>
      </c>
      <c r="AL41" s="12" t="s">
        <v>299</v>
      </c>
      <c r="AM41" s="12"/>
      <c r="AN41" s="12">
        <v>8</v>
      </c>
      <c r="AO41" s="12">
        <v>1</v>
      </c>
      <c r="AP41" s="12">
        <v>3</v>
      </c>
      <c r="AQ41" s="12">
        <v>3</v>
      </c>
      <c r="AR41" s="12">
        <v>5</v>
      </c>
      <c r="AS41" s="12"/>
      <c r="AT41" s="12">
        <v>1</v>
      </c>
      <c r="AU41" s="12">
        <v>1</v>
      </c>
      <c r="AV41" s="12">
        <v>2</v>
      </c>
      <c r="AW41" s="12"/>
      <c r="AX41" s="12"/>
      <c r="AY41" s="12"/>
      <c r="AZ41" s="12"/>
      <c r="BA41" s="12">
        <v>0</v>
      </c>
      <c r="BB41" s="5">
        <v>1</v>
      </c>
      <c r="BC41" s="12">
        <v>100</v>
      </c>
      <c r="BD41" s="12">
        <v>1</v>
      </c>
      <c r="BE41" s="12">
        <v>2</v>
      </c>
      <c r="BF41" s="12">
        <v>2</v>
      </c>
      <c r="BG41" s="12">
        <v>2</v>
      </c>
      <c r="BH41" s="12">
        <v>1</v>
      </c>
      <c r="BI41" s="12">
        <v>1</v>
      </c>
      <c r="BJ41" s="12">
        <v>1</v>
      </c>
      <c r="BK41" s="12">
        <v>1</v>
      </c>
      <c r="BL41" s="12">
        <v>2</v>
      </c>
      <c r="BM41" s="12">
        <v>2</v>
      </c>
      <c r="BN41" s="12">
        <v>2</v>
      </c>
      <c r="BO41" s="12">
        <v>1</v>
      </c>
      <c r="BP41" s="12">
        <v>0</v>
      </c>
      <c r="BQ41" s="12">
        <v>1</v>
      </c>
      <c r="BR41" s="12">
        <v>19</v>
      </c>
      <c r="BS41" s="12">
        <v>1</v>
      </c>
      <c r="BT41" s="12">
        <v>1</v>
      </c>
      <c r="BU41" s="12"/>
    </row>
    <row r="42" spans="1:73" x14ac:dyDescent="0.25">
      <c r="A42" s="5" t="s">
        <v>300</v>
      </c>
      <c r="B42" s="5">
        <v>1</v>
      </c>
      <c r="C42" s="5">
        <v>35.335500000000003</v>
      </c>
      <c r="D42" s="6">
        <v>230000000000</v>
      </c>
      <c r="E42" s="5">
        <v>61</v>
      </c>
      <c r="F42" s="5">
        <v>1</v>
      </c>
      <c r="G42" s="7">
        <v>45255</v>
      </c>
      <c r="H42" s="11">
        <v>0.58333333333333337</v>
      </c>
      <c r="I42" s="7">
        <v>45256</v>
      </c>
      <c r="J42" s="7">
        <v>45265</v>
      </c>
      <c r="K42" s="5">
        <v>9767010121</v>
      </c>
      <c r="L42" s="5"/>
      <c r="M42" s="5">
        <v>20</v>
      </c>
      <c r="N42" s="5">
        <v>2</v>
      </c>
      <c r="O42" s="5">
        <v>2</v>
      </c>
      <c r="P42" s="5">
        <v>2</v>
      </c>
      <c r="Q42" s="5">
        <v>2</v>
      </c>
      <c r="R42" s="5">
        <v>2</v>
      </c>
      <c r="S42" s="5">
        <v>2</v>
      </c>
      <c r="T42" s="5">
        <v>2</v>
      </c>
      <c r="U42" s="5">
        <v>1</v>
      </c>
      <c r="V42" s="5">
        <v>2</v>
      </c>
      <c r="W42" s="5"/>
      <c r="X42" s="5">
        <v>12.5</v>
      </c>
      <c r="Y42" s="5">
        <v>37.1</v>
      </c>
      <c r="Z42" s="5">
        <v>93.6</v>
      </c>
      <c r="AA42" s="5">
        <v>51</v>
      </c>
      <c r="AB42" s="5">
        <v>7.6</v>
      </c>
      <c r="AC42" s="5">
        <v>128</v>
      </c>
      <c r="AD42" s="5">
        <v>87</v>
      </c>
      <c r="AE42" s="5">
        <v>24</v>
      </c>
      <c r="AF42" s="5">
        <v>16.2</v>
      </c>
      <c r="AG42" s="5">
        <v>81</v>
      </c>
      <c r="AH42" s="5">
        <v>2000</v>
      </c>
      <c r="AI42" s="5"/>
      <c r="AJ42" s="5"/>
      <c r="AK42" s="5" t="s">
        <v>301</v>
      </c>
      <c r="AL42" s="5" t="s">
        <v>302</v>
      </c>
      <c r="AM42" s="5"/>
      <c r="AN42" s="5">
        <v>8</v>
      </c>
      <c r="AO42" s="5">
        <v>1</v>
      </c>
      <c r="AP42" s="5">
        <v>5</v>
      </c>
      <c r="AQ42" s="5">
        <v>3</v>
      </c>
      <c r="AR42" s="5">
        <v>5</v>
      </c>
      <c r="AS42" s="5"/>
      <c r="AT42" s="5">
        <v>1</v>
      </c>
      <c r="AU42" s="5"/>
      <c r="AV42" s="5">
        <v>1</v>
      </c>
      <c r="AW42" s="5">
        <v>1</v>
      </c>
      <c r="AX42" s="5">
        <v>1</v>
      </c>
      <c r="AY42" s="5">
        <v>2</v>
      </c>
      <c r="AZ42" s="5">
        <v>2</v>
      </c>
      <c r="BA42" s="5">
        <v>0</v>
      </c>
      <c r="BB42" s="5">
        <v>1</v>
      </c>
      <c r="BC42" s="5">
        <v>100</v>
      </c>
      <c r="BD42" s="5">
        <v>1</v>
      </c>
      <c r="BE42" s="5">
        <v>2</v>
      </c>
      <c r="BF42" s="5">
        <v>2</v>
      </c>
      <c r="BG42" s="5">
        <v>2</v>
      </c>
      <c r="BH42" s="5">
        <v>1</v>
      </c>
      <c r="BI42" s="5">
        <v>1</v>
      </c>
      <c r="BJ42" s="5">
        <v>1</v>
      </c>
      <c r="BK42" s="5">
        <v>1</v>
      </c>
      <c r="BL42" s="5">
        <v>2</v>
      </c>
      <c r="BM42" s="5">
        <v>2</v>
      </c>
      <c r="BN42" s="5">
        <v>2</v>
      </c>
      <c r="BO42" s="5">
        <v>1</v>
      </c>
      <c r="BP42" s="5">
        <v>0</v>
      </c>
      <c r="BQ42" s="5">
        <v>1</v>
      </c>
      <c r="BR42" s="5">
        <v>19</v>
      </c>
      <c r="BS42" s="5">
        <v>1</v>
      </c>
      <c r="BT42" s="5">
        <v>1</v>
      </c>
      <c r="BU42" s="5"/>
    </row>
    <row r="43" spans="1:73" x14ac:dyDescent="0.25">
      <c r="A43" s="5" t="s">
        <v>303</v>
      </c>
      <c r="B43" s="5">
        <v>1</v>
      </c>
      <c r="C43" s="5">
        <v>35.994199999999999</v>
      </c>
      <c r="D43" s="6">
        <v>230102485</v>
      </c>
      <c r="E43" s="5">
        <v>47</v>
      </c>
      <c r="F43" s="5">
        <v>1</v>
      </c>
      <c r="G43" s="7"/>
      <c r="H43" s="5"/>
      <c r="I43" s="7">
        <v>44939</v>
      </c>
      <c r="J43" s="7">
        <v>44943</v>
      </c>
      <c r="K43" s="5"/>
      <c r="L43" s="5"/>
      <c r="M43" s="5">
        <v>6</v>
      </c>
      <c r="N43" s="5">
        <v>2</v>
      </c>
      <c r="O43" s="5">
        <v>1</v>
      </c>
      <c r="P43" s="5">
        <v>1</v>
      </c>
      <c r="Q43" s="5">
        <v>2</v>
      </c>
      <c r="R43" s="5">
        <v>1</v>
      </c>
      <c r="S43" s="5">
        <v>2</v>
      </c>
      <c r="T43" s="5">
        <v>2</v>
      </c>
      <c r="U43" s="5">
        <v>2</v>
      </c>
      <c r="V43" s="5">
        <v>2</v>
      </c>
      <c r="W43" s="5" t="s">
        <v>304</v>
      </c>
      <c r="X43" s="5">
        <v>17.100000000000001</v>
      </c>
      <c r="Y43" s="5">
        <v>50</v>
      </c>
      <c r="Z43" s="5"/>
      <c r="AA43" s="5">
        <v>81</v>
      </c>
      <c r="AB43" s="5">
        <v>8.1999999999999993</v>
      </c>
      <c r="AC43" s="5"/>
      <c r="AD43" s="5"/>
      <c r="AE43" s="5"/>
      <c r="AF43" s="5"/>
      <c r="AG43" s="5"/>
      <c r="AH43" s="5">
        <v>195</v>
      </c>
      <c r="AI43" s="5" t="s">
        <v>305</v>
      </c>
      <c r="AJ43" s="5"/>
      <c r="AK43" s="5" t="s">
        <v>306</v>
      </c>
      <c r="AL43" s="5" t="s">
        <v>307</v>
      </c>
      <c r="AM43" s="5"/>
      <c r="AN43" s="5">
        <v>8</v>
      </c>
      <c r="AO43" s="5">
        <v>1</v>
      </c>
      <c r="AP43" s="5">
        <v>4</v>
      </c>
      <c r="AQ43" s="5">
        <v>3</v>
      </c>
      <c r="AR43" s="5">
        <v>5</v>
      </c>
      <c r="AS43" s="5"/>
      <c r="AT43" s="5">
        <v>1</v>
      </c>
      <c r="AU43" s="5">
        <v>1</v>
      </c>
      <c r="AV43" s="5">
        <v>2</v>
      </c>
      <c r="AW43" s="5"/>
      <c r="AX43" s="5"/>
      <c r="AY43" s="5"/>
      <c r="AZ43" s="5"/>
      <c r="BA43" s="5">
        <v>0</v>
      </c>
      <c r="BB43" s="5">
        <v>1</v>
      </c>
      <c r="BC43" s="5">
        <v>100</v>
      </c>
      <c r="BD43" s="5">
        <v>1</v>
      </c>
      <c r="BE43" s="5">
        <v>2</v>
      </c>
      <c r="BF43" s="5">
        <v>2</v>
      </c>
      <c r="BG43" s="5">
        <v>2</v>
      </c>
      <c r="BH43" s="5">
        <v>1</v>
      </c>
      <c r="BI43" s="5">
        <v>1</v>
      </c>
      <c r="BJ43" s="5">
        <v>1</v>
      </c>
      <c r="BK43" s="5">
        <v>0</v>
      </c>
      <c r="BL43" s="5">
        <v>2</v>
      </c>
      <c r="BM43" s="5">
        <v>2</v>
      </c>
      <c r="BN43" s="5">
        <v>2</v>
      </c>
      <c r="BO43" s="5">
        <v>1</v>
      </c>
      <c r="BP43" s="5">
        <v>1</v>
      </c>
      <c r="BQ43" s="5">
        <v>1</v>
      </c>
      <c r="BR43" s="5">
        <v>19</v>
      </c>
      <c r="BS43" s="5">
        <v>0</v>
      </c>
      <c r="BT43" s="5">
        <v>1</v>
      </c>
      <c r="BU43" s="5"/>
    </row>
    <row r="44" spans="1:73" x14ac:dyDescent="0.25">
      <c r="A44" s="5" t="s">
        <v>499</v>
      </c>
      <c r="B44" s="5">
        <v>0</v>
      </c>
      <c r="C44" s="5">
        <v>9.5119199999999999</v>
      </c>
      <c r="D44" s="6"/>
      <c r="E44" s="5">
        <v>49</v>
      </c>
      <c r="F44" s="5">
        <v>2</v>
      </c>
      <c r="G44" s="7">
        <v>45013</v>
      </c>
      <c r="H44" s="11">
        <v>0.875</v>
      </c>
      <c r="I44" s="7">
        <v>45013</v>
      </c>
      <c r="J44" s="7">
        <v>45026</v>
      </c>
      <c r="K44" s="5">
        <v>7875730168</v>
      </c>
      <c r="L44" s="5"/>
      <c r="M44" s="5">
        <v>16</v>
      </c>
      <c r="N44" s="5">
        <v>1</v>
      </c>
      <c r="O44" s="5">
        <v>1</v>
      </c>
      <c r="P44" s="5">
        <v>2</v>
      </c>
      <c r="Q44" s="5">
        <v>2</v>
      </c>
      <c r="R44" s="5">
        <v>2</v>
      </c>
      <c r="S44" s="5">
        <v>2</v>
      </c>
      <c r="T44" s="5">
        <v>2</v>
      </c>
      <c r="U44" s="5">
        <v>2</v>
      </c>
      <c r="V44" s="5">
        <v>2</v>
      </c>
      <c r="W44" s="5" t="s">
        <v>500</v>
      </c>
      <c r="X44" s="5">
        <v>12.8</v>
      </c>
      <c r="Y44" s="5">
        <v>41</v>
      </c>
      <c r="Z44" s="5"/>
      <c r="AA44" s="5">
        <v>13</v>
      </c>
      <c r="AB44" s="5">
        <v>9.1999999999999993</v>
      </c>
      <c r="AC44" s="5">
        <v>247</v>
      </c>
      <c r="AD44" s="5">
        <v>193.6</v>
      </c>
      <c r="AE44" s="5">
        <v>40</v>
      </c>
      <c r="AF44" s="5">
        <v>13.4</v>
      </c>
      <c r="AG44" s="5">
        <v>67</v>
      </c>
      <c r="AH44" s="5">
        <v>149</v>
      </c>
      <c r="AI44" s="5" t="s">
        <v>268</v>
      </c>
      <c r="AJ44" s="5"/>
      <c r="AK44" s="5" t="s">
        <v>501</v>
      </c>
      <c r="AL44" s="5" t="s">
        <v>502</v>
      </c>
      <c r="AM44" s="5"/>
      <c r="AN44" s="5">
        <v>8</v>
      </c>
      <c r="AO44" s="5">
        <v>1</v>
      </c>
      <c r="AP44" s="5">
        <v>4</v>
      </c>
      <c r="AQ44" s="5">
        <v>3</v>
      </c>
      <c r="AR44" s="5">
        <v>5</v>
      </c>
      <c r="AS44" s="5"/>
      <c r="AT44" s="5">
        <v>1</v>
      </c>
      <c r="AU44" s="5">
        <v>1</v>
      </c>
      <c r="AV44" s="5">
        <v>1</v>
      </c>
      <c r="AW44" s="5">
        <v>1</v>
      </c>
      <c r="AX44" s="5"/>
      <c r="AY44" s="5"/>
      <c r="AZ44" s="5"/>
      <c r="BA44" s="5">
        <v>0</v>
      </c>
      <c r="BB44" s="5">
        <v>1</v>
      </c>
      <c r="BC44" s="5">
        <v>100</v>
      </c>
      <c r="BD44" s="5">
        <v>1</v>
      </c>
      <c r="BE44" s="5">
        <v>2</v>
      </c>
      <c r="BF44" s="5">
        <v>2</v>
      </c>
      <c r="BG44" s="5">
        <v>2</v>
      </c>
      <c r="BH44" s="5">
        <v>1</v>
      </c>
      <c r="BI44" s="5">
        <v>0</v>
      </c>
      <c r="BJ44" s="5">
        <v>1</v>
      </c>
      <c r="BK44" s="5">
        <v>1</v>
      </c>
      <c r="BL44" s="5">
        <v>2</v>
      </c>
      <c r="BM44" s="5">
        <v>2</v>
      </c>
      <c r="BN44" s="5">
        <v>2</v>
      </c>
      <c r="BO44" s="5">
        <v>1</v>
      </c>
      <c r="BP44" s="5">
        <v>1</v>
      </c>
      <c r="BQ44" s="5">
        <v>1</v>
      </c>
      <c r="BR44" s="5">
        <v>19</v>
      </c>
      <c r="BS44" s="5">
        <v>1</v>
      </c>
      <c r="BT44" s="5">
        <v>1</v>
      </c>
      <c r="BU44" s="5"/>
    </row>
    <row r="45" spans="1:73" x14ac:dyDescent="0.25">
      <c r="A45" s="5" t="s">
        <v>509</v>
      </c>
      <c r="B45" s="5">
        <v>0</v>
      </c>
      <c r="C45" s="5">
        <v>29.717500000000001</v>
      </c>
      <c r="D45" s="9">
        <f>VLOOKUP($A45,'[1]24-8-24 DATA ENTRY'!$A$1:$BR$303,3,FALSE)</f>
        <v>240000057513</v>
      </c>
      <c r="E45" s="9">
        <f>VLOOKUP($A45,'[1]24-8-24 DATA ENTRY'!$A$1:$BR$303,4,FALSE)</f>
        <v>24</v>
      </c>
      <c r="F45" s="9">
        <f>VLOOKUP($A45,'[1]24-8-24 DATA ENTRY'!$A$1:$BR$303,5,FALSE)</f>
        <v>2</v>
      </c>
      <c r="G45" s="10">
        <f>VLOOKUP($A45,'[1]24-8-24 DATA ENTRY'!$A$1:$BR$303,6,FALSE)</f>
        <v>45475</v>
      </c>
      <c r="H45" s="9">
        <f>VLOOKUP($A45,'[1]24-8-24 DATA ENTRY'!$A$1:$BR$303,7,FALSE)</f>
        <v>6.5972222222222224E-2</v>
      </c>
      <c r="I45" s="10">
        <f>VLOOKUP($A45,'[1]24-8-24 DATA ENTRY'!$A$1:$BR$303,8,FALSE)</f>
        <v>45475</v>
      </c>
      <c r="J45" s="10">
        <f>VLOOKUP($A45,'[1]24-8-24 DATA ENTRY'!$A$1:$BR$303,9,FALSE)</f>
        <v>45480</v>
      </c>
      <c r="K45" s="9">
        <f>VLOOKUP($A45,'[1]24-8-24 DATA ENTRY'!$A$1:$BR$303,10,FALSE)</f>
        <v>8855997524</v>
      </c>
      <c r="L45" s="9">
        <f>VLOOKUP($A45,'[1]24-8-24 DATA ENTRY'!$A$1:$BR$303,11,FALSE)</f>
        <v>0</v>
      </c>
      <c r="M45" s="9">
        <f>VLOOKUP($A45,'[1]24-8-24 DATA ENTRY'!$A$1:$BR$303,12,FALSE)</f>
        <v>5</v>
      </c>
      <c r="N45" s="9">
        <f>VLOOKUP($A45,'[1]24-8-24 DATA ENTRY'!$A$1:$BR$303,13,FALSE)</f>
        <v>1</v>
      </c>
      <c r="O45" s="9">
        <f>VLOOKUP($A45,'[1]24-8-24 DATA ENTRY'!$A$1:$BR$303,14,FALSE)</f>
        <v>2</v>
      </c>
      <c r="P45" s="9">
        <f>VLOOKUP($A45,'[1]24-8-24 DATA ENTRY'!$A$1:$BR$303,15,FALSE)</f>
        <v>2</v>
      </c>
      <c r="Q45" s="9">
        <f>VLOOKUP($A45,'[1]24-8-24 DATA ENTRY'!$A$1:$BR$303,16,FALSE)</f>
        <v>2</v>
      </c>
      <c r="R45" s="9">
        <f>VLOOKUP($A45,'[1]24-8-24 DATA ENTRY'!$A$1:$BR$303,17,FALSE)</f>
        <v>2</v>
      </c>
      <c r="S45" s="9">
        <f>VLOOKUP($A45,'[1]24-8-24 DATA ENTRY'!$A$1:$BR$303,18,FALSE)</f>
        <v>2</v>
      </c>
      <c r="T45" s="9">
        <f>VLOOKUP($A45,'[1]24-8-24 DATA ENTRY'!$A$1:$BR$303,19,FALSE)</f>
        <v>2</v>
      </c>
      <c r="U45" s="9">
        <v>2</v>
      </c>
      <c r="V45" s="9">
        <f>VLOOKUP($A45,'[1]24-8-24 DATA ENTRY'!$A$1:$BR$303,21,FALSE)</f>
        <v>2</v>
      </c>
      <c r="W45" s="9" t="str">
        <f>VLOOKUP($A45,'[1]24-8-24 DATA ENTRY'!$A$1:$BR$303,22,FALSE)</f>
        <v>old cva- rt pca mca infarct</v>
      </c>
      <c r="X45" s="9">
        <f>VLOOKUP($A45,'[1]24-8-24 DATA ENTRY'!$A$1:$BR$303,23,FALSE)</f>
        <v>14.4</v>
      </c>
      <c r="Y45" s="9">
        <f>VLOOKUP($A45,'[1]24-8-24 DATA ENTRY'!$A$1:$BR$303,24,FALSE)</f>
        <v>42.6</v>
      </c>
      <c r="Z45" s="9">
        <f>VLOOKUP($A45,'[1]24-8-24 DATA ENTRY'!$A$1:$BR$303,25,FALSE)</f>
        <v>89.9</v>
      </c>
      <c r="AA45" s="9">
        <f>VLOOKUP($A45,'[1]24-8-24 DATA ENTRY'!$A$1:$BR$303,26,FALSE)</f>
        <v>7.87</v>
      </c>
      <c r="AB45" s="9">
        <f>VLOOKUP($A45,'[1]24-8-24 DATA ENTRY'!$A$1:$BR$303,27,FALSE)</f>
        <v>5.2</v>
      </c>
      <c r="AC45" s="9">
        <f>VLOOKUP($A45,'[1]24-8-24 DATA ENTRY'!$A$1:$BR$303,28,FALSE)</f>
        <v>207</v>
      </c>
      <c r="AD45" s="9">
        <f>VLOOKUP($A45,'[1]24-8-24 DATA ENTRY'!$A$1:$BR$303,29,FALSE)</f>
        <v>126.8</v>
      </c>
      <c r="AE45" s="9">
        <f>VLOOKUP($A45,'[1]24-8-24 DATA ENTRY'!$A$1:$BR$2303,30,FALSE)</f>
        <v>39</v>
      </c>
      <c r="AF45" s="9">
        <f>VLOOKUP($A45,'[1]24-8-24 DATA ENTRY'!$A$1:$BR$303,31,FALSE)</f>
        <v>41.2</v>
      </c>
      <c r="AG45" s="9">
        <f>VLOOKUP($A45,'[1]24-8-24 DATA ENTRY'!$A$1:$BR$303,32,FALSE)</f>
        <v>206</v>
      </c>
      <c r="AH45" s="9">
        <f>VLOOKUP($A45,'[1]24-8-24 DATA ENTRY'!$A$1:$BR$303,33,FALSE)</f>
        <v>369</v>
      </c>
      <c r="AI45" s="9">
        <f>VLOOKUP($A45,'[1]24-8-24 DATA ENTRY'!$A$1:$BR$303,34,FALSE)</f>
        <v>0</v>
      </c>
      <c r="AJ45" s="9">
        <f>VLOOKUP($A45,'[1]24-8-24 DATA ENTRY'!$A$1:$BR$303,35,FALSE)</f>
        <v>0</v>
      </c>
      <c r="AK45" s="9" t="str">
        <f>VLOOKUP($A45,'[1]24-8-24 DATA ENTRY'!$A$1:$BR$303,36,FALSE)</f>
        <v>right mca infarct</v>
      </c>
      <c r="AL45" s="9" t="str">
        <f>VLOOKUP($A45,'[1]24-8-24 DATA ENTRY'!$A$1:$BR$303,37,FALSE)</f>
        <v>rt mca superior devision occlusion</v>
      </c>
      <c r="AM45" s="9">
        <f>VLOOKUP($A45,'[1]24-8-24 DATA ENTRY'!$A$1:$BR$303,38,FALSE)</f>
        <v>0</v>
      </c>
      <c r="AN45" s="9">
        <f>VLOOKUP($A45,'[1]24-8-24 DATA ENTRY'!$A$1:$BR$303,39,FALSE)</f>
        <v>8</v>
      </c>
      <c r="AO45" s="9">
        <f>VLOOKUP($A45,'[1]24-8-24 DATA ENTRY'!$A$1:$BR$303,40,FALSE)</f>
        <v>1</v>
      </c>
      <c r="AP45" s="9">
        <f>VLOOKUP($A45,'[1]24-8-24 DATA ENTRY'!$A$1:$BR$303,41,FALSE)</f>
        <v>4</v>
      </c>
      <c r="AQ45" s="9">
        <f>VLOOKUP($A45,'[1]24-8-24 DATA ENTRY'!$A$1:$BR$303,42,FALSE)</f>
        <v>3</v>
      </c>
      <c r="AR45" s="9">
        <f>VLOOKUP($A45,'[1]24-8-24 DATA ENTRY'!$A$1:$BR$303,43,FALSE)</f>
        <v>5</v>
      </c>
      <c r="AS45" s="9">
        <f>VLOOKUP($A45,'[1]24-8-24 DATA ENTRY'!$A$1:$BR$303,44,FALSE)</f>
        <v>0</v>
      </c>
      <c r="AT45" s="9">
        <f>VLOOKUP($A45,'[1]24-8-24 DATA ENTRY'!$A$1:$BR$303,45,FALSE)</f>
        <v>1</v>
      </c>
      <c r="AU45" s="9">
        <f>VLOOKUP($A45,'[1]24-8-24 DATA ENTRY'!$A$1:$BR$303,46,FALSE)</f>
        <v>1</v>
      </c>
      <c r="AV45" s="9">
        <f>VLOOKUP($A45,'[1]24-8-24 DATA ENTRY'!$A$1:$BR$303,47,FALSE)</f>
        <v>2</v>
      </c>
      <c r="AW45" s="9">
        <f>VLOOKUP($A45,'[1]24-8-24 DATA ENTRY'!$A$1:$BR$303,48,FALSE)</f>
        <v>0</v>
      </c>
      <c r="AX45" s="9">
        <f>VLOOKUP($A45,'[1]24-8-24 DATA ENTRY'!$A$1:$BR$303,49,FALSE)</f>
        <v>0</v>
      </c>
      <c r="AY45" s="9">
        <f>VLOOKUP($A45,'[1]24-8-24 DATA ENTRY'!$A$1:$BR$303,50,FALSE)</f>
        <v>0</v>
      </c>
      <c r="AZ45" s="9">
        <f>VLOOKUP($A45,'[1]24-8-24 DATA ENTRY'!$A$1:$BR$303,51,FALSE)</f>
        <v>0</v>
      </c>
      <c r="BA45" s="9">
        <f>VLOOKUP($A45,'[1]24-8-24 DATA ENTRY'!$A$1:$BR$303,52,FALSE)</f>
        <v>0</v>
      </c>
      <c r="BB45" s="5">
        <v>1</v>
      </c>
      <c r="BC45" s="9">
        <f>VLOOKUP($A45,'[1]24-8-24 DATA ENTRY'!$A$1:$BR$303,53,FALSE)</f>
        <v>100</v>
      </c>
      <c r="BD45" s="5">
        <v>1</v>
      </c>
      <c r="BE45" s="5">
        <v>2</v>
      </c>
      <c r="BF45" s="5">
        <v>2</v>
      </c>
      <c r="BG45" s="5">
        <v>2</v>
      </c>
      <c r="BH45" s="5">
        <v>0</v>
      </c>
      <c r="BI45" s="5">
        <v>1</v>
      </c>
      <c r="BJ45" s="5">
        <v>1</v>
      </c>
      <c r="BK45" s="5">
        <v>1</v>
      </c>
      <c r="BL45" s="5">
        <v>2</v>
      </c>
      <c r="BM45" s="5">
        <v>2</v>
      </c>
      <c r="BN45" s="5">
        <v>2</v>
      </c>
      <c r="BO45" s="5">
        <v>1</v>
      </c>
      <c r="BP45" s="5">
        <v>1</v>
      </c>
      <c r="BQ45" s="5">
        <v>1</v>
      </c>
      <c r="BR45" s="5">
        <v>19</v>
      </c>
      <c r="BS45" s="5">
        <v>1</v>
      </c>
      <c r="BT45" s="5">
        <v>1</v>
      </c>
      <c r="BU45" s="5"/>
    </row>
    <row r="46" spans="1:73" x14ac:dyDescent="0.25">
      <c r="A46" s="5" t="s">
        <v>609</v>
      </c>
      <c r="B46" s="5">
        <v>0</v>
      </c>
      <c r="C46" s="5">
        <v>26.322500000000002</v>
      </c>
      <c r="D46" s="6">
        <v>230000000000</v>
      </c>
      <c r="E46" s="5">
        <v>54</v>
      </c>
      <c r="F46" s="5">
        <v>2</v>
      </c>
      <c r="G46" s="7">
        <v>45274</v>
      </c>
      <c r="H46" s="11">
        <v>0.77083333333333337</v>
      </c>
      <c r="I46" s="7">
        <v>45274</v>
      </c>
      <c r="J46" s="7">
        <v>45280</v>
      </c>
      <c r="K46" s="5">
        <v>7507244002</v>
      </c>
      <c r="L46" s="5"/>
      <c r="M46" s="5">
        <v>5</v>
      </c>
      <c r="N46" s="5">
        <v>1</v>
      </c>
      <c r="O46" s="5">
        <v>1</v>
      </c>
      <c r="P46" s="5">
        <v>2</v>
      </c>
      <c r="Q46" s="5">
        <v>2</v>
      </c>
      <c r="R46" s="5">
        <v>2</v>
      </c>
      <c r="S46" s="5">
        <v>2</v>
      </c>
      <c r="T46" s="5">
        <v>2</v>
      </c>
      <c r="U46" s="5">
        <v>2</v>
      </c>
      <c r="V46" s="5">
        <v>2</v>
      </c>
      <c r="W46" s="5" t="s">
        <v>610</v>
      </c>
      <c r="X46" s="5">
        <v>13.8</v>
      </c>
      <c r="Y46" s="5">
        <v>43.3</v>
      </c>
      <c r="Z46" s="5">
        <v>85.2</v>
      </c>
      <c r="AA46" s="5">
        <v>8.39</v>
      </c>
      <c r="AB46" s="5">
        <v>9.3000000000000007</v>
      </c>
      <c r="AC46" s="5">
        <v>131</v>
      </c>
      <c r="AD46" s="5">
        <v>76.400000000000006</v>
      </c>
      <c r="AE46" s="5">
        <v>32</v>
      </c>
      <c r="AF46" s="5">
        <v>22.6</v>
      </c>
      <c r="AG46" s="5">
        <v>113</v>
      </c>
      <c r="AH46" s="5">
        <v>1204</v>
      </c>
      <c r="AI46" s="5"/>
      <c r="AJ46" s="5"/>
      <c r="AK46" s="5" t="s">
        <v>611</v>
      </c>
      <c r="AL46" s="5" t="s">
        <v>326</v>
      </c>
      <c r="AM46" s="5"/>
      <c r="AN46" s="5">
        <v>8</v>
      </c>
      <c r="AO46" s="5">
        <v>1</v>
      </c>
      <c r="AP46" s="5"/>
      <c r="AQ46" s="5">
        <v>3</v>
      </c>
      <c r="AR46" s="5"/>
      <c r="AS46" s="5"/>
      <c r="AT46" s="5">
        <v>1</v>
      </c>
      <c r="AU46" s="5">
        <v>1</v>
      </c>
      <c r="AV46" s="5"/>
      <c r="AW46" s="5"/>
      <c r="AX46" s="5"/>
      <c r="AY46" s="5"/>
      <c r="AZ46" s="5"/>
      <c r="BA46" s="5">
        <v>0</v>
      </c>
      <c r="BB46" s="5">
        <v>1</v>
      </c>
      <c r="BC46" s="5">
        <v>100</v>
      </c>
      <c r="BD46" s="5"/>
      <c r="BE46" s="5"/>
      <c r="BF46" s="5"/>
      <c r="BG46" s="5"/>
      <c r="BH46" s="5"/>
      <c r="BI46" s="5"/>
      <c r="BJ46" s="5"/>
      <c r="BK46" s="5"/>
      <c r="BL46" s="5"/>
      <c r="BM46" s="5"/>
      <c r="BN46" s="5"/>
      <c r="BO46" s="5"/>
      <c r="BP46" s="5"/>
      <c r="BQ46" s="5"/>
      <c r="BR46" s="5"/>
      <c r="BS46" s="5"/>
      <c r="BT46" s="5"/>
      <c r="BU46" s="5" t="s">
        <v>578</v>
      </c>
    </row>
    <row r="47" spans="1:73" x14ac:dyDescent="0.25">
      <c r="A47" s="12" t="s">
        <v>140</v>
      </c>
      <c r="B47" s="5">
        <v>1</v>
      </c>
      <c r="C47" s="12">
        <v>31.8582</v>
      </c>
      <c r="D47" s="9">
        <f>VLOOKUP($A47,'[1]24-8-24 DATA ENTRY'!$A$1:$BR$278,3,FALSE)</f>
        <v>240000030601</v>
      </c>
      <c r="E47" s="9">
        <f>VLOOKUP($A47,'[1]24-8-24 DATA ENTRY'!$A$1:$BR$278,4,FALSE)</f>
        <v>70</v>
      </c>
      <c r="F47" s="9">
        <f>VLOOKUP($A47,'[1]24-8-24 DATA ENTRY'!$A$1:$BR$278,5,FALSE)</f>
        <v>1</v>
      </c>
      <c r="G47" s="10">
        <f>VLOOKUP($A47,'[1]24-8-24 DATA ENTRY'!$A$1:$BR$278,6,FALSE)</f>
        <v>45380</v>
      </c>
      <c r="H47" s="9">
        <f>VLOOKUP($A47,'[1]24-8-24 DATA ENTRY'!$A$1:$BR$278,7,FALSE)</f>
        <v>0.875</v>
      </c>
      <c r="I47" s="10">
        <f>VLOOKUP($A47,'[1]24-8-24 DATA ENTRY'!$A$1:$BR$278,8,FALSE)</f>
        <v>45381</v>
      </c>
      <c r="J47" s="10">
        <f>VLOOKUP($A47,'[1]24-8-24 DATA ENTRY'!$A$1:$BR$278,9,FALSE)</f>
        <v>0</v>
      </c>
      <c r="K47" s="9">
        <f>VLOOKUP($A47,'[1]24-8-24 DATA ENTRY'!$A$1:$BR$278,10,FALSE)</f>
        <v>0</v>
      </c>
      <c r="L47" s="9">
        <f>VLOOKUP($A47,'[1]24-8-24 DATA ENTRY'!$A$1:$BR$278,11,FALSE)</f>
        <v>0</v>
      </c>
      <c r="M47" s="9">
        <f>VLOOKUP($A47,'[1]24-8-24 DATA ENTRY'!$A$1:$BR$278,12,FALSE)</f>
        <v>14</v>
      </c>
      <c r="N47" s="9">
        <f>VLOOKUP($A47,'[1]24-8-24 DATA ENTRY'!$A$1:$BR$278,13,FALSE)</f>
        <v>2</v>
      </c>
      <c r="O47" s="9">
        <f>VLOOKUP($A47,'[1]24-8-24 DATA ENTRY'!$A$1:$BR$278,14,FALSE)</f>
        <v>2</v>
      </c>
      <c r="P47" s="9">
        <f>VLOOKUP($A47,'[1]24-8-24 DATA ENTRY'!$A$1:$BR$278,15,FALSE)</f>
        <v>1</v>
      </c>
      <c r="Q47" s="9">
        <f>VLOOKUP($A47,'[1]24-8-24 DATA ENTRY'!$A$1:$BR$278,16,FALSE)</f>
        <v>1</v>
      </c>
      <c r="R47" s="9">
        <f>VLOOKUP($A47,'[1]24-8-24 DATA ENTRY'!$A$1:$BR$278,17,FALSE)</f>
        <v>2</v>
      </c>
      <c r="S47" s="9">
        <f>VLOOKUP($A47,'[1]24-8-24 DATA ENTRY'!$A$1:$BR$278,18,FALSE)</f>
        <v>2</v>
      </c>
      <c r="T47" s="9">
        <f>VLOOKUP($A47,'[1]24-8-24 DATA ENTRY'!$A$1:$BR$278,19,FALSE)</f>
        <v>2</v>
      </c>
      <c r="U47" s="9">
        <f>VLOOKUP($A47,'[1]24-8-24 DATA ENTRY'!$A$1:$BR$278,20,FALSE)</f>
        <v>2</v>
      </c>
      <c r="V47" s="9">
        <f>VLOOKUP($A47,'[1]24-8-24 DATA ENTRY'!$A$1:$BR$278,21,FALSE)</f>
        <v>2</v>
      </c>
      <c r="W47" s="9">
        <f>VLOOKUP($A47,'[1]24-8-24 DATA ENTRY'!$A$1:$BR$278,22,FALSE)</f>
        <v>0</v>
      </c>
      <c r="X47" s="9">
        <f>VLOOKUP($A47,'[1]24-8-24 DATA ENTRY'!$A$1:$BR$278,23,FALSE)</f>
        <v>13.5</v>
      </c>
      <c r="Y47" s="9">
        <f>VLOOKUP($A47,'[1]24-8-24 DATA ENTRY'!$A$1:$BR$278,24,FALSE)</f>
        <v>41.4</v>
      </c>
      <c r="Z47" s="9">
        <f>VLOOKUP($A47,'[1]24-8-24 DATA ENTRY'!$A$1:$BR$278,25,FALSE)</f>
        <v>87.6</v>
      </c>
      <c r="AA47" s="9">
        <f>VLOOKUP($A47,'[1]24-8-24 DATA ENTRY'!$A$1:$BR$278,26,FALSE)</f>
        <v>41.69</v>
      </c>
      <c r="AB47" s="9">
        <f>VLOOKUP($A47,'[1]24-8-24 DATA ENTRY'!$A$1:$BR$278,27,FALSE)</f>
        <v>6.9</v>
      </c>
      <c r="AC47" s="9">
        <f>VLOOKUP($A47,'[1]24-8-24 DATA ENTRY'!$A$1:$BR$278,28,FALSE)</f>
        <v>195</v>
      </c>
      <c r="AD47" s="9">
        <f>VLOOKUP($A47,'[1]24-8-24 DATA ENTRY'!$A$1:$BR$278,29,FALSE)</f>
        <v>125.2</v>
      </c>
      <c r="AE47" s="9">
        <f>VLOOKUP($A47,'[1]24-8-24 DATA ENTRY'!$A$1:$BR$278,30,FALSE)</f>
        <v>50</v>
      </c>
      <c r="AF47" s="9">
        <f>VLOOKUP($A47,'[1]24-8-24 DATA ENTRY'!$A$1:$BR$278,31,FALSE)</f>
        <v>19.8</v>
      </c>
      <c r="AG47" s="9">
        <f>VLOOKUP($A47,'[1]24-8-24 DATA ENTRY'!$A$1:$BR$278,32,FALSE)</f>
        <v>99</v>
      </c>
      <c r="AH47" s="9">
        <f>VLOOKUP($A47,'[1]24-8-24 DATA ENTRY'!$A$1:$BR$278,33,FALSE)</f>
        <v>0</v>
      </c>
      <c r="AI47" s="9">
        <f>VLOOKUP($A47,'[1]24-8-24 DATA ENTRY'!$A$1:$BR$278,34,FALSE)</f>
        <v>0</v>
      </c>
      <c r="AJ47" s="9">
        <f>VLOOKUP($A47,'[1]24-8-24 DATA ENTRY'!$A$1:$BR$278,35,FALSE)</f>
        <v>0</v>
      </c>
      <c r="AK47" s="9" t="str">
        <f>VLOOKUP($A47,'[1]24-8-24 DATA ENTRY'!$A$1:$BR$278,36,FALSE)</f>
        <v>rt PCA-MCA watershed and Rt territory watershed infarct</v>
      </c>
      <c r="AL47" s="9" t="str">
        <f>VLOOKUP($A47,'[1]24-8-24 DATA ENTRY'!$A$1:$BR$278,37,FALSE)</f>
        <v>rt M1 thrombosis, ? Rt ICA stenosis</v>
      </c>
      <c r="AM47" s="9">
        <f>VLOOKUP($A47,'[1]24-8-24 DATA ENTRY'!$A$1:$BR$278,38,FALSE)</f>
        <v>0</v>
      </c>
      <c r="AN47" s="9">
        <f>VLOOKUP($A47,'[1]24-8-24 DATA ENTRY'!$A$1:$BR$278,39,FALSE)</f>
        <v>8</v>
      </c>
      <c r="AO47" s="9">
        <f>VLOOKUP($A47,'[1]24-8-24 DATA ENTRY'!$A$1:$BR$278,40,FALSE)</f>
        <v>2</v>
      </c>
      <c r="AP47" s="9">
        <f>VLOOKUP($A47,'[1]24-8-24 DATA ENTRY'!$A$1:$BR$278,41,FALSE)</f>
        <v>2</v>
      </c>
      <c r="AQ47" s="9">
        <f>VLOOKUP($A47,'[1]24-8-24 DATA ENTRY'!$A$1:$BR$278,42,FALSE)</f>
        <v>3</v>
      </c>
      <c r="AR47" s="9">
        <f>VLOOKUP($A47,'[1]24-8-24 DATA ENTRY'!$A$1:$BR$278,43,FALSE)</f>
        <v>4</v>
      </c>
      <c r="AS47" s="9">
        <f>VLOOKUP($A47,'[1]24-8-24 DATA ENTRY'!$A$1:$BR$278,44,FALSE)</f>
        <v>0</v>
      </c>
      <c r="AT47" s="9">
        <f>VLOOKUP($A47,'[1]24-8-24 DATA ENTRY'!$A$1:$BR$278,45,FALSE)</f>
        <v>1</v>
      </c>
      <c r="AU47" s="9">
        <f>VLOOKUP($A47,'[1]24-8-24 DATA ENTRY'!$A$1:$BR$278,46,FALSE)</f>
        <v>2</v>
      </c>
      <c r="AV47" s="9">
        <f>VLOOKUP($A47,'[1]24-8-24 DATA ENTRY'!$A$1:$BR$278,47,FALSE)</f>
        <v>2</v>
      </c>
      <c r="AW47" s="9">
        <f>VLOOKUP($A47,'[1]24-8-24 DATA ENTRY'!$A$1:$BR$278,48,FALSE)</f>
        <v>0</v>
      </c>
      <c r="AX47" s="9">
        <f>VLOOKUP($A47,'[1]24-8-24 DATA ENTRY'!$A$1:$BR$278,49,FALSE)</f>
        <v>0</v>
      </c>
      <c r="AY47" s="9">
        <f>VLOOKUP($A47,'[1]24-8-24 DATA ENTRY'!$A$1:$BR$278,50,FALSE)</f>
        <v>0</v>
      </c>
      <c r="AZ47" s="9">
        <f>VLOOKUP($A47,'[1]24-8-24 DATA ENTRY'!$A$1:$BR$278,51,FALSE)</f>
        <v>0</v>
      </c>
      <c r="BA47" s="9">
        <f>VLOOKUP($A47,'[1]24-8-24 DATA ENTRY'!$A$1:$BR$278,52,FALSE)</f>
        <v>1</v>
      </c>
      <c r="BB47" s="5">
        <v>1</v>
      </c>
      <c r="BC47" s="9">
        <f>VLOOKUP($A47,'[1]24-8-24 DATA ENTRY'!$A$1:$BR$278,53,FALSE)</f>
        <v>80</v>
      </c>
      <c r="BD47" s="12">
        <v>0</v>
      </c>
      <c r="BE47" s="12">
        <v>2</v>
      </c>
      <c r="BF47" s="12">
        <v>2</v>
      </c>
      <c r="BG47" s="12">
        <v>0</v>
      </c>
      <c r="BH47" s="12">
        <v>1</v>
      </c>
      <c r="BI47" s="12">
        <v>1</v>
      </c>
      <c r="BJ47" s="12">
        <v>1</v>
      </c>
      <c r="BK47" s="12">
        <v>0</v>
      </c>
      <c r="BL47" s="12">
        <v>2</v>
      </c>
      <c r="BM47" s="12">
        <v>2</v>
      </c>
      <c r="BN47" s="12">
        <v>2</v>
      </c>
      <c r="BO47" s="12">
        <v>1</v>
      </c>
      <c r="BP47" s="12">
        <v>1</v>
      </c>
      <c r="BQ47" s="12">
        <v>1</v>
      </c>
      <c r="BR47" s="12">
        <v>16</v>
      </c>
      <c r="BS47" s="12">
        <v>1</v>
      </c>
      <c r="BT47" s="12">
        <v>1</v>
      </c>
      <c r="BU47" s="12"/>
    </row>
    <row r="48" spans="1:73" x14ac:dyDescent="0.25">
      <c r="A48" s="8" t="s">
        <v>331</v>
      </c>
      <c r="B48" s="5">
        <v>1</v>
      </c>
      <c r="C48" s="8">
        <v>6.1992200000000004</v>
      </c>
      <c r="D48" s="9">
        <f>VLOOKUP($A48,'[1]24-8-24 DATA ENTRY'!$A$1:$BR$258,3,FALSE)</f>
        <v>240000033245</v>
      </c>
      <c r="E48" s="9">
        <f>VLOOKUP($A48,'[1]24-8-24 DATA ENTRY'!$A$1:$BR$258,4,FALSE)</f>
        <v>51</v>
      </c>
      <c r="F48" s="9">
        <f>VLOOKUP($A48,'[1]24-8-24 DATA ENTRY'!$A$1:$BR$258,5,FALSE)</f>
        <v>2</v>
      </c>
      <c r="G48" s="10">
        <f>VLOOKUP($A48,'[1]24-8-24 DATA ENTRY'!$A$1:$BR$258,6,FALSE)</f>
        <v>45390</v>
      </c>
      <c r="H48" s="9">
        <f>VLOOKUP($A48,'[1]24-8-24 DATA ENTRY'!$A$1:$BR$258,7,FALSE)</f>
        <v>0.5</v>
      </c>
      <c r="I48" s="10">
        <f>VLOOKUP($A48,'[1]24-8-24 DATA ENTRY'!$A$1:$BR$258,8,FALSE)</f>
        <v>45391</v>
      </c>
      <c r="J48" s="10">
        <f>VLOOKUP($A48,'[1]24-8-24 DATA ENTRY'!$A$1:$BR$258,9,FALSE)</f>
        <v>0</v>
      </c>
      <c r="K48" s="9">
        <f>VLOOKUP($A48,'[1]24-8-24 DATA ENTRY'!$A$1:$BR$258,10,FALSE)</f>
        <v>8888714581</v>
      </c>
      <c r="L48" s="9">
        <f>VLOOKUP($A48,'[1]24-8-24 DATA ENTRY'!$A$1:$BR$258,11,FALSE)</f>
        <v>0</v>
      </c>
      <c r="M48" s="9">
        <f>VLOOKUP($A48,'[1]24-8-24 DATA ENTRY'!$A$1:$BR$258,12,FALSE)</f>
        <v>10</v>
      </c>
      <c r="N48" s="9">
        <f>VLOOKUP($A48,'[1]24-8-24 DATA ENTRY'!$A$1:$BR$258,13,FALSE)</f>
        <v>1</v>
      </c>
      <c r="O48" s="9">
        <f>VLOOKUP($A48,'[1]24-8-24 DATA ENTRY'!$A$1:$BR$258,14,FALSE)</f>
        <v>1</v>
      </c>
      <c r="P48" s="9">
        <f>VLOOKUP($A48,'[1]24-8-24 DATA ENTRY'!$A$1:$BR$258,15,FALSE)</f>
        <v>2</v>
      </c>
      <c r="Q48" s="9">
        <f>VLOOKUP($A48,'[1]24-8-24 DATA ENTRY'!$A$1:$BR$258,16,FALSE)</f>
        <v>2</v>
      </c>
      <c r="R48" s="9">
        <f>VLOOKUP($A48,'[1]24-8-24 DATA ENTRY'!$A$1:$BR$258,17,FALSE)</f>
        <v>1</v>
      </c>
      <c r="S48" s="9">
        <f>VLOOKUP($A48,'[1]24-8-24 DATA ENTRY'!$A$1:$BR$258,18,FALSE)</f>
        <v>2</v>
      </c>
      <c r="T48" s="9">
        <f>VLOOKUP($A48,'[1]24-8-24 DATA ENTRY'!$A$1:$BR$258,19,FALSE)</f>
        <v>2</v>
      </c>
      <c r="U48" s="9">
        <f>VLOOKUP($A48,'[1]24-8-24 DATA ENTRY'!$A$1:$BR$258,20,FALSE)</f>
        <v>2</v>
      </c>
      <c r="V48" s="9">
        <f>VLOOKUP($A48,'[1]24-8-24 DATA ENTRY'!$A$1:$BR$258,21,FALSE)</f>
        <v>2</v>
      </c>
      <c r="W48" s="9">
        <f>VLOOKUP($A48,'[1]24-8-24 DATA ENTRY'!$A$1:$BR$258,22,FALSE)</f>
        <v>0</v>
      </c>
      <c r="X48" s="9">
        <f>VLOOKUP($A48,'[1]24-8-24 DATA ENTRY'!$A$1:$BR$258,23,FALSE)</f>
        <v>12.8</v>
      </c>
      <c r="Y48" s="9">
        <f>VLOOKUP($A48,'[1]24-8-24 DATA ENTRY'!$A$1:$BR$258,24,FALSE)</f>
        <v>40.700000000000003</v>
      </c>
      <c r="Z48" s="9">
        <f>VLOOKUP($A48,'[1]24-8-24 DATA ENTRY'!$A$1:$BR$258,25,FALSE)</f>
        <v>82.7</v>
      </c>
      <c r="AA48" s="9">
        <f>VLOOKUP($A48,'[1]24-8-24 DATA ENTRY'!$A$1:$BR$258,26,FALSE)</f>
        <v>12.81</v>
      </c>
      <c r="AB48" s="9">
        <f>VLOOKUP($A48,'[1]24-8-24 DATA ENTRY'!$A$1:$BR$258,27,FALSE)</f>
        <v>7.3</v>
      </c>
      <c r="AC48" s="9">
        <f>VLOOKUP($A48,'[1]24-8-24 DATA ENTRY'!$A$1:$BR$258,28,FALSE)</f>
        <v>207</v>
      </c>
      <c r="AD48" s="9">
        <f>VLOOKUP($A48,'[1]24-8-24 DATA ENTRY'!$A$1:$BR$258,29,FALSE)</f>
        <v>148</v>
      </c>
      <c r="AE48" s="9">
        <f>VLOOKUP($A48,'[1]24-8-24 DATA ENTRY'!$A$1:$BR$258,30,FALSE)</f>
        <v>40</v>
      </c>
      <c r="AF48" s="9">
        <f>VLOOKUP($A48,'[1]24-8-24 DATA ENTRY'!$A$1:$BR$258,31,FALSE)</f>
        <v>19</v>
      </c>
      <c r="AG48" s="9">
        <f>VLOOKUP($A48,'[1]24-8-24 DATA ENTRY'!$A$1:$BR$258,32,FALSE)</f>
        <v>95</v>
      </c>
      <c r="AH48" s="9">
        <f>VLOOKUP($A48,'[1]24-8-24 DATA ENTRY'!$A$1:$BR$258,33,FALSE)</f>
        <v>224</v>
      </c>
      <c r="AI48" s="9">
        <f>VLOOKUP($A48,'[1]24-8-24 DATA ENTRY'!$A$1:$BR$258,34,FALSE)</f>
        <v>0</v>
      </c>
      <c r="AJ48" s="9">
        <f>VLOOKUP($A48,'[1]24-8-24 DATA ENTRY'!$A$1:$BR$258,35,FALSE)</f>
        <v>0</v>
      </c>
      <c r="AK48" s="9" t="str">
        <f>VLOOKUP($A48,'[1]24-8-24 DATA ENTRY'!$A$1:$BR$258,36,FALSE)</f>
        <v>left recurrent artery of huebener infarct and left internal watershed infarct</v>
      </c>
      <c r="AL48" s="9" t="str">
        <f>VLOOKUP($A48,'[1]24-8-24 DATA ENTRY'!$A$1:$BR$258,37,FALSE)</f>
        <v>involvinf high frontal cortex, head of rt caudate nucelus and anterior part of putamen, Atherosclerotic plaque causing complete luminal narrowing at the origin of the rt ICA non visualized of the rt ICA and Rt MCA</v>
      </c>
      <c r="AM48" s="9">
        <f>VLOOKUP($A48,'[1]24-8-24 DATA ENTRY'!$A$1:$BR$258,38,FALSE)</f>
        <v>0</v>
      </c>
      <c r="AN48" s="9">
        <f>VLOOKUP($A48,'[1]24-8-24 DATA ENTRY'!$A$1:$BR$258,39,FALSE)</f>
        <v>8</v>
      </c>
      <c r="AO48" s="9">
        <f>VLOOKUP($A48,'[1]24-8-24 DATA ENTRY'!$A$1:$BR$258,40,FALSE)</f>
        <v>1</v>
      </c>
      <c r="AP48" s="9">
        <f>VLOOKUP($A48,'[1]24-8-24 DATA ENTRY'!$A$1:$BR$258,41,FALSE)</f>
        <v>3</v>
      </c>
      <c r="AQ48" s="9">
        <f>VLOOKUP($A48,'[1]24-8-24 DATA ENTRY'!$A$1:$BR$258,42,FALSE)</f>
        <v>3</v>
      </c>
      <c r="AR48" s="9">
        <f>VLOOKUP($A48,'[1]24-8-24 DATA ENTRY'!$A$1:$BR$258,43,FALSE)</f>
        <v>4</v>
      </c>
      <c r="AS48" s="9">
        <f>VLOOKUP($A48,'[1]24-8-24 DATA ENTRY'!$A$1:$BR$258,44,FALSE)</f>
        <v>0</v>
      </c>
      <c r="AT48" s="9">
        <f>VLOOKUP($A48,'[1]24-8-24 DATA ENTRY'!$A$1:$BR$258,45,FALSE)</f>
        <v>1</v>
      </c>
      <c r="AU48" s="9">
        <f>VLOOKUP($A48,'[1]24-8-24 DATA ENTRY'!$A$1:$BR$258,46,FALSE)</f>
        <v>1</v>
      </c>
      <c r="AV48" s="9">
        <f>VLOOKUP($A48,'[1]24-8-24 DATA ENTRY'!$A$1:$BR$258,47,FALSE)</f>
        <v>2</v>
      </c>
      <c r="AW48" s="9">
        <f>VLOOKUP($A48,'[1]24-8-24 DATA ENTRY'!$A$1:$BR$258,48,FALSE)</f>
        <v>0</v>
      </c>
      <c r="AX48" s="9">
        <f>VLOOKUP($A48,'[1]24-8-24 DATA ENTRY'!$A$1:$BR$258,49,FALSE)</f>
        <v>0</v>
      </c>
      <c r="AY48" s="9">
        <f>VLOOKUP($A48,'[1]24-8-24 DATA ENTRY'!$A$1:$BR$258,50,FALSE)</f>
        <v>0</v>
      </c>
      <c r="AZ48" s="9">
        <f>VLOOKUP($A48,'[1]24-8-24 DATA ENTRY'!$A$1:$BR$258,51,FALSE)</f>
        <v>0</v>
      </c>
      <c r="BA48" s="9">
        <f>VLOOKUP($A48,'[1]24-8-24 DATA ENTRY'!$A$1:$BR$258,52,FALSE)</f>
        <v>1</v>
      </c>
      <c r="BB48" s="5">
        <v>1</v>
      </c>
      <c r="BC48" s="9">
        <f>VLOOKUP($A48,'[1]24-8-24 DATA ENTRY'!$A$1:$BR$258,53,FALSE)</f>
        <v>95</v>
      </c>
      <c r="BD48" s="8">
        <v>0</v>
      </c>
      <c r="BE48" s="8">
        <v>2</v>
      </c>
      <c r="BF48" s="8">
        <v>2</v>
      </c>
      <c r="BG48" s="8">
        <v>2</v>
      </c>
      <c r="BH48" s="8">
        <v>1</v>
      </c>
      <c r="BI48" s="8">
        <v>1</v>
      </c>
      <c r="BJ48" s="8">
        <v>1</v>
      </c>
      <c r="BK48" s="8">
        <v>1</v>
      </c>
      <c r="BL48" s="8">
        <v>2</v>
      </c>
      <c r="BM48" s="8">
        <v>2</v>
      </c>
      <c r="BN48" s="8">
        <v>2</v>
      </c>
      <c r="BO48" s="8">
        <v>1</v>
      </c>
      <c r="BP48" s="8">
        <v>1</v>
      </c>
      <c r="BQ48" s="8">
        <v>1</v>
      </c>
      <c r="BR48" s="8">
        <v>19</v>
      </c>
      <c r="BS48" s="8">
        <v>1</v>
      </c>
      <c r="BT48" s="8">
        <v>0</v>
      </c>
      <c r="BU48" s="8" t="s">
        <v>332</v>
      </c>
    </row>
    <row r="49" spans="1:73" x14ac:dyDescent="0.25">
      <c r="A49" s="8" t="s">
        <v>348</v>
      </c>
      <c r="B49" s="5">
        <v>1</v>
      </c>
      <c r="C49" s="8">
        <v>25.111699999999999</v>
      </c>
      <c r="D49" s="9">
        <f>VLOOKUP($A49,'[1]24-8-24 DATA ENTRY'!$A$1:$BR$258,3,FALSE)</f>
        <v>240000032171</v>
      </c>
      <c r="E49" s="9">
        <f>VLOOKUP($A49,'[1]24-8-24 DATA ENTRY'!$A$1:$BR$258,4,FALSE)</f>
        <v>75</v>
      </c>
      <c r="F49" s="9">
        <f>VLOOKUP($A49,'[1]24-8-24 DATA ENTRY'!$A$1:$BR$258,5,FALSE)</f>
        <v>1</v>
      </c>
      <c r="G49" s="10">
        <f>VLOOKUP($A49,'[1]24-8-24 DATA ENTRY'!$A$1:$BR$258,6,FALSE)</f>
        <v>45386</v>
      </c>
      <c r="H49" s="9">
        <f>VLOOKUP($A49,'[1]24-8-24 DATA ENTRY'!$A$1:$BR$258,7,FALSE)</f>
        <v>0.47916666666666669</v>
      </c>
      <c r="I49" s="10">
        <f>VLOOKUP($A49,'[1]24-8-24 DATA ENTRY'!$A$1:$BR$258,8,FALSE)</f>
        <v>45387</v>
      </c>
      <c r="J49" s="10">
        <f>VLOOKUP($A49,'[1]24-8-24 DATA ENTRY'!$A$1:$BR$258,9,FALSE)</f>
        <v>0</v>
      </c>
      <c r="K49" s="9">
        <f>VLOOKUP($A49,'[1]24-8-24 DATA ENTRY'!$A$1:$BR$258,10,FALSE)</f>
        <v>9923064112</v>
      </c>
      <c r="L49" s="9">
        <f>VLOOKUP($A49,'[1]24-8-24 DATA ENTRY'!$A$1:$BR$258,11,FALSE)</f>
        <v>7972930241</v>
      </c>
      <c r="M49" s="9">
        <f>VLOOKUP($A49,'[1]24-8-24 DATA ENTRY'!$A$1:$BR$258,12,FALSE)</f>
        <v>18</v>
      </c>
      <c r="N49" s="9">
        <f>VLOOKUP($A49,'[1]24-8-24 DATA ENTRY'!$A$1:$BR$258,13,FALSE)</f>
        <v>2</v>
      </c>
      <c r="O49" s="9">
        <f>VLOOKUP($A49,'[1]24-8-24 DATA ENTRY'!$A$1:$BR$258,14,FALSE)</f>
        <v>2</v>
      </c>
      <c r="P49" s="9">
        <f>VLOOKUP($A49,'[1]24-8-24 DATA ENTRY'!$A$1:$BR$258,15,FALSE)</f>
        <v>2</v>
      </c>
      <c r="Q49" s="9">
        <f>VLOOKUP($A49,'[1]24-8-24 DATA ENTRY'!$A$1:$BR$258,16,FALSE)</f>
        <v>2</v>
      </c>
      <c r="R49" s="9">
        <f>VLOOKUP($A49,'[1]24-8-24 DATA ENTRY'!$A$1:$BR$258,17,FALSE)</f>
        <v>2</v>
      </c>
      <c r="S49" s="9">
        <f>VLOOKUP($A49,'[1]24-8-24 DATA ENTRY'!$A$1:$BR$258,18,FALSE)</f>
        <v>2</v>
      </c>
      <c r="T49" s="9">
        <f>VLOOKUP($A49,'[1]24-8-24 DATA ENTRY'!$A$1:$BR$258,19,FALSE)</f>
        <v>2</v>
      </c>
      <c r="U49" s="9">
        <f>VLOOKUP($A49,'[1]24-8-24 DATA ENTRY'!$A$1:$BR$258,20,FALSE)</f>
        <v>2</v>
      </c>
      <c r="V49" s="9">
        <f>VLOOKUP($A49,'[1]24-8-24 DATA ENTRY'!$A$1:$BR$258,21,FALSE)</f>
        <v>2</v>
      </c>
      <c r="W49" s="9" t="str">
        <f>VLOOKUP($A49,'[1]24-8-24 DATA ENTRY'!$A$1:$BR$258,22,FALSE)</f>
        <v>Suspected peripheral vascular disease</v>
      </c>
      <c r="X49" s="9">
        <f>VLOOKUP($A49,'[1]24-8-24 DATA ENTRY'!$A$1:$BR$258,23,FALSE)</f>
        <v>6.7</v>
      </c>
      <c r="Y49" s="9">
        <f>VLOOKUP($A49,'[1]24-8-24 DATA ENTRY'!$A$1:$BR$258,24,FALSE)</f>
        <v>20.6</v>
      </c>
      <c r="Z49" s="9">
        <f>VLOOKUP($A49,'[1]24-8-24 DATA ENTRY'!$A$1:$BR$258,25,FALSE)</f>
        <v>83.4</v>
      </c>
      <c r="AA49" s="9">
        <f>VLOOKUP($A49,'[1]24-8-24 DATA ENTRY'!$A$1:$BR$258,26,FALSE)</f>
        <v>224.26</v>
      </c>
      <c r="AB49" s="9">
        <f>VLOOKUP($A49,'[1]24-8-24 DATA ENTRY'!$A$1:$BR$258,27,FALSE)</f>
        <v>0</v>
      </c>
      <c r="AC49" s="9">
        <f>VLOOKUP($A49,'[1]24-8-24 DATA ENTRY'!$A$1:$BR$258,28,FALSE)</f>
        <v>93</v>
      </c>
      <c r="AD49" s="9">
        <f>VLOOKUP($A49,'[1]24-8-24 DATA ENTRY'!$A$1:$BR$258,29,FALSE)</f>
        <v>33.799999999999997</v>
      </c>
      <c r="AE49" s="9">
        <f>VLOOKUP($A49,'[1]24-8-24 DATA ENTRY'!$A$1:$BR$258,30,FALSE)</f>
        <v>15</v>
      </c>
      <c r="AF49" s="9">
        <f>VLOOKUP($A49,'[1]24-8-24 DATA ENTRY'!$A$1:$BR$258,31,FALSE)</f>
        <v>44.2</v>
      </c>
      <c r="AG49" s="9">
        <f>VLOOKUP($A49,'[1]24-8-24 DATA ENTRY'!$A$1:$BR$258,32,FALSE)</f>
        <v>221</v>
      </c>
      <c r="AH49" s="9">
        <f>VLOOKUP($A49,'[1]24-8-24 DATA ENTRY'!$A$1:$BR$258,33,FALSE)</f>
        <v>148</v>
      </c>
      <c r="AI49" s="9">
        <f>VLOOKUP($A49,'[1]24-8-24 DATA ENTRY'!$A$1:$BR$258,34,FALSE)</f>
        <v>0</v>
      </c>
      <c r="AJ49" s="9">
        <f>VLOOKUP($A49,'[1]24-8-24 DATA ENTRY'!$A$1:$BR$258,35,FALSE)</f>
        <v>0</v>
      </c>
      <c r="AK49" s="9" t="str">
        <f>VLOOKUP($A49,'[1]24-8-24 DATA ENTRY'!$A$1:$BR$258,36,FALSE)</f>
        <v>Acute NHI in the rt fronto-parieto-temporal lobe, paucty of cortical segments of rt MCA with delayed emptying</v>
      </c>
      <c r="AL49" s="9" t="str">
        <f>VLOOKUP($A49,'[1]24-8-24 DATA ENTRY'!$A$1:$BR$258,37,FALSE)</f>
        <v>normal</v>
      </c>
      <c r="AM49" s="9">
        <f>VLOOKUP($A49,'[1]24-8-24 DATA ENTRY'!$A$1:$BR$258,38,FALSE)</f>
        <v>0</v>
      </c>
      <c r="AN49" s="9">
        <f>VLOOKUP($A49,'[1]24-8-24 DATA ENTRY'!$A$1:$BR$258,39,FALSE)</f>
        <v>8</v>
      </c>
      <c r="AO49" s="9">
        <f>VLOOKUP($A49,'[1]24-8-24 DATA ENTRY'!$A$1:$BR$258,40,FALSE)</f>
        <v>1</v>
      </c>
      <c r="AP49" s="9">
        <f>VLOOKUP($A49,'[1]24-8-24 DATA ENTRY'!$A$1:$BR$258,41,FALSE)</f>
        <v>3</v>
      </c>
      <c r="AQ49" s="9">
        <f>VLOOKUP($A49,'[1]24-8-24 DATA ENTRY'!$A$1:$BR$258,42,FALSE)</f>
        <v>3</v>
      </c>
      <c r="AR49" s="9">
        <f>VLOOKUP($A49,'[1]24-8-24 DATA ENTRY'!$A$1:$BR$258,43,FALSE)</f>
        <v>5</v>
      </c>
      <c r="AS49" s="9">
        <f>VLOOKUP($A49,'[1]24-8-24 DATA ENTRY'!$A$1:$BR$258,44,FALSE)</f>
        <v>0</v>
      </c>
      <c r="AT49" s="9">
        <f>VLOOKUP($A49,'[1]24-8-24 DATA ENTRY'!$A$1:$BR$258,45,FALSE)</f>
        <v>1</v>
      </c>
      <c r="AU49" s="9">
        <f>VLOOKUP($A49,'[1]24-8-24 DATA ENTRY'!$A$1:$BR$258,46,FALSE)</f>
        <v>1</v>
      </c>
      <c r="AV49" s="9">
        <f>VLOOKUP($A49,'[1]24-8-24 DATA ENTRY'!$A$1:$BR$258,47,FALSE)</f>
        <v>2</v>
      </c>
      <c r="AW49" s="9">
        <f>VLOOKUP($A49,'[1]24-8-24 DATA ENTRY'!$A$1:$BR$258,48,FALSE)</f>
        <v>0</v>
      </c>
      <c r="AX49" s="9">
        <f>VLOOKUP($A49,'[1]24-8-24 DATA ENTRY'!$A$1:$BR$258,49,FALSE)</f>
        <v>0</v>
      </c>
      <c r="AY49" s="9">
        <f>VLOOKUP($A49,'[1]24-8-24 DATA ENTRY'!$A$1:$BR$258,50,FALSE)</f>
        <v>0</v>
      </c>
      <c r="AZ49" s="9">
        <f>VLOOKUP($A49,'[1]24-8-24 DATA ENTRY'!$A$1:$BR$258,51,FALSE)</f>
        <v>0</v>
      </c>
      <c r="BA49" s="9">
        <f>VLOOKUP($A49,'[1]24-8-24 DATA ENTRY'!$A$1:$BR$258,52,FALSE)</f>
        <v>1</v>
      </c>
      <c r="BB49" s="5">
        <v>1</v>
      </c>
      <c r="BC49" s="9">
        <f>VLOOKUP($A49,'[1]24-8-24 DATA ENTRY'!$A$1:$BR$258,53,FALSE)</f>
        <v>70</v>
      </c>
      <c r="BD49" s="8">
        <v>0</v>
      </c>
      <c r="BE49" s="8">
        <v>2</v>
      </c>
      <c r="BF49" s="8">
        <v>2</v>
      </c>
      <c r="BG49" s="8">
        <v>2</v>
      </c>
      <c r="BH49" s="8">
        <v>1</v>
      </c>
      <c r="BI49" s="8">
        <v>1</v>
      </c>
      <c r="BJ49" s="8">
        <v>1</v>
      </c>
      <c r="BK49" s="8">
        <v>1</v>
      </c>
      <c r="BL49" s="8">
        <v>2</v>
      </c>
      <c r="BM49" s="8">
        <v>2</v>
      </c>
      <c r="BN49" s="8">
        <v>2</v>
      </c>
      <c r="BO49" s="8">
        <v>1</v>
      </c>
      <c r="BP49" s="8">
        <v>1</v>
      </c>
      <c r="BQ49" s="8">
        <v>1</v>
      </c>
      <c r="BR49" s="8">
        <v>19</v>
      </c>
      <c r="BS49" s="8">
        <v>1</v>
      </c>
      <c r="BT49" s="8">
        <v>1</v>
      </c>
      <c r="BU49" s="8"/>
    </row>
    <row r="50" spans="1:73" x14ac:dyDescent="0.25">
      <c r="A50" s="5" t="s">
        <v>524</v>
      </c>
      <c r="B50" s="5">
        <v>0</v>
      </c>
      <c r="C50" s="5">
        <v>88.934600000000003</v>
      </c>
      <c r="D50" s="9">
        <f>VLOOKUP($A50,'[1]24-8-24 DATA ENTRY'!$A$1:$BR$303,3,FALSE)</f>
        <v>240000059246</v>
      </c>
      <c r="E50" s="9">
        <f>VLOOKUP($A50,'[1]24-8-24 DATA ENTRY'!$A$1:$BR$303,4,FALSE)</f>
        <v>50</v>
      </c>
      <c r="F50" s="9">
        <f>VLOOKUP($A50,'[1]24-8-24 DATA ENTRY'!$A$1:$BR$303,5,FALSE)</f>
        <v>1</v>
      </c>
      <c r="G50" s="10">
        <f>VLOOKUP($A50,'[1]24-8-24 DATA ENTRY'!$A$1:$BR$303,6,FALSE)</f>
        <v>45481</v>
      </c>
      <c r="H50" s="9">
        <f>VLOOKUP($A50,'[1]24-8-24 DATA ENTRY'!$A$1:$BR$303,7,FALSE)</f>
        <v>0.16666666666666666</v>
      </c>
      <c r="I50" s="10">
        <f>VLOOKUP($A50,'[1]24-8-24 DATA ENTRY'!$A$1:$BR$303,8,FALSE)</f>
        <v>45481</v>
      </c>
      <c r="J50" s="10">
        <f>VLOOKUP($A50,'[1]24-8-24 DATA ENTRY'!$A$1:$BR$303,9,FALSE)</f>
        <v>0</v>
      </c>
      <c r="K50" s="9">
        <f>VLOOKUP($A50,'[1]24-8-24 DATA ENTRY'!$A$1:$BR$303,10,FALSE)</f>
        <v>9922075213</v>
      </c>
      <c r="L50" s="9">
        <f>VLOOKUP($A50,'[1]24-8-24 DATA ENTRY'!$A$1:$BR$303,11,FALSE)</f>
        <v>0</v>
      </c>
      <c r="M50" s="9">
        <f>VLOOKUP($A50,'[1]24-8-24 DATA ENTRY'!$A$1:$BR$303,12,FALSE)</f>
        <v>17</v>
      </c>
      <c r="N50" s="9">
        <f>VLOOKUP($A50,'[1]24-8-24 DATA ENTRY'!$A$1:$BR$303,13,FALSE)</f>
        <v>2</v>
      </c>
      <c r="O50" s="9">
        <f>VLOOKUP($A50,'[1]24-8-24 DATA ENTRY'!$A$1:$BR$303,14,FALSE)</f>
        <v>2</v>
      </c>
      <c r="P50" s="9">
        <f>VLOOKUP($A50,'[1]24-8-24 DATA ENTRY'!$A$1:$BR$303,15,FALSE)</f>
        <v>1</v>
      </c>
      <c r="Q50" s="9">
        <f>VLOOKUP($A50,'[1]24-8-24 DATA ENTRY'!$A$1:$BR$303,16,FALSE)</f>
        <v>2</v>
      </c>
      <c r="R50" s="9">
        <f>VLOOKUP($A50,'[1]24-8-24 DATA ENTRY'!$A$1:$BR$303,17,FALSE)</f>
        <v>2</v>
      </c>
      <c r="S50" s="9">
        <f>VLOOKUP($A50,'[1]24-8-24 DATA ENTRY'!$A$1:$BR$303,18,FALSE)</f>
        <v>2</v>
      </c>
      <c r="T50" s="9">
        <f>VLOOKUP($A50,'[1]24-8-24 DATA ENTRY'!$A$1:$BR$303,19,FALSE)</f>
        <v>2</v>
      </c>
      <c r="U50" s="9">
        <v>2</v>
      </c>
      <c r="V50" s="9">
        <f>VLOOKUP($A50,'[1]24-8-24 DATA ENTRY'!$A$1:$BR$303,21,FALSE)</f>
        <v>2</v>
      </c>
      <c r="W50" s="9" t="str">
        <f>VLOOKUP($A50,'[1]24-8-24 DATA ENTRY'!$A$1:$BR$303,22,FALSE)</f>
        <v xml:space="preserve">metastatic Ca stomach. march 2024 signet cell cavernoma </v>
      </c>
      <c r="X50" s="9">
        <f>VLOOKUP($A50,'[1]24-8-24 DATA ENTRY'!$A$1:$BR$303,23,FALSE)</f>
        <v>12.1</v>
      </c>
      <c r="Y50" s="9">
        <f>VLOOKUP($A50,'[1]24-8-24 DATA ENTRY'!$A$1:$BR$303,24,FALSE)</f>
        <v>35.200000000000003</v>
      </c>
      <c r="Z50" s="9">
        <f>VLOOKUP($A50,'[1]24-8-24 DATA ENTRY'!$A$1:$BR$303,25,FALSE)</f>
        <v>95.6</v>
      </c>
      <c r="AA50" s="9">
        <f>VLOOKUP($A50,'[1]24-8-24 DATA ENTRY'!$A$1:$BR$303,26,FALSE)</f>
        <v>16.89</v>
      </c>
      <c r="AB50" s="9">
        <f>VLOOKUP($A50,'[1]24-8-24 DATA ENTRY'!$A$1:$BR$303,27,FALSE)</f>
        <v>0</v>
      </c>
      <c r="AC50" s="9">
        <f>VLOOKUP($A50,'[1]24-8-24 DATA ENTRY'!$A$1:$BR$303,28,FALSE)</f>
        <v>193</v>
      </c>
      <c r="AD50" s="9">
        <f>VLOOKUP($A50,'[1]24-8-24 DATA ENTRY'!$A$1:$BR$303,29,FALSE)</f>
        <v>132.19999999999999</v>
      </c>
      <c r="AE50" s="9">
        <f>VLOOKUP($A50,'[1]24-8-24 DATA ENTRY'!$A$1:$BR$2303,30,FALSE)</f>
        <v>40</v>
      </c>
      <c r="AF50" s="9">
        <f>VLOOKUP($A50,'[1]24-8-24 DATA ENTRY'!$A$1:$BR$303,31,FALSE)</f>
        <v>20.8</v>
      </c>
      <c r="AG50" s="9">
        <f>VLOOKUP($A50,'[1]24-8-24 DATA ENTRY'!$A$1:$BR$303,32,FALSE)</f>
        <v>104</v>
      </c>
      <c r="AH50" s="9">
        <f>VLOOKUP($A50,'[1]24-8-24 DATA ENTRY'!$A$1:$BR$303,33,FALSE)</f>
        <v>0</v>
      </c>
      <c r="AI50" s="9">
        <f>VLOOKUP($A50,'[1]24-8-24 DATA ENTRY'!$A$1:$BR$303,34,FALSE)</f>
        <v>0</v>
      </c>
      <c r="AJ50" s="9">
        <f>VLOOKUP($A50,'[1]24-8-24 DATA ENTRY'!$A$1:$BR$303,35,FALSE)</f>
        <v>0</v>
      </c>
      <c r="AK50" s="9" t="str">
        <f>VLOOKUP($A50,'[1]24-8-24 DATA ENTRY'!$A$1:$BR$303,36,FALSE)</f>
        <v>left distal MCA infarct</v>
      </c>
      <c r="AL50" s="9" t="str">
        <f>VLOOKUP($A50,'[1]24-8-24 DATA ENTRY'!$A$1:$BR$303,37,FALSE)</f>
        <v xml:space="preserve">left m2 distal thrombus </v>
      </c>
      <c r="AM50" s="9">
        <f>VLOOKUP($A50,'[1]24-8-24 DATA ENTRY'!$A$1:$BR$303,38,FALSE)</f>
        <v>0</v>
      </c>
      <c r="AN50" s="9">
        <f>VLOOKUP($A50,'[1]24-8-24 DATA ENTRY'!$A$1:$BR$303,39,FALSE)</f>
        <v>8</v>
      </c>
      <c r="AO50" s="9">
        <f>VLOOKUP($A50,'[1]24-8-24 DATA ENTRY'!$A$1:$BR$303,40,FALSE)</f>
        <v>1</v>
      </c>
      <c r="AP50" s="9">
        <f>VLOOKUP($A50,'[1]24-8-24 DATA ENTRY'!$A$1:$BR$303,41,FALSE)</f>
        <v>3</v>
      </c>
      <c r="AQ50" s="9">
        <f>VLOOKUP($A50,'[1]24-8-24 DATA ENTRY'!$A$1:$BR$303,42,FALSE)</f>
        <v>2</v>
      </c>
      <c r="AR50" s="9">
        <f>VLOOKUP($A50,'[1]24-8-24 DATA ENTRY'!$A$1:$BR$303,43,FALSE)</f>
        <v>5</v>
      </c>
      <c r="AS50" s="9">
        <f>VLOOKUP($A50,'[1]24-8-24 DATA ENTRY'!$A$1:$BR$303,44,FALSE)</f>
        <v>0</v>
      </c>
      <c r="AT50" s="9">
        <f>VLOOKUP($A50,'[1]24-8-24 DATA ENTRY'!$A$1:$BR$303,45,FALSE)</f>
        <v>1</v>
      </c>
      <c r="AU50" s="9">
        <f>VLOOKUP($A50,'[1]24-8-24 DATA ENTRY'!$A$1:$BR$303,46,FALSE)</f>
        <v>1</v>
      </c>
      <c r="AV50" s="9">
        <f>VLOOKUP($A50,'[1]24-8-24 DATA ENTRY'!$A$1:$BR$303,47,FALSE)</f>
        <v>2</v>
      </c>
      <c r="AW50" s="9">
        <f>VLOOKUP($A50,'[1]24-8-24 DATA ENTRY'!$A$1:$BR$303,48,FALSE)</f>
        <v>0</v>
      </c>
      <c r="AX50" s="9">
        <f>VLOOKUP($A50,'[1]24-8-24 DATA ENTRY'!$A$1:$BR$303,49,FALSE)</f>
        <v>0</v>
      </c>
      <c r="AY50" s="9">
        <f>VLOOKUP($A50,'[1]24-8-24 DATA ENTRY'!$A$1:$BR$303,50,FALSE)</f>
        <v>0</v>
      </c>
      <c r="AZ50" s="9">
        <f>VLOOKUP($A50,'[1]24-8-24 DATA ENTRY'!$A$1:$BR$303,51,FALSE)</f>
        <v>0</v>
      </c>
      <c r="BA50" s="9">
        <f>VLOOKUP($A50,'[1]24-8-24 DATA ENTRY'!$A$1:$BR$303,52,FALSE)</f>
        <v>1</v>
      </c>
      <c r="BB50" s="5">
        <v>1</v>
      </c>
      <c r="BC50" s="9">
        <f>VLOOKUP($A50,'[1]24-8-24 DATA ENTRY'!$A$1:$BR$303,53,FALSE)</f>
        <v>90</v>
      </c>
      <c r="BD50" s="5">
        <v>1</v>
      </c>
      <c r="BE50" s="5">
        <v>2</v>
      </c>
      <c r="BF50" s="5">
        <v>2</v>
      </c>
      <c r="BG50" s="5">
        <v>2</v>
      </c>
      <c r="BH50" s="5">
        <v>1</v>
      </c>
      <c r="BI50" s="5">
        <v>1</v>
      </c>
      <c r="BJ50" s="5">
        <v>1</v>
      </c>
      <c r="BK50" s="5">
        <v>1</v>
      </c>
      <c r="BL50" s="5">
        <v>2</v>
      </c>
      <c r="BM50" s="5">
        <v>2</v>
      </c>
      <c r="BN50" s="5">
        <v>1</v>
      </c>
      <c r="BO50" s="5">
        <v>1</v>
      </c>
      <c r="BP50" s="5">
        <v>1</v>
      </c>
      <c r="BQ50" s="5">
        <v>1</v>
      </c>
      <c r="BR50" s="5">
        <v>19</v>
      </c>
      <c r="BS50" s="5">
        <v>1</v>
      </c>
      <c r="BT50" s="5">
        <v>1</v>
      </c>
      <c r="BU50" s="5"/>
    </row>
    <row r="51" spans="1:73" x14ac:dyDescent="0.25">
      <c r="A51" s="8" t="s">
        <v>635</v>
      </c>
      <c r="B51" s="5">
        <v>0</v>
      </c>
      <c r="C51" s="8">
        <v>16.360099999999999</v>
      </c>
      <c r="D51" s="9">
        <f>VLOOKUP($A51,'[1]24-8-24 DATA ENTRY'!$A$1:$BR$258,3,FALSE)</f>
        <v>240000033024</v>
      </c>
      <c r="E51" s="9">
        <f>VLOOKUP($A51,'[1]24-8-24 DATA ENTRY'!$A$1:$BR$258,4,FALSE)</f>
        <v>72</v>
      </c>
      <c r="F51" s="9">
        <f>VLOOKUP($A51,'[1]24-8-24 DATA ENTRY'!$A$1:$BR$258,5,FALSE)</f>
        <v>2</v>
      </c>
      <c r="G51" s="10">
        <f>VLOOKUP($A51,'[1]24-8-24 DATA ENTRY'!$A$1:$BR$258,6,FALSE)</f>
        <v>45388</v>
      </c>
      <c r="H51" s="9">
        <f>VLOOKUP($A51,'[1]24-8-24 DATA ENTRY'!$A$1:$BR$258,7,FALSE)</f>
        <v>0</v>
      </c>
      <c r="I51" s="10">
        <f>VLOOKUP($A51,'[1]24-8-24 DATA ENTRY'!$A$1:$BR$258,8,FALSE)</f>
        <v>45390</v>
      </c>
      <c r="J51" s="10">
        <f>VLOOKUP($A51,'[1]24-8-24 DATA ENTRY'!$A$1:$BR$258,9,FALSE)</f>
        <v>0</v>
      </c>
      <c r="K51" s="9">
        <f>VLOOKUP($A51,'[1]24-8-24 DATA ENTRY'!$A$1:$BR$258,10,FALSE)</f>
        <v>8788481734</v>
      </c>
      <c r="L51" s="9">
        <f>VLOOKUP($A51,'[1]24-8-24 DATA ENTRY'!$A$1:$BR$258,11,FALSE)</f>
        <v>0</v>
      </c>
      <c r="M51" s="9">
        <f>VLOOKUP($A51,'[1]24-8-24 DATA ENTRY'!$A$1:$BR$258,12,FALSE)</f>
        <v>6</v>
      </c>
      <c r="N51" s="9">
        <f>VLOOKUP($A51,'[1]24-8-24 DATA ENTRY'!$A$1:$BR$258,13,FALSE)</f>
        <v>1</v>
      </c>
      <c r="O51" s="9">
        <f>VLOOKUP($A51,'[1]24-8-24 DATA ENTRY'!$A$1:$BR$258,14,FALSE)</f>
        <v>2</v>
      </c>
      <c r="P51" s="9">
        <f>VLOOKUP($A51,'[1]24-8-24 DATA ENTRY'!$A$1:$BR$258,15,FALSE)</f>
        <v>2</v>
      </c>
      <c r="Q51" s="9">
        <f>VLOOKUP($A51,'[1]24-8-24 DATA ENTRY'!$A$1:$BR$258,16,FALSE)</f>
        <v>2</v>
      </c>
      <c r="R51" s="9">
        <f>VLOOKUP($A51,'[1]24-8-24 DATA ENTRY'!$A$1:$BR$258,17,FALSE)</f>
        <v>2</v>
      </c>
      <c r="S51" s="9">
        <f>VLOOKUP($A51,'[1]24-8-24 DATA ENTRY'!$A$1:$BR$258,18,FALSE)</f>
        <v>2</v>
      </c>
      <c r="T51" s="9">
        <f>VLOOKUP($A51,'[1]24-8-24 DATA ENTRY'!$A$1:$BR$258,19,FALSE)</f>
        <v>2</v>
      </c>
      <c r="U51" s="9">
        <f>VLOOKUP($A51,'[1]24-8-24 DATA ENTRY'!$A$1:$BR$258,20,FALSE)</f>
        <v>1</v>
      </c>
      <c r="V51" s="9">
        <f>VLOOKUP($A51,'[1]24-8-24 DATA ENTRY'!$A$1:$BR$258,21,FALSE)</f>
        <v>2</v>
      </c>
      <c r="W51" s="9" t="str">
        <f>VLOOKUP($A51,'[1]24-8-24 DATA ENTRY'!$A$1:$BR$258,22,FALSE)</f>
        <v xml:space="preserve">past history stroke in 2019, </v>
      </c>
      <c r="X51" s="9">
        <f>VLOOKUP($A51,'[1]24-8-24 DATA ENTRY'!$A$1:$BR$258,23,FALSE)</f>
        <v>9.5</v>
      </c>
      <c r="Y51" s="9">
        <f>VLOOKUP($A51,'[1]24-8-24 DATA ENTRY'!$A$1:$BR$258,24,FALSE)</f>
        <v>29.2</v>
      </c>
      <c r="Z51" s="9">
        <f>VLOOKUP($A51,'[1]24-8-24 DATA ENTRY'!$A$1:$BR$258,25,FALSE)</f>
        <v>78.400000000000006</v>
      </c>
      <c r="AA51" s="9">
        <f>VLOOKUP($A51,'[1]24-8-24 DATA ENTRY'!$A$1:$BR$258,26,FALSE)</f>
        <v>0</v>
      </c>
      <c r="AB51" s="9">
        <f>VLOOKUP($A51,'[1]24-8-24 DATA ENTRY'!$A$1:$BR$258,27,FALSE)</f>
        <v>0</v>
      </c>
      <c r="AC51" s="9">
        <f>VLOOKUP($A51,'[1]24-8-24 DATA ENTRY'!$A$1:$BR$258,28,FALSE)</f>
        <v>0</v>
      </c>
      <c r="AD51" s="9">
        <f>VLOOKUP($A51,'[1]24-8-24 DATA ENTRY'!$A$1:$BR$258,29,FALSE)</f>
        <v>0</v>
      </c>
      <c r="AE51" s="9">
        <f>VLOOKUP($A51,'[1]24-8-24 DATA ENTRY'!$A$1:$BR$258,30,FALSE)</f>
        <v>0</v>
      </c>
      <c r="AF51" s="9">
        <f>VLOOKUP($A51,'[1]24-8-24 DATA ENTRY'!$A$1:$BR$258,31,FALSE)</f>
        <v>0</v>
      </c>
      <c r="AG51" s="9">
        <f>VLOOKUP($A51,'[1]24-8-24 DATA ENTRY'!$A$1:$BR$258,32,FALSE)</f>
        <v>0</v>
      </c>
      <c r="AH51" s="9">
        <f>VLOOKUP($A51,'[1]24-8-24 DATA ENTRY'!$A$1:$BR$258,33,FALSE)</f>
        <v>2000</v>
      </c>
      <c r="AI51" s="9">
        <f>VLOOKUP($A51,'[1]24-8-24 DATA ENTRY'!$A$1:$BR$258,34,FALSE)</f>
        <v>0</v>
      </c>
      <c r="AJ51" s="9">
        <f>VLOOKUP($A51,'[1]24-8-24 DATA ENTRY'!$A$1:$BR$258,35,FALSE)</f>
        <v>0</v>
      </c>
      <c r="AK51" s="9" t="str">
        <f>VLOOKUP($A51,'[1]24-8-24 DATA ENTRY'!$A$1:$BR$258,36,FALSE)</f>
        <v>B/L deep watershed infarct</v>
      </c>
      <c r="AL51" s="9" t="str">
        <f>VLOOKUP($A51,'[1]24-8-24 DATA ENTRY'!$A$1:$BR$258,37,FALSE)</f>
        <v>Acute nhi in B?L centrum semiovale b/l corona radiata, body and splenium of callosum &amp; B/L parieto-occipital regions, likely to be embolic stroke</v>
      </c>
      <c r="AM51" s="9">
        <f>VLOOKUP($A51,'[1]24-8-24 DATA ENTRY'!$A$1:$BR$258,38,FALSE)</f>
        <v>0</v>
      </c>
      <c r="AN51" s="9">
        <f>VLOOKUP($A51,'[1]24-8-24 DATA ENTRY'!$A$1:$BR$258,39,FALSE)</f>
        <v>8</v>
      </c>
      <c r="AO51" s="9">
        <f>VLOOKUP($A51,'[1]24-8-24 DATA ENTRY'!$A$1:$BR$258,40,FALSE)</f>
        <v>0</v>
      </c>
      <c r="AP51" s="9">
        <f>VLOOKUP($A51,'[1]24-8-24 DATA ENTRY'!$A$1:$BR$258,41,FALSE)</f>
        <v>0</v>
      </c>
      <c r="AQ51" s="9">
        <f>VLOOKUP($A51,'[1]24-8-24 DATA ENTRY'!$A$1:$BR$258,42,FALSE)</f>
        <v>0</v>
      </c>
      <c r="AR51" s="9">
        <f>VLOOKUP($A51,'[1]24-8-24 DATA ENTRY'!$A$1:$BR$258,43,FALSE)</f>
        <v>0</v>
      </c>
      <c r="AS51" s="9">
        <f>VLOOKUP($A51,'[1]24-8-24 DATA ENTRY'!$A$1:$BR$258,44,FALSE)</f>
        <v>0</v>
      </c>
      <c r="AT51" s="9">
        <f>VLOOKUP($A51,'[1]24-8-24 DATA ENTRY'!$A$1:$BR$258,45,FALSE)</f>
        <v>1</v>
      </c>
      <c r="AU51" s="9">
        <f>VLOOKUP($A51,'[1]24-8-24 DATA ENTRY'!$A$1:$BR$258,46,FALSE)</f>
        <v>1</v>
      </c>
      <c r="AV51" s="9">
        <f>VLOOKUP($A51,'[1]24-8-24 DATA ENTRY'!$A$1:$BR$258,47,FALSE)</f>
        <v>2</v>
      </c>
      <c r="AW51" s="9">
        <f>VLOOKUP($A51,'[1]24-8-24 DATA ENTRY'!$A$1:$BR$258,48,FALSE)</f>
        <v>0</v>
      </c>
      <c r="AX51" s="9">
        <f>VLOOKUP($A51,'[1]24-8-24 DATA ENTRY'!$A$1:$BR$258,49,FALSE)</f>
        <v>0</v>
      </c>
      <c r="AY51" s="9">
        <f>VLOOKUP($A51,'[1]24-8-24 DATA ENTRY'!$A$1:$BR$258,50,FALSE)</f>
        <v>0</v>
      </c>
      <c r="AZ51" s="9">
        <f>VLOOKUP($A51,'[1]24-8-24 DATA ENTRY'!$A$1:$BR$258,51,FALSE)</f>
        <v>0</v>
      </c>
      <c r="BA51" s="9">
        <f>VLOOKUP($A51,'[1]24-8-24 DATA ENTRY'!$A$1:$BR$258,52,FALSE)</f>
        <v>1</v>
      </c>
      <c r="BB51" s="5">
        <v>1</v>
      </c>
      <c r="BC51" s="9">
        <f>VLOOKUP($A51,'[1]24-8-24 DATA ENTRY'!$A$1:$BR$258,53,FALSE)</f>
        <v>85</v>
      </c>
      <c r="BD51" s="8"/>
      <c r="BE51" s="8"/>
      <c r="BF51" s="8"/>
      <c r="BG51" s="8"/>
      <c r="BH51" s="8"/>
      <c r="BI51" s="8"/>
      <c r="BJ51" s="8"/>
      <c r="BK51" s="8"/>
      <c r="BL51" s="8"/>
      <c r="BM51" s="8"/>
      <c r="BN51" s="8"/>
      <c r="BO51" s="8"/>
      <c r="BP51" s="8"/>
      <c r="BQ51" s="8"/>
      <c r="BR51" s="8"/>
      <c r="BS51" s="8"/>
      <c r="BT51" s="8"/>
      <c r="BU51" s="8" t="s">
        <v>578</v>
      </c>
    </row>
    <row r="52" spans="1:73" x14ac:dyDescent="0.25">
      <c r="A52" s="5" t="s">
        <v>422</v>
      </c>
      <c r="B52" s="5">
        <v>1</v>
      </c>
      <c r="C52" s="5">
        <v>3.7534299999999998</v>
      </c>
      <c r="D52" s="6">
        <v>230205086</v>
      </c>
      <c r="E52" s="5">
        <v>70</v>
      </c>
      <c r="F52" s="5">
        <v>2</v>
      </c>
      <c r="G52" s="7"/>
      <c r="H52" s="5"/>
      <c r="I52" s="7">
        <v>44983</v>
      </c>
      <c r="J52" s="7">
        <v>44985</v>
      </c>
      <c r="K52" s="5">
        <v>8888435454</v>
      </c>
      <c r="L52" s="5">
        <v>8668515149</v>
      </c>
      <c r="M52" s="5">
        <v>9</v>
      </c>
      <c r="N52" s="5">
        <v>2</v>
      </c>
      <c r="O52" s="5">
        <v>2</v>
      </c>
      <c r="P52" s="5">
        <v>2</v>
      </c>
      <c r="Q52" s="5">
        <v>2</v>
      </c>
      <c r="R52" s="5">
        <v>2</v>
      </c>
      <c r="S52" s="5">
        <v>2</v>
      </c>
      <c r="T52" s="5">
        <v>2</v>
      </c>
      <c r="U52" s="5">
        <v>2</v>
      </c>
      <c r="V52" s="5">
        <v>2</v>
      </c>
      <c r="W52" s="5"/>
      <c r="X52" s="5">
        <v>10.7</v>
      </c>
      <c r="Y52" s="5">
        <v>32</v>
      </c>
      <c r="Z52" s="5"/>
      <c r="AA52" s="5">
        <v>29</v>
      </c>
      <c r="AB52" s="5">
        <v>6.3</v>
      </c>
      <c r="AC52" s="5"/>
      <c r="AD52" s="5"/>
      <c r="AE52" s="5"/>
      <c r="AF52" s="5"/>
      <c r="AG52" s="5"/>
      <c r="AH52" s="5">
        <v>189</v>
      </c>
      <c r="AI52" s="5" t="s">
        <v>423</v>
      </c>
      <c r="AJ52" s="5"/>
      <c r="AK52" s="5" t="s">
        <v>424</v>
      </c>
      <c r="AL52" s="5" t="s">
        <v>425</v>
      </c>
      <c r="AM52" s="5"/>
      <c r="AN52" s="5">
        <v>8</v>
      </c>
      <c r="AO52" s="5">
        <v>1</v>
      </c>
      <c r="AP52" s="5">
        <v>3</v>
      </c>
      <c r="AQ52" s="5">
        <v>3</v>
      </c>
      <c r="AR52" s="5">
        <v>5</v>
      </c>
      <c r="AS52" s="5"/>
      <c r="AT52" s="5">
        <v>1</v>
      </c>
      <c r="AU52" s="5">
        <v>2</v>
      </c>
      <c r="AV52" s="5">
        <v>2</v>
      </c>
      <c r="AW52" s="5"/>
      <c r="AX52" s="5"/>
      <c r="AY52" s="5"/>
      <c r="AZ52" s="5"/>
      <c r="BA52" s="5">
        <v>2</v>
      </c>
      <c r="BB52" s="5">
        <v>1</v>
      </c>
      <c r="BC52" s="5">
        <v>85</v>
      </c>
      <c r="BD52" s="5">
        <v>1</v>
      </c>
      <c r="BE52" s="5">
        <v>2</v>
      </c>
      <c r="BF52" s="5">
        <v>2</v>
      </c>
      <c r="BG52" s="5">
        <v>2</v>
      </c>
      <c r="BH52" s="5">
        <v>1</v>
      </c>
      <c r="BI52" s="5">
        <v>1</v>
      </c>
      <c r="BJ52" s="5">
        <v>1</v>
      </c>
      <c r="BK52" s="5">
        <v>1</v>
      </c>
      <c r="BL52" s="5">
        <v>2</v>
      </c>
      <c r="BM52" s="5">
        <v>2</v>
      </c>
      <c r="BN52" s="5">
        <v>2</v>
      </c>
      <c r="BO52" s="5">
        <v>1</v>
      </c>
      <c r="BP52" s="5">
        <v>1</v>
      </c>
      <c r="BQ52" s="5">
        <v>1</v>
      </c>
      <c r="BR52" s="5">
        <v>20</v>
      </c>
      <c r="BS52" s="5">
        <v>1</v>
      </c>
      <c r="BT52" s="5">
        <v>1</v>
      </c>
      <c r="BU52" s="5"/>
    </row>
    <row r="53" spans="1:73" x14ac:dyDescent="0.25">
      <c r="A53" s="5" t="s">
        <v>549</v>
      </c>
      <c r="B53" s="5">
        <v>0</v>
      </c>
      <c r="C53" s="5">
        <v>2.7266900000000001</v>
      </c>
      <c r="D53" s="6">
        <v>120502506</v>
      </c>
      <c r="E53" s="5">
        <v>80</v>
      </c>
      <c r="F53" s="5">
        <v>1</v>
      </c>
      <c r="G53" s="7">
        <v>45158</v>
      </c>
      <c r="H53" s="11">
        <v>0.45833333333333331</v>
      </c>
      <c r="I53" s="7">
        <v>45159</v>
      </c>
      <c r="J53" s="7">
        <v>45103</v>
      </c>
      <c r="K53" s="5">
        <v>9822555050</v>
      </c>
      <c r="L53" s="5"/>
      <c r="M53" s="5">
        <v>3</v>
      </c>
      <c r="N53" s="5">
        <v>1</v>
      </c>
      <c r="O53" s="5">
        <v>1</v>
      </c>
      <c r="P53" s="5">
        <v>2</v>
      </c>
      <c r="Q53" s="5">
        <v>2</v>
      </c>
      <c r="R53" s="5">
        <v>1</v>
      </c>
      <c r="S53" s="5">
        <v>2</v>
      </c>
      <c r="T53" s="5">
        <v>2</v>
      </c>
      <c r="U53" s="5">
        <v>2</v>
      </c>
      <c r="V53" s="5">
        <v>2</v>
      </c>
      <c r="W53" s="5"/>
      <c r="X53" s="5"/>
      <c r="Y53" s="5"/>
      <c r="Z53" s="5"/>
      <c r="AA53" s="5"/>
      <c r="AB53" s="5">
        <v>5.5</v>
      </c>
      <c r="AC53" s="5">
        <v>165</v>
      </c>
      <c r="AD53" s="5">
        <v>103.8</v>
      </c>
      <c r="AE53" s="5">
        <v>36</v>
      </c>
      <c r="AF53" s="5">
        <v>25.2</v>
      </c>
      <c r="AG53" s="5">
        <v>126</v>
      </c>
      <c r="AH53" s="5"/>
      <c r="AI53" s="5"/>
      <c r="AJ53" s="5"/>
      <c r="AK53" s="5" t="s">
        <v>550</v>
      </c>
      <c r="AL53" s="5" t="s">
        <v>551</v>
      </c>
      <c r="AM53" s="5"/>
      <c r="AN53" s="5">
        <v>8</v>
      </c>
      <c r="AO53" s="5">
        <v>3</v>
      </c>
      <c r="AP53" s="5">
        <v>3</v>
      </c>
      <c r="AQ53" s="5">
        <v>2</v>
      </c>
      <c r="AR53" s="5">
        <v>5</v>
      </c>
      <c r="AS53" s="5"/>
      <c r="AT53" s="5">
        <v>1</v>
      </c>
      <c r="AU53" s="5">
        <v>1</v>
      </c>
      <c r="AV53" s="5">
        <v>2</v>
      </c>
      <c r="AW53" s="5"/>
      <c r="AX53" s="5"/>
      <c r="AY53" s="5"/>
      <c r="AZ53" s="5"/>
      <c r="BA53" s="5">
        <v>2</v>
      </c>
      <c r="BB53" s="5">
        <v>1</v>
      </c>
      <c r="BC53" s="5">
        <v>80</v>
      </c>
      <c r="BD53" s="5">
        <v>0</v>
      </c>
      <c r="BE53" s="5">
        <v>2</v>
      </c>
      <c r="BF53" s="5">
        <v>2</v>
      </c>
      <c r="BG53" s="5">
        <v>2</v>
      </c>
      <c r="BH53" s="5">
        <v>1</v>
      </c>
      <c r="BI53" s="5">
        <v>1</v>
      </c>
      <c r="BJ53" s="5">
        <v>1</v>
      </c>
      <c r="BK53" s="5">
        <v>0</v>
      </c>
      <c r="BL53" s="5">
        <v>2</v>
      </c>
      <c r="BM53" s="5">
        <v>2</v>
      </c>
      <c r="BN53" s="5">
        <v>2</v>
      </c>
      <c r="BO53" s="5">
        <v>1</v>
      </c>
      <c r="BP53" s="5">
        <v>1</v>
      </c>
      <c r="BQ53" s="5">
        <v>1</v>
      </c>
      <c r="BR53" s="5">
        <v>18</v>
      </c>
      <c r="BS53" s="5">
        <v>1</v>
      </c>
      <c r="BT53" s="5">
        <v>1</v>
      </c>
      <c r="BU53" s="5"/>
    </row>
    <row r="54" spans="1:73" x14ac:dyDescent="0.25">
      <c r="A54" s="5" t="s">
        <v>552</v>
      </c>
      <c r="B54" s="5">
        <v>0</v>
      </c>
      <c r="C54" s="5">
        <v>2.9058799999999998</v>
      </c>
      <c r="D54" s="6">
        <v>24000005997</v>
      </c>
      <c r="E54" s="5">
        <v>65</v>
      </c>
      <c r="F54" s="5">
        <v>2</v>
      </c>
      <c r="G54" s="7">
        <v>45306</v>
      </c>
      <c r="H54" s="20">
        <v>0.95833333333333337</v>
      </c>
      <c r="I54" s="7">
        <v>45307</v>
      </c>
      <c r="J54" s="7"/>
      <c r="K54" s="5">
        <v>9830935588</v>
      </c>
      <c r="L54" s="5"/>
      <c r="M54" s="5"/>
      <c r="N54" s="5">
        <v>1</v>
      </c>
      <c r="O54" s="5">
        <v>2</v>
      </c>
      <c r="P54" s="5">
        <v>2</v>
      </c>
      <c r="Q54" s="5">
        <v>2</v>
      </c>
      <c r="R54" s="5">
        <v>2</v>
      </c>
      <c r="S54" s="5">
        <v>2</v>
      </c>
      <c r="T54" s="5">
        <v>2</v>
      </c>
      <c r="U54" s="5">
        <v>2</v>
      </c>
      <c r="V54" s="5">
        <v>2</v>
      </c>
      <c r="W54" s="5" t="s">
        <v>109</v>
      </c>
      <c r="X54" s="5">
        <v>13.8</v>
      </c>
      <c r="Y54" s="5">
        <v>40</v>
      </c>
      <c r="Z54" s="5">
        <v>92</v>
      </c>
      <c r="AA54" s="5">
        <v>24</v>
      </c>
      <c r="AB54" s="5">
        <v>6</v>
      </c>
      <c r="AC54" s="5"/>
      <c r="AD54" s="5"/>
      <c r="AE54" s="5"/>
      <c r="AF54" s="5"/>
      <c r="AG54" s="5"/>
      <c r="AH54" s="5">
        <v>2000</v>
      </c>
      <c r="AI54" s="5"/>
      <c r="AJ54" s="5"/>
      <c r="AK54" s="5" t="s">
        <v>553</v>
      </c>
      <c r="AL54" s="5"/>
      <c r="AM54" s="5"/>
      <c r="AN54" s="5">
        <v>8</v>
      </c>
      <c r="AO54" s="5">
        <v>3</v>
      </c>
      <c r="AP54" s="5">
        <v>3</v>
      </c>
      <c r="AQ54" s="5">
        <v>2</v>
      </c>
      <c r="AR54" s="5">
        <v>5</v>
      </c>
      <c r="AS54" s="5"/>
      <c r="AT54" s="5">
        <v>1</v>
      </c>
      <c r="AU54" s="5">
        <v>2</v>
      </c>
      <c r="AV54" s="5">
        <v>2</v>
      </c>
      <c r="AW54" s="5">
        <v>4</v>
      </c>
      <c r="AX54" s="5">
        <v>8</v>
      </c>
      <c r="AY54" s="5">
        <v>1</v>
      </c>
      <c r="AZ54" s="5">
        <v>2</v>
      </c>
      <c r="BA54" s="5">
        <v>2</v>
      </c>
      <c r="BB54" s="5">
        <v>1</v>
      </c>
      <c r="BC54" s="5">
        <v>80</v>
      </c>
      <c r="BD54" s="5">
        <v>0</v>
      </c>
      <c r="BE54" s="5">
        <v>2</v>
      </c>
      <c r="BF54" s="5">
        <v>2</v>
      </c>
      <c r="BG54" s="5">
        <v>2</v>
      </c>
      <c r="BH54" s="5">
        <v>1</v>
      </c>
      <c r="BI54" s="5">
        <v>1</v>
      </c>
      <c r="BJ54" s="5">
        <v>1</v>
      </c>
      <c r="BK54" s="5">
        <v>0</v>
      </c>
      <c r="BL54" s="5">
        <v>2</v>
      </c>
      <c r="BM54" s="5">
        <v>2</v>
      </c>
      <c r="BN54" s="5">
        <v>2</v>
      </c>
      <c r="BO54" s="5">
        <v>1</v>
      </c>
      <c r="BP54" s="5">
        <v>1</v>
      </c>
      <c r="BQ54" s="5">
        <v>1</v>
      </c>
      <c r="BR54" s="5">
        <v>18</v>
      </c>
      <c r="BS54" s="5">
        <v>1</v>
      </c>
      <c r="BT54" s="5">
        <v>1</v>
      </c>
      <c r="BU54" s="5"/>
    </row>
    <row r="55" spans="1:73" x14ac:dyDescent="0.25">
      <c r="A55" s="5" t="s">
        <v>653</v>
      </c>
      <c r="B55" s="5">
        <v>0</v>
      </c>
      <c r="C55" s="5">
        <v>1.9953700000000001</v>
      </c>
      <c r="D55" s="6">
        <v>230100340</v>
      </c>
      <c r="E55" s="5">
        <v>70</v>
      </c>
      <c r="F55" s="5">
        <v>2</v>
      </c>
      <c r="G55" s="7"/>
      <c r="H55" s="5"/>
      <c r="I55" s="7">
        <v>44929</v>
      </c>
      <c r="J55" s="7">
        <v>44936</v>
      </c>
      <c r="K55" s="5">
        <v>8805908565</v>
      </c>
      <c r="L55" s="5"/>
      <c r="M55" s="5">
        <v>5</v>
      </c>
      <c r="N55" s="5">
        <v>1</v>
      </c>
      <c r="O55" s="5">
        <v>2</v>
      </c>
      <c r="P55" s="5">
        <v>2</v>
      </c>
      <c r="Q55" s="5">
        <v>2</v>
      </c>
      <c r="R55" s="5">
        <v>1</v>
      </c>
      <c r="S55" s="5">
        <v>2</v>
      </c>
      <c r="T55" s="5">
        <v>2</v>
      </c>
      <c r="U55" s="5">
        <v>2</v>
      </c>
      <c r="V55" s="5">
        <v>2</v>
      </c>
      <c r="W55" s="5" t="s">
        <v>654</v>
      </c>
      <c r="X55" s="5">
        <v>13.7</v>
      </c>
      <c r="Y55" s="5">
        <v>42.6</v>
      </c>
      <c r="Z55" s="5"/>
      <c r="AA55" s="5">
        <v>10.6</v>
      </c>
      <c r="AB55" s="5">
        <v>5.7</v>
      </c>
      <c r="AC55" s="5"/>
      <c r="AD55" s="5"/>
      <c r="AE55" s="5"/>
      <c r="AF55" s="5"/>
      <c r="AG55" s="5"/>
      <c r="AH55" s="5">
        <v>498</v>
      </c>
      <c r="AI55" s="5" t="s">
        <v>655</v>
      </c>
      <c r="AJ55" s="5"/>
      <c r="AK55" s="5" t="s">
        <v>656</v>
      </c>
      <c r="AL55" s="5" t="s">
        <v>657</v>
      </c>
      <c r="AM55" s="5"/>
      <c r="AN55" s="5">
        <v>8</v>
      </c>
      <c r="AO55" s="5">
        <v>1</v>
      </c>
      <c r="AP55" s="5">
        <v>5</v>
      </c>
      <c r="AQ55" s="5">
        <v>3</v>
      </c>
      <c r="AR55" s="5">
        <v>5</v>
      </c>
      <c r="AS55" s="5"/>
      <c r="AT55" s="5">
        <v>1</v>
      </c>
      <c r="AU55" s="5">
        <v>1</v>
      </c>
      <c r="AV55" s="5">
        <v>2</v>
      </c>
      <c r="AW55" s="5"/>
      <c r="AX55" s="5"/>
      <c r="AY55" s="5"/>
      <c r="AZ55" s="5"/>
      <c r="BA55" s="5">
        <v>3</v>
      </c>
      <c r="BB55" s="5">
        <v>2</v>
      </c>
      <c r="BC55" s="5">
        <v>60</v>
      </c>
      <c r="BD55" s="5"/>
      <c r="BE55" s="5"/>
      <c r="BF55" s="5"/>
      <c r="BG55" s="5"/>
      <c r="BH55" s="5"/>
      <c r="BI55" s="5"/>
      <c r="BJ55" s="5"/>
      <c r="BK55" s="5"/>
      <c r="BL55" s="5"/>
      <c r="BM55" s="5"/>
      <c r="BN55" s="5"/>
      <c r="BO55" s="5"/>
      <c r="BP55" s="5"/>
      <c r="BQ55" s="5"/>
      <c r="BR55" s="5"/>
      <c r="BS55" s="5"/>
      <c r="BT55" s="5"/>
      <c r="BU55" s="5" t="s">
        <v>578</v>
      </c>
    </row>
    <row r="56" spans="1:73" x14ac:dyDescent="0.25">
      <c r="A56" s="22" t="s">
        <v>699</v>
      </c>
      <c r="B56" s="22"/>
      <c r="C56" s="22">
        <v>25.387699999999999</v>
      </c>
      <c r="D56" s="22">
        <v>240000057703</v>
      </c>
      <c r="E56" s="22">
        <v>71</v>
      </c>
      <c r="F56" s="22">
        <v>1</v>
      </c>
      <c r="G56" s="23">
        <v>45473</v>
      </c>
      <c r="H56" s="24">
        <v>0.33333333333333331</v>
      </c>
      <c r="I56" s="23">
        <v>45473</v>
      </c>
      <c r="J56" s="23"/>
      <c r="K56" s="22">
        <v>9850850331</v>
      </c>
      <c r="L56" s="22"/>
      <c r="M56" s="22">
        <v>2</v>
      </c>
      <c r="N56" s="22">
        <v>2</v>
      </c>
      <c r="O56" s="22">
        <v>2</v>
      </c>
      <c r="P56" s="22">
        <v>2</v>
      </c>
      <c r="Q56" s="22">
        <v>1</v>
      </c>
      <c r="R56" s="22">
        <v>2</v>
      </c>
      <c r="S56" s="22">
        <v>2</v>
      </c>
      <c r="T56" s="22">
        <v>2</v>
      </c>
      <c r="U56" s="22">
        <v>2</v>
      </c>
      <c r="V56" s="22">
        <v>2</v>
      </c>
      <c r="W56" s="22"/>
      <c r="X56" s="22"/>
      <c r="Y56" s="22"/>
      <c r="Z56" s="22"/>
      <c r="AA56" s="22"/>
      <c r="AB56" s="22"/>
      <c r="AC56" s="22"/>
      <c r="AD56" s="22"/>
      <c r="AE56" s="22"/>
      <c r="AF56" s="22"/>
      <c r="AG56" s="22"/>
      <c r="AH56" s="22"/>
      <c r="AI56" s="22"/>
      <c r="AJ56" s="22"/>
      <c r="AK56" s="22" t="s">
        <v>700</v>
      </c>
      <c r="AL56" s="22" t="s">
        <v>701</v>
      </c>
      <c r="AM56" s="22"/>
      <c r="AN56" s="22">
        <v>8</v>
      </c>
      <c r="AO56" s="22">
        <v>1</v>
      </c>
      <c r="AP56" s="22">
        <v>4</v>
      </c>
      <c r="AQ56" s="22">
        <v>3</v>
      </c>
      <c r="AR56" s="22">
        <v>5</v>
      </c>
      <c r="AS56" s="22"/>
      <c r="AT56" s="22">
        <v>1</v>
      </c>
      <c r="AU56" s="22">
        <v>1</v>
      </c>
      <c r="AV56" s="22">
        <v>2</v>
      </c>
      <c r="AW56" s="22"/>
      <c r="AX56" s="22"/>
      <c r="AY56" s="22">
        <v>2</v>
      </c>
      <c r="AZ56" s="22">
        <v>2</v>
      </c>
      <c r="BA56" s="22">
        <v>0</v>
      </c>
      <c r="BB56" s="5">
        <v>1</v>
      </c>
      <c r="BC56" s="22">
        <v>95</v>
      </c>
      <c r="BD56" s="22">
        <v>0</v>
      </c>
      <c r="BE56" s="22">
        <v>2</v>
      </c>
      <c r="BF56" s="22">
        <v>2</v>
      </c>
      <c r="BG56" s="22">
        <v>2</v>
      </c>
      <c r="BH56" s="22">
        <v>1</v>
      </c>
      <c r="BI56" s="22">
        <v>1</v>
      </c>
      <c r="BJ56" s="22">
        <v>1</v>
      </c>
      <c r="BK56" s="22">
        <v>1</v>
      </c>
      <c r="BL56" s="22">
        <v>2</v>
      </c>
      <c r="BM56" s="22">
        <v>2</v>
      </c>
      <c r="BN56" s="22">
        <v>2</v>
      </c>
      <c r="BO56" s="22">
        <v>1</v>
      </c>
      <c r="BP56" s="5">
        <v>1</v>
      </c>
      <c r="BQ56" s="5">
        <v>1</v>
      </c>
      <c r="BR56" s="5">
        <v>19</v>
      </c>
      <c r="BS56" s="5">
        <v>1</v>
      </c>
      <c r="BT56" s="5">
        <v>1</v>
      </c>
      <c r="BU56" t="s">
        <v>238</v>
      </c>
    </row>
    <row r="57" spans="1:73" x14ac:dyDescent="0.25">
      <c r="A57" s="22" t="s">
        <v>705</v>
      </c>
      <c r="B57" s="22"/>
      <c r="C57" s="22">
        <v>71.0779</v>
      </c>
      <c r="D57" s="22">
        <v>240000057100</v>
      </c>
      <c r="E57" s="22">
        <v>77</v>
      </c>
      <c r="F57" s="22">
        <v>2</v>
      </c>
      <c r="G57" s="23">
        <v>45472</v>
      </c>
      <c r="H57" s="24">
        <v>0.5</v>
      </c>
      <c r="I57" s="23">
        <v>45473</v>
      </c>
      <c r="J57" s="23">
        <v>45476</v>
      </c>
      <c r="K57" s="22">
        <v>9067454942</v>
      </c>
      <c r="L57" s="22"/>
      <c r="M57" s="22">
        <v>1</v>
      </c>
      <c r="N57" s="22">
        <v>1</v>
      </c>
      <c r="O57" s="22">
        <v>1</v>
      </c>
      <c r="P57" s="22">
        <v>2</v>
      </c>
      <c r="Q57" s="22">
        <v>2</v>
      </c>
      <c r="R57" s="22">
        <v>2</v>
      </c>
      <c r="S57" s="22">
        <v>2</v>
      </c>
      <c r="T57" s="22">
        <v>2</v>
      </c>
      <c r="U57" s="22">
        <v>2</v>
      </c>
      <c r="V57" s="22">
        <v>2</v>
      </c>
      <c r="W57" s="22"/>
      <c r="X57" s="22">
        <v>14</v>
      </c>
      <c r="Y57" s="22">
        <v>42.4</v>
      </c>
      <c r="Z57" s="22">
        <v>88.9</v>
      </c>
      <c r="AA57" s="22">
        <v>15.99</v>
      </c>
      <c r="AB57" s="22">
        <v>10.4</v>
      </c>
      <c r="AC57" s="22">
        <v>250</v>
      </c>
      <c r="AD57" s="22">
        <v>126</v>
      </c>
      <c r="AE57" s="22">
        <v>37</v>
      </c>
      <c r="AF57" s="22">
        <v>87</v>
      </c>
      <c r="AG57" s="22">
        <v>435</v>
      </c>
      <c r="AH57" s="22"/>
      <c r="AI57" s="22"/>
      <c r="AJ57" s="22"/>
      <c r="AK57" s="22" t="s">
        <v>706</v>
      </c>
      <c r="AL57" s="22" t="s">
        <v>707</v>
      </c>
      <c r="AM57" s="22"/>
      <c r="AN57" s="22">
        <v>8</v>
      </c>
      <c r="AO57" s="22">
        <v>1</v>
      </c>
      <c r="AP57" s="22">
        <v>2</v>
      </c>
      <c r="AQ57" s="22">
        <v>3</v>
      </c>
      <c r="AR57" s="22">
        <v>5</v>
      </c>
      <c r="AS57" s="22"/>
      <c r="AT57" s="22">
        <v>1</v>
      </c>
      <c r="AU57" s="22">
        <v>1</v>
      </c>
      <c r="AV57" s="22">
        <v>2</v>
      </c>
      <c r="AW57" s="22"/>
      <c r="AX57" s="22"/>
      <c r="AY57" s="22">
        <v>2</v>
      </c>
      <c r="AZ57" s="22">
        <v>2</v>
      </c>
      <c r="BA57" s="22">
        <v>0</v>
      </c>
      <c r="BB57" s="5">
        <v>1</v>
      </c>
      <c r="BC57" s="22">
        <v>100</v>
      </c>
      <c r="BD57" s="22">
        <v>0</v>
      </c>
      <c r="BE57" s="22">
        <v>2</v>
      </c>
      <c r="BF57" s="22">
        <v>1</v>
      </c>
      <c r="BG57" s="22">
        <v>2</v>
      </c>
      <c r="BH57" s="22">
        <v>1</v>
      </c>
      <c r="BI57" s="22">
        <v>1</v>
      </c>
      <c r="BJ57" s="22">
        <v>1</v>
      </c>
      <c r="BK57" s="22">
        <v>0</v>
      </c>
      <c r="BL57" s="22">
        <v>2</v>
      </c>
      <c r="BM57" s="22">
        <v>2</v>
      </c>
      <c r="BN57" s="22">
        <v>2</v>
      </c>
      <c r="BO57" s="22">
        <v>1</v>
      </c>
      <c r="BP57" s="5">
        <v>1</v>
      </c>
      <c r="BQ57" s="5">
        <v>1</v>
      </c>
      <c r="BR57" s="5">
        <v>17</v>
      </c>
      <c r="BS57" s="5">
        <v>1</v>
      </c>
      <c r="BT57" s="5">
        <v>0</v>
      </c>
      <c r="BU57" t="s">
        <v>507</v>
      </c>
    </row>
    <row r="58" spans="1:73" x14ac:dyDescent="0.25">
      <c r="A58" s="12" t="s">
        <v>127</v>
      </c>
      <c r="B58" s="5">
        <v>1</v>
      </c>
      <c r="C58" s="12">
        <v>29.489899999999999</v>
      </c>
      <c r="D58" s="13">
        <v>230902987</v>
      </c>
      <c r="E58" s="12">
        <v>70</v>
      </c>
      <c r="F58" s="12">
        <v>2</v>
      </c>
      <c r="G58" s="14">
        <v>45188</v>
      </c>
      <c r="H58" s="12"/>
      <c r="I58" s="14">
        <v>45188</v>
      </c>
      <c r="J58" s="14">
        <v>45195</v>
      </c>
      <c r="K58" s="12">
        <v>9765292299</v>
      </c>
      <c r="L58" s="12"/>
      <c r="M58" s="12">
        <v>19</v>
      </c>
      <c r="N58" s="12">
        <v>1</v>
      </c>
      <c r="O58" s="12">
        <v>2</v>
      </c>
      <c r="P58" s="12">
        <v>2</v>
      </c>
      <c r="Q58" s="12">
        <v>2</v>
      </c>
      <c r="R58" s="12">
        <v>2</v>
      </c>
      <c r="S58" s="12">
        <v>2</v>
      </c>
      <c r="T58" s="12">
        <v>2</v>
      </c>
      <c r="U58" s="12">
        <v>2</v>
      </c>
      <c r="V58" s="12">
        <v>2</v>
      </c>
      <c r="W58" s="12" t="s">
        <v>128</v>
      </c>
      <c r="X58" s="12">
        <v>9.8000000000000007</v>
      </c>
      <c r="Y58" s="12">
        <v>30.8</v>
      </c>
      <c r="Z58" s="12">
        <v>96.3</v>
      </c>
      <c r="AA58" s="12">
        <v>7.81</v>
      </c>
      <c r="AB58" s="12">
        <v>6.3</v>
      </c>
      <c r="AC58" s="12">
        <v>128</v>
      </c>
      <c r="AD58" s="12">
        <v>68.8</v>
      </c>
      <c r="AE58" s="12">
        <v>24</v>
      </c>
      <c r="AF58" s="12">
        <v>35.200000000000003</v>
      </c>
      <c r="AG58" s="12">
        <v>176</v>
      </c>
      <c r="AH58" s="12">
        <v>1539</v>
      </c>
      <c r="AI58" s="12"/>
      <c r="AJ58" s="12"/>
      <c r="AK58" s="12" t="s">
        <v>129</v>
      </c>
      <c r="AL58" s="12" t="s">
        <v>130</v>
      </c>
      <c r="AM58" s="12"/>
      <c r="AN58" s="12">
        <v>9</v>
      </c>
      <c r="AO58" s="12">
        <v>1</v>
      </c>
      <c r="AP58" s="12">
        <v>2</v>
      </c>
      <c r="AQ58" s="12">
        <v>1</v>
      </c>
      <c r="AR58" s="12">
        <v>4</v>
      </c>
      <c r="AS58" s="12"/>
      <c r="AT58" s="12">
        <v>1</v>
      </c>
      <c r="AU58" s="12">
        <v>1</v>
      </c>
      <c r="AV58" s="12">
        <v>2</v>
      </c>
      <c r="AW58" s="12"/>
      <c r="AX58" s="12"/>
      <c r="AY58" s="12"/>
      <c r="AZ58" s="12"/>
      <c r="BA58" s="12">
        <v>0</v>
      </c>
      <c r="BB58" s="5">
        <v>1</v>
      </c>
      <c r="BC58" s="12">
        <v>100</v>
      </c>
      <c r="BD58" s="12">
        <v>1</v>
      </c>
      <c r="BE58" s="12">
        <v>2</v>
      </c>
      <c r="BF58" s="12">
        <v>2</v>
      </c>
      <c r="BG58" s="12">
        <v>2</v>
      </c>
      <c r="BH58" s="12">
        <v>1</v>
      </c>
      <c r="BI58" s="12">
        <v>1</v>
      </c>
      <c r="BJ58" s="12">
        <v>1</v>
      </c>
      <c r="BK58" s="12">
        <v>1</v>
      </c>
      <c r="BL58" s="12">
        <v>2</v>
      </c>
      <c r="BM58" s="12">
        <v>2</v>
      </c>
      <c r="BN58" s="12">
        <v>0</v>
      </c>
      <c r="BO58" s="12">
        <v>0</v>
      </c>
      <c r="BP58" s="12">
        <v>0</v>
      </c>
      <c r="BQ58" s="12">
        <v>1</v>
      </c>
      <c r="BR58" s="12">
        <v>16</v>
      </c>
      <c r="BS58" s="12">
        <v>1</v>
      </c>
      <c r="BT58" s="12">
        <v>1</v>
      </c>
      <c r="BU58" s="12"/>
    </row>
    <row r="59" spans="1:73" x14ac:dyDescent="0.25">
      <c r="A59" s="12" t="s">
        <v>165</v>
      </c>
      <c r="B59" s="5">
        <v>1</v>
      </c>
      <c r="C59" s="12">
        <v>13.502700000000001</v>
      </c>
      <c r="D59" s="13">
        <v>240000000000</v>
      </c>
      <c r="E59" s="12">
        <v>50</v>
      </c>
      <c r="F59" s="12">
        <v>1</v>
      </c>
      <c r="G59" s="14">
        <v>45302</v>
      </c>
      <c r="H59" s="16">
        <v>0.66666666666666663</v>
      </c>
      <c r="I59" s="14">
        <v>45305</v>
      </c>
      <c r="J59" s="14">
        <v>45309</v>
      </c>
      <c r="K59" s="12">
        <v>9881713537</v>
      </c>
      <c r="L59" s="12"/>
      <c r="M59" s="12">
        <v>16</v>
      </c>
      <c r="N59" s="12">
        <v>1</v>
      </c>
      <c r="O59" s="12">
        <v>1</v>
      </c>
      <c r="P59" s="12">
        <v>2</v>
      </c>
      <c r="Q59" s="12">
        <v>2</v>
      </c>
      <c r="R59" s="12">
        <v>2</v>
      </c>
      <c r="S59" s="12">
        <v>2</v>
      </c>
      <c r="T59" s="12">
        <v>2</v>
      </c>
      <c r="U59" s="12">
        <v>2</v>
      </c>
      <c r="V59" s="12">
        <v>2</v>
      </c>
      <c r="W59" s="12"/>
      <c r="X59" s="12">
        <v>14.6</v>
      </c>
      <c r="Y59" s="12">
        <v>42.4</v>
      </c>
      <c r="Z59" s="12">
        <v>97.1</v>
      </c>
      <c r="AA59" s="12">
        <v>20.97</v>
      </c>
      <c r="AB59" s="12">
        <v>8.6999999999999993</v>
      </c>
      <c r="AC59" s="12">
        <v>145</v>
      </c>
      <c r="AD59" s="12">
        <v>85.2</v>
      </c>
      <c r="AE59" s="12">
        <v>31</v>
      </c>
      <c r="AF59" s="12">
        <v>28.2</v>
      </c>
      <c r="AG59" s="12">
        <v>144</v>
      </c>
      <c r="AH59" s="12">
        <v>324</v>
      </c>
      <c r="AI59" s="12"/>
      <c r="AJ59" s="12"/>
      <c r="AK59" s="12" t="s">
        <v>166</v>
      </c>
      <c r="AL59" s="12" t="s">
        <v>167</v>
      </c>
      <c r="AM59" s="12"/>
      <c r="AN59" s="12">
        <v>9</v>
      </c>
      <c r="AO59" s="12">
        <v>1</v>
      </c>
      <c r="AP59" s="12">
        <v>3</v>
      </c>
      <c r="AQ59" s="12">
        <v>3</v>
      </c>
      <c r="AR59" s="12">
        <v>5</v>
      </c>
      <c r="AS59" s="12"/>
      <c r="AT59" s="12">
        <v>1</v>
      </c>
      <c r="AU59" s="12">
        <v>1</v>
      </c>
      <c r="AV59" s="12">
        <v>2</v>
      </c>
      <c r="AW59" s="12">
        <v>4</v>
      </c>
      <c r="AX59" s="12">
        <v>8</v>
      </c>
      <c r="AY59" s="12">
        <v>2</v>
      </c>
      <c r="AZ59" s="12">
        <v>2</v>
      </c>
      <c r="BA59" s="12">
        <v>0</v>
      </c>
      <c r="BB59" s="5">
        <v>1</v>
      </c>
      <c r="BC59" s="12">
        <v>100</v>
      </c>
      <c r="BD59" s="12">
        <v>0</v>
      </c>
      <c r="BE59" s="12">
        <v>2</v>
      </c>
      <c r="BF59" s="12">
        <v>2</v>
      </c>
      <c r="BG59" s="12">
        <v>2</v>
      </c>
      <c r="BH59" s="12">
        <v>1</v>
      </c>
      <c r="BI59" s="12">
        <v>1</v>
      </c>
      <c r="BJ59" s="12">
        <v>1</v>
      </c>
      <c r="BK59" s="12">
        <v>0</v>
      </c>
      <c r="BL59" s="12">
        <v>1</v>
      </c>
      <c r="BM59" s="12">
        <v>2</v>
      </c>
      <c r="BN59" s="12">
        <v>2</v>
      </c>
      <c r="BO59" s="12">
        <v>1</v>
      </c>
      <c r="BP59" s="12">
        <v>1</v>
      </c>
      <c r="BQ59" s="12">
        <v>1</v>
      </c>
      <c r="BR59" s="12">
        <v>17</v>
      </c>
      <c r="BS59" s="12">
        <v>1</v>
      </c>
      <c r="BT59" s="12">
        <v>1</v>
      </c>
      <c r="BU59" s="12"/>
    </row>
    <row r="60" spans="1:73" x14ac:dyDescent="0.25">
      <c r="A60" s="5" t="s">
        <v>175</v>
      </c>
      <c r="B60" s="5">
        <v>1</v>
      </c>
      <c r="C60" s="5">
        <v>50.776800000000001</v>
      </c>
      <c r="D60" s="6">
        <v>220902571</v>
      </c>
      <c r="E60" s="5">
        <v>43</v>
      </c>
      <c r="F60" s="5">
        <v>1</v>
      </c>
      <c r="G60" s="7"/>
      <c r="H60" s="5"/>
      <c r="I60" s="7">
        <v>44819</v>
      </c>
      <c r="J60" s="7">
        <v>44846</v>
      </c>
      <c r="K60" s="5">
        <v>8421096277</v>
      </c>
      <c r="L60" s="5"/>
      <c r="M60" s="5">
        <v>4</v>
      </c>
      <c r="N60" s="5">
        <v>1</v>
      </c>
      <c r="O60" s="5">
        <v>1</v>
      </c>
      <c r="P60" s="5">
        <v>1</v>
      </c>
      <c r="Q60" s="5">
        <v>2</v>
      </c>
      <c r="R60" s="5">
        <v>1</v>
      </c>
      <c r="S60" s="5">
        <v>2</v>
      </c>
      <c r="T60" s="5">
        <v>2</v>
      </c>
      <c r="U60" s="5">
        <v>2</v>
      </c>
      <c r="V60" s="5">
        <v>2</v>
      </c>
      <c r="W60" s="5"/>
      <c r="X60" s="5">
        <v>15.2</v>
      </c>
      <c r="Y60" s="5">
        <v>45.1</v>
      </c>
      <c r="Z60" s="5"/>
      <c r="AA60" s="5">
        <v>35.75</v>
      </c>
      <c r="AB60" s="5">
        <v>13.1</v>
      </c>
      <c r="AC60" s="5"/>
      <c r="AD60" s="5"/>
      <c r="AE60" s="5"/>
      <c r="AF60" s="5"/>
      <c r="AG60" s="5"/>
      <c r="AH60" s="5"/>
      <c r="AI60" s="5" t="s">
        <v>176</v>
      </c>
      <c r="AJ60" s="5"/>
      <c r="AK60" s="5"/>
      <c r="AL60" s="5" t="s">
        <v>177</v>
      </c>
      <c r="AM60" s="5"/>
      <c r="AN60" s="5">
        <v>9</v>
      </c>
      <c r="AO60" s="5">
        <v>1</v>
      </c>
      <c r="AP60" s="5">
        <v>3</v>
      </c>
      <c r="AQ60" s="5">
        <v>3</v>
      </c>
      <c r="AR60" s="5">
        <v>5</v>
      </c>
      <c r="AS60" s="5"/>
      <c r="AT60" s="5">
        <v>1</v>
      </c>
      <c r="AU60" s="5">
        <v>1</v>
      </c>
      <c r="AV60" s="5">
        <v>2</v>
      </c>
      <c r="AW60" s="5"/>
      <c r="AX60" s="5"/>
      <c r="AY60" s="5"/>
      <c r="AZ60" s="5"/>
      <c r="BA60" s="5">
        <v>0</v>
      </c>
      <c r="BB60" s="5">
        <v>1</v>
      </c>
      <c r="BC60" s="5">
        <v>100</v>
      </c>
      <c r="BD60" s="5">
        <v>1</v>
      </c>
      <c r="BE60" s="5">
        <v>2</v>
      </c>
      <c r="BF60" s="5">
        <v>2</v>
      </c>
      <c r="BG60" s="5">
        <v>2</v>
      </c>
      <c r="BH60" s="5">
        <v>1</v>
      </c>
      <c r="BI60" s="5">
        <v>1</v>
      </c>
      <c r="BJ60" s="5">
        <v>1</v>
      </c>
      <c r="BK60" s="5">
        <v>0</v>
      </c>
      <c r="BL60" s="5">
        <v>1</v>
      </c>
      <c r="BM60" s="5">
        <v>2</v>
      </c>
      <c r="BN60" s="5">
        <v>2</v>
      </c>
      <c r="BO60" s="5">
        <v>1</v>
      </c>
      <c r="BP60" s="5">
        <v>0</v>
      </c>
      <c r="BQ60" s="5">
        <v>1</v>
      </c>
      <c r="BR60" s="5">
        <v>17</v>
      </c>
      <c r="BS60" s="5">
        <v>1</v>
      </c>
      <c r="BT60" s="5">
        <v>1</v>
      </c>
      <c r="BU60" s="5"/>
    </row>
    <row r="61" spans="1:73" x14ac:dyDescent="0.25">
      <c r="A61" s="5" t="s">
        <v>206</v>
      </c>
      <c r="B61" s="5">
        <v>1</v>
      </c>
      <c r="C61" s="5">
        <v>17.953499999999998</v>
      </c>
      <c r="D61" s="6">
        <v>230400708</v>
      </c>
      <c r="E61" s="5">
        <v>77</v>
      </c>
      <c r="F61" s="5">
        <v>1</v>
      </c>
      <c r="G61" s="7"/>
      <c r="H61" s="5"/>
      <c r="I61" s="7">
        <v>45020</v>
      </c>
      <c r="J61" s="7">
        <v>45022</v>
      </c>
      <c r="K61" s="5"/>
      <c r="L61" s="5"/>
      <c r="M61" s="5">
        <v>6</v>
      </c>
      <c r="N61" s="5">
        <v>2</v>
      </c>
      <c r="O61" s="5">
        <v>2</v>
      </c>
      <c r="P61" s="5">
        <v>2</v>
      </c>
      <c r="Q61" s="5">
        <v>1</v>
      </c>
      <c r="R61" s="5">
        <v>2</v>
      </c>
      <c r="S61" s="5">
        <v>2</v>
      </c>
      <c r="T61" s="5">
        <v>2</v>
      </c>
      <c r="U61" s="5">
        <v>2</v>
      </c>
      <c r="V61" s="5">
        <v>2</v>
      </c>
      <c r="W61" s="5"/>
      <c r="X61" s="5">
        <v>11.5</v>
      </c>
      <c r="Y61" s="5"/>
      <c r="Z61" s="5"/>
      <c r="AA61" s="5">
        <v>19</v>
      </c>
      <c r="AB61" s="5">
        <v>5.9</v>
      </c>
      <c r="AC61" s="5">
        <v>160</v>
      </c>
      <c r="AD61" s="5">
        <v>109</v>
      </c>
      <c r="AE61" s="5">
        <v>37</v>
      </c>
      <c r="AF61" s="5">
        <v>13</v>
      </c>
      <c r="AG61" s="5">
        <v>68</v>
      </c>
      <c r="AH61" s="5">
        <v>179</v>
      </c>
      <c r="AI61" s="5"/>
      <c r="AJ61" s="5"/>
      <c r="AK61" s="5" t="s">
        <v>207</v>
      </c>
      <c r="AL61" s="5" t="s">
        <v>208</v>
      </c>
      <c r="AM61" s="5"/>
      <c r="AN61" s="5">
        <v>9</v>
      </c>
      <c r="AO61" s="5">
        <v>1</v>
      </c>
      <c r="AP61" s="5">
        <v>3</v>
      </c>
      <c r="AQ61" s="5">
        <v>3</v>
      </c>
      <c r="AR61" s="5">
        <v>5</v>
      </c>
      <c r="AS61" s="5"/>
      <c r="AT61" s="5">
        <v>1</v>
      </c>
      <c r="AU61" s="5">
        <v>1</v>
      </c>
      <c r="AV61" s="5">
        <v>2</v>
      </c>
      <c r="AW61" s="5"/>
      <c r="AX61" s="5"/>
      <c r="AY61" s="5"/>
      <c r="AZ61" s="5"/>
      <c r="BA61" s="5">
        <v>0</v>
      </c>
      <c r="BB61" s="5">
        <v>1</v>
      </c>
      <c r="BC61" s="5">
        <v>100</v>
      </c>
      <c r="BD61" s="5">
        <v>1</v>
      </c>
      <c r="BE61" s="5">
        <v>2</v>
      </c>
      <c r="BF61" s="5">
        <v>2</v>
      </c>
      <c r="BG61" s="5">
        <v>2</v>
      </c>
      <c r="BH61" s="5">
        <v>1</v>
      </c>
      <c r="BI61" s="5">
        <v>1</v>
      </c>
      <c r="BJ61" s="5">
        <v>0</v>
      </c>
      <c r="BK61" s="5">
        <v>1</v>
      </c>
      <c r="BL61" s="5">
        <v>1</v>
      </c>
      <c r="BM61" s="5">
        <v>2</v>
      </c>
      <c r="BN61" s="5">
        <v>2</v>
      </c>
      <c r="BO61" s="5">
        <v>1</v>
      </c>
      <c r="BP61" s="5">
        <v>1</v>
      </c>
      <c r="BQ61" s="5">
        <v>1</v>
      </c>
      <c r="BR61" s="5">
        <v>18</v>
      </c>
      <c r="BS61" s="5"/>
      <c r="BT61" s="5"/>
      <c r="BU61" s="5"/>
    </row>
    <row r="62" spans="1:73" x14ac:dyDescent="0.25">
      <c r="A62" s="5" t="s">
        <v>214</v>
      </c>
      <c r="B62" s="5">
        <v>1</v>
      </c>
      <c r="C62" s="5">
        <v>34.250700000000002</v>
      </c>
      <c r="D62" s="6">
        <v>240000000000</v>
      </c>
      <c r="E62" s="5">
        <v>62</v>
      </c>
      <c r="F62" s="5">
        <v>1</v>
      </c>
      <c r="G62" s="7">
        <v>45301</v>
      </c>
      <c r="H62" s="11">
        <v>0.875</v>
      </c>
      <c r="I62" s="7">
        <v>45302</v>
      </c>
      <c r="J62" s="7">
        <v>45307</v>
      </c>
      <c r="K62" s="5">
        <v>8208224545</v>
      </c>
      <c r="L62" s="5">
        <v>7744911292</v>
      </c>
      <c r="M62" s="5">
        <v>5</v>
      </c>
      <c r="N62" s="5">
        <v>2</v>
      </c>
      <c r="O62" s="5">
        <v>1</v>
      </c>
      <c r="P62" s="5">
        <v>2</v>
      </c>
      <c r="Q62" s="5">
        <v>1</v>
      </c>
      <c r="R62" s="5">
        <v>2</v>
      </c>
      <c r="S62" s="5">
        <v>2</v>
      </c>
      <c r="T62" s="5">
        <v>2</v>
      </c>
      <c r="U62" s="5">
        <v>2</v>
      </c>
      <c r="V62" s="5">
        <v>2</v>
      </c>
      <c r="W62" s="5" t="s">
        <v>215</v>
      </c>
      <c r="X62" s="5">
        <v>13.4</v>
      </c>
      <c r="Y62" s="5">
        <v>39.799999999999997</v>
      </c>
      <c r="Z62" s="5">
        <v>90.5</v>
      </c>
      <c r="AA62" s="5">
        <v>10.59</v>
      </c>
      <c r="AB62" s="5"/>
      <c r="AC62" s="5">
        <v>209</v>
      </c>
      <c r="AD62" s="5">
        <v>135.4</v>
      </c>
      <c r="AE62" s="5">
        <v>29</v>
      </c>
      <c r="AF62" s="5">
        <v>44.6</v>
      </c>
      <c r="AG62" s="5">
        <v>223</v>
      </c>
      <c r="AH62" s="5">
        <v>217</v>
      </c>
      <c r="AI62" s="5"/>
      <c r="AJ62" s="5"/>
      <c r="AK62" s="5" t="s">
        <v>216</v>
      </c>
      <c r="AL62" s="5" t="s">
        <v>217</v>
      </c>
      <c r="AM62" s="5"/>
      <c r="AN62" s="5">
        <v>9</v>
      </c>
      <c r="AO62" s="5">
        <v>1</v>
      </c>
      <c r="AP62" s="5">
        <v>3</v>
      </c>
      <c r="AQ62" s="5">
        <v>3</v>
      </c>
      <c r="AR62" s="5">
        <v>5</v>
      </c>
      <c r="AS62" s="5"/>
      <c r="AT62" s="5">
        <v>1</v>
      </c>
      <c r="AU62" s="5">
        <v>1</v>
      </c>
      <c r="AV62" s="5">
        <v>2</v>
      </c>
      <c r="AW62" s="5">
        <v>4</v>
      </c>
      <c r="AX62" s="5"/>
      <c r="AY62" s="5"/>
      <c r="AZ62" s="5"/>
      <c r="BA62" s="5">
        <v>0</v>
      </c>
      <c r="BB62" s="5">
        <v>1</v>
      </c>
      <c r="BC62" s="5">
        <v>100</v>
      </c>
      <c r="BD62" s="5">
        <v>0</v>
      </c>
      <c r="BE62" s="5">
        <v>2</v>
      </c>
      <c r="BF62" s="5">
        <v>2</v>
      </c>
      <c r="BG62" s="5">
        <v>2</v>
      </c>
      <c r="BH62" s="5">
        <v>1</v>
      </c>
      <c r="BI62" s="5">
        <v>0</v>
      </c>
      <c r="BJ62" s="5">
        <v>1</v>
      </c>
      <c r="BK62" s="5">
        <v>1</v>
      </c>
      <c r="BL62" s="5">
        <v>2</v>
      </c>
      <c r="BM62" s="5">
        <v>2</v>
      </c>
      <c r="BN62" s="5">
        <v>2</v>
      </c>
      <c r="BO62" s="5">
        <v>1</v>
      </c>
      <c r="BP62" s="5">
        <v>1</v>
      </c>
      <c r="BQ62" s="5">
        <v>1</v>
      </c>
      <c r="BR62" s="5">
        <v>18</v>
      </c>
      <c r="BS62" s="5">
        <v>1</v>
      </c>
      <c r="BT62" s="5">
        <v>1</v>
      </c>
      <c r="BU62" s="5"/>
    </row>
    <row r="63" spans="1:73" x14ac:dyDescent="0.25">
      <c r="A63" s="8" t="s">
        <v>265</v>
      </c>
      <c r="B63" s="5">
        <v>0</v>
      </c>
      <c r="C63" s="8">
        <v>0.305118</v>
      </c>
      <c r="D63" s="9">
        <f>VLOOKUP($A63,'[1]24-8-24 DATA ENTRY'!$A$1:$BR$258,3,FALSE)</f>
        <v>240000032305</v>
      </c>
      <c r="E63" s="9">
        <f>VLOOKUP($A63,'[1]24-8-24 DATA ENTRY'!$A$1:$BR$258,4,FALSE)</f>
        <v>59</v>
      </c>
      <c r="F63" s="9">
        <f>VLOOKUP($A63,'[1]24-8-24 DATA ENTRY'!$A$1:$BR$258,5,FALSE)</f>
        <v>1</v>
      </c>
      <c r="G63" s="10">
        <f>VLOOKUP($A63,'[1]24-8-24 DATA ENTRY'!$A$1:$BR$258,6,FALSE)</f>
        <v>45408</v>
      </c>
      <c r="H63" s="9">
        <f>VLOOKUP($A63,'[1]24-8-24 DATA ENTRY'!$A$1:$BR$258,7,FALSE)</f>
        <v>0.875</v>
      </c>
      <c r="I63" s="10">
        <f>VLOOKUP($A63,'[1]24-8-24 DATA ENTRY'!$A$1:$BR$258,8,FALSE)</f>
        <v>45408</v>
      </c>
      <c r="J63" s="10">
        <f>VLOOKUP($A63,'[1]24-8-24 DATA ENTRY'!$A$1:$BR$258,9,FALSE)</f>
        <v>45409</v>
      </c>
      <c r="K63" s="9">
        <f>VLOOKUP($A63,'[1]24-8-24 DATA ENTRY'!$A$1:$BR$258,10,FALSE)</f>
        <v>7387563186</v>
      </c>
      <c r="L63" s="9">
        <f>VLOOKUP($A63,'[1]24-8-24 DATA ENTRY'!$A$1:$BR$258,11,FALSE)</f>
        <v>9665374777</v>
      </c>
      <c r="M63" s="9">
        <f>VLOOKUP($A63,'[1]24-8-24 DATA ENTRY'!$A$1:$BR$258,12,FALSE)</f>
        <v>0</v>
      </c>
      <c r="N63" s="9">
        <f>VLOOKUP($A63,'[1]24-8-24 DATA ENTRY'!$A$1:$BR$258,13,FALSE)</f>
        <v>1</v>
      </c>
      <c r="O63" s="9">
        <f>VLOOKUP($A63,'[1]24-8-24 DATA ENTRY'!$A$1:$BR$258,14,FALSE)</f>
        <v>2</v>
      </c>
      <c r="P63" s="9">
        <f>VLOOKUP($A63,'[1]24-8-24 DATA ENTRY'!$A$1:$BR$258,15,FALSE)</f>
        <v>2</v>
      </c>
      <c r="Q63" s="9">
        <f>VLOOKUP($A63,'[1]24-8-24 DATA ENTRY'!$A$1:$BR$258,16,FALSE)</f>
        <v>2</v>
      </c>
      <c r="R63" s="9">
        <f>VLOOKUP($A63,'[1]24-8-24 DATA ENTRY'!$A$1:$BR$258,17,FALSE)</f>
        <v>2</v>
      </c>
      <c r="S63" s="9">
        <f>VLOOKUP($A63,'[1]24-8-24 DATA ENTRY'!$A$1:$BR$258,18,FALSE)</f>
        <v>2</v>
      </c>
      <c r="T63" s="9">
        <f>VLOOKUP($A63,'[1]24-8-24 DATA ENTRY'!$A$1:$BR$258,19,FALSE)</f>
        <v>2</v>
      </c>
      <c r="U63" s="9">
        <f>VLOOKUP($A63,'[1]24-8-24 DATA ENTRY'!$A$1:$BR$258,20,FALSE)</f>
        <v>2</v>
      </c>
      <c r="V63" s="9">
        <f>VLOOKUP($A63,'[1]24-8-24 DATA ENTRY'!$A$1:$BR$258,21,FALSE)</f>
        <v>2</v>
      </c>
      <c r="W63" s="9">
        <f>VLOOKUP($A63,'[1]24-8-24 DATA ENTRY'!$A$1:$BR$258,22,FALSE)</f>
        <v>0</v>
      </c>
      <c r="X63" s="9">
        <f>VLOOKUP($A63,'[1]24-8-24 DATA ENTRY'!$A$1:$BR$258,23,FALSE)</f>
        <v>13.6</v>
      </c>
      <c r="Y63" s="9">
        <f>VLOOKUP($A63,'[1]24-8-24 DATA ENTRY'!$A$1:$BR$258,24,FALSE)</f>
        <v>40.9</v>
      </c>
      <c r="Z63" s="9">
        <f>VLOOKUP($A63,'[1]24-8-24 DATA ENTRY'!$A$1:$BR$258,25,FALSE)</f>
        <v>87.7</v>
      </c>
      <c r="AA63" s="9">
        <f>VLOOKUP($A63,'[1]24-8-24 DATA ENTRY'!$A$1:$BR$258,26,FALSE)</f>
        <v>24.17</v>
      </c>
      <c r="AB63" s="9">
        <f>VLOOKUP($A63,'[1]24-8-24 DATA ENTRY'!$A$1:$BR$258,27,FALSE)</f>
        <v>5.2</v>
      </c>
      <c r="AC63" s="9">
        <f>VLOOKUP($A63,'[1]24-8-24 DATA ENTRY'!$A$1:$BR$258,28,FALSE)</f>
        <v>0</v>
      </c>
      <c r="AD63" s="9">
        <f>VLOOKUP($A63,'[1]24-8-24 DATA ENTRY'!$A$1:$BR$258,29,FALSE)</f>
        <v>0</v>
      </c>
      <c r="AE63" s="9">
        <f>VLOOKUP($A63,'[1]24-8-24 DATA ENTRY'!$A$1:$BR$258,30,FALSE)</f>
        <v>0</v>
      </c>
      <c r="AF63" s="9">
        <f>VLOOKUP($A63,'[1]24-8-24 DATA ENTRY'!$A$1:$BR$258,31,FALSE)</f>
        <v>0</v>
      </c>
      <c r="AG63" s="9">
        <f>VLOOKUP($A63,'[1]24-8-24 DATA ENTRY'!$A$1:$BR$258,32,FALSE)</f>
        <v>0</v>
      </c>
      <c r="AH63" s="9">
        <f>VLOOKUP($A63,'[1]24-8-24 DATA ENTRY'!$A$1:$BR$258,33,FALSE)</f>
        <v>243</v>
      </c>
      <c r="AI63" s="9">
        <f>VLOOKUP($A63,'[1]24-8-24 DATA ENTRY'!$A$1:$BR$258,34,FALSE)</f>
        <v>0</v>
      </c>
      <c r="AJ63" s="9">
        <f>VLOOKUP($A63,'[1]24-8-24 DATA ENTRY'!$A$1:$BR$258,35,FALSE)</f>
        <v>0</v>
      </c>
      <c r="AK63" s="9" t="str">
        <f>VLOOKUP($A63,'[1]24-8-24 DATA ENTRY'!$A$1:$BR$258,36,FALSE)</f>
        <v>RT CENTRUM SEMIOVALE INFARCT</v>
      </c>
      <c r="AL63" s="9" t="str">
        <f>VLOOKUP($A63,'[1]24-8-24 DATA ENTRY'!$A$1:$BR$258,37,FALSE)</f>
        <v>NORMAL</v>
      </c>
      <c r="AM63" s="9">
        <f>VLOOKUP($A63,'[1]24-8-24 DATA ENTRY'!$A$1:$BR$258,38,FALSE)</f>
        <v>0</v>
      </c>
      <c r="AN63" s="9">
        <f>VLOOKUP($A63,'[1]24-8-24 DATA ENTRY'!$A$1:$BR$258,39,FALSE)</f>
        <v>9</v>
      </c>
      <c r="AO63" s="9">
        <f>VLOOKUP($A63,'[1]24-8-24 DATA ENTRY'!$A$1:$BR$258,40,FALSE)</f>
        <v>1</v>
      </c>
      <c r="AP63" s="9">
        <f>VLOOKUP($A63,'[1]24-8-24 DATA ENTRY'!$A$1:$BR$258,41,FALSE)</f>
        <v>3</v>
      </c>
      <c r="AQ63" s="9">
        <f>VLOOKUP($A63,'[1]24-8-24 DATA ENTRY'!$A$1:$BR$258,42,FALSE)</f>
        <v>3</v>
      </c>
      <c r="AR63" s="9">
        <f>VLOOKUP($A63,'[1]24-8-24 DATA ENTRY'!$A$1:$BR$258,43,FALSE)</f>
        <v>5</v>
      </c>
      <c r="AS63" s="9">
        <f>VLOOKUP($A63,'[1]24-8-24 DATA ENTRY'!$A$1:$BR$258,44,FALSE)</f>
        <v>0</v>
      </c>
      <c r="AT63" s="9">
        <f>VLOOKUP($A63,'[1]24-8-24 DATA ENTRY'!$A$1:$BR$258,45,FALSE)</f>
        <v>1</v>
      </c>
      <c r="AU63" s="9">
        <f>VLOOKUP($A63,'[1]24-8-24 DATA ENTRY'!$A$1:$BR$258,46,FALSE)</f>
        <v>1</v>
      </c>
      <c r="AV63" s="9">
        <f>VLOOKUP($A63,'[1]24-8-24 DATA ENTRY'!$A$1:$BR$258,47,FALSE)</f>
        <v>2</v>
      </c>
      <c r="AW63" s="9">
        <f>VLOOKUP($A63,'[1]24-8-24 DATA ENTRY'!$A$1:$BR$258,48,FALSE)</f>
        <v>0</v>
      </c>
      <c r="AX63" s="9">
        <f>VLOOKUP($A63,'[1]24-8-24 DATA ENTRY'!$A$1:$BR$258,49,FALSE)</f>
        <v>0</v>
      </c>
      <c r="AY63" s="9">
        <f>VLOOKUP($A63,'[1]24-8-24 DATA ENTRY'!$A$1:$BR$258,50,FALSE)</f>
        <v>0</v>
      </c>
      <c r="AZ63" s="9">
        <f>VLOOKUP($A63,'[1]24-8-24 DATA ENTRY'!$A$1:$BR$258,51,FALSE)</f>
        <v>0</v>
      </c>
      <c r="BA63" s="9">
        <f>VLOOKUP($A63,'[1]24-8-24 DATA ENTRY'!$A$1:$BR$258,52,FALSE)</f>
        <v>0</v>
      </c>
      <c r="BB63" s="5">
        <v>1</v>
      </c>
      <c r="BC63" s="9">
        <f>VLOOKUP($A63,'[1]24-8-24 DATA ENTRY'!$A$1:$BR$258,53,FALSE)</f>
        <v>100</v>
      </c>
      <c r="BD63" s="8">
        <v>0</v>
      </c>
      <c r="BE63" s="8">
        <v>2</v>
      </c>
      <c r="BF63" s="8">
        <v>2</v>
      </c>
      <c r="BG63" s="8">
        <v>2</v>
      </c>
      <c r="BH63" s="8">
        <v>1</v>
      </c>
      <c r="BI63" s="8">
        <v>1</v>
      </c>
      <c r="BJ63" s="8">
        <v>1</v>
      </c>
      <c r="BK63" s="8">
        <v>1</v>
      </c>
      <c r="BL63" s="8">
        <v>2</v>
      </c>
      <c r="BM63" s="8">
        <v>2</v>
      </c>
      <c r="BN63" s="8">
        <v>2</v>
      </c>
      <c r="BO63" s="8">
        <v>1</v>
      </c>
      <c r="BP63" s="8">
        <v>1</v>
      </c>
      <c r="BQ63" s="8">
        <v>1</v>
      </c>
      <c r="BR63" s="8">
        <v>19</v>
      </c>
      <c r="BS63" s="8">
        <v>1</v>
      </c>
      <c r="BT63" s="8">
        <v>1</v>
      </c>
      <c r="BU63" s="8"/>
    </row>
    <row r="64" spans="1:73" x14ac:dyDescent="0.25">
      <c r="A64" s="12" t="s">
        <v>278</v>
      </c>
      <c r="B64" s="5">
        <v>1</v>
      </c>
      <c r="C64" s="12">
        <v>14.3551</v>
      </c>
      <c r="D64" s="13">
        <v>220905863</v>
      </c>
      <c r="E64" s="12">
        <v>48</v>
      </c>
      <c r="F64" s="12">
        <v>2</v>
      </c>
      <c r="G64" s="14"/>
      <c r="H64" s="12"/>
      <c r="I64" s="14">
        <v>44834</v>
      </c>
      <c r="J64" s="14">
        <v>44835</v>
      </c>
      <c r="K64" s="12">
        <v>9423453622</v>
      </c>
      <c r="L64" s="12"/>
      <c r="M64" s="12">
        <v>3</v>
      </c>
      <c r="N64" s="12">
        <v>2</v>
      </c>
      <c r="O64" s="12">
        <v>2</v>
      </c>
      <c r="P64" s="12">
        <v>2</v>
      </c>
      <c r="Q64" s="12">
        <v>2</v>
      </c>
      <c r="R64" s="12">
        <v>2</v>
      </c>
      <c r="S64" s="12">
        <v>2</v>
      </c>
      <c r="T64" s="12">
        <v>2</v>
      </c>
      <c r="U64" s="12">
        <v>2</v>
      </c>
      <c r="V64" s="12">
        <v>2</v>
      </c>
      <c r="W64" s="12"/>
      <c r="X64" s="12">
        <v>10.6</v>
      </c>
      <c r="Y64" s="12">
        <v>32.5</v>
      </c>
      <c r="Z64" s="12"/>
      <c r="AA64" s="12">
        <v>6.22</v>
      </c>
      <c r="AB64" s="12"/>
      <c r="AC64" s="12"/>
      <c r="AD64" s="12"/>
      <c r="AE64" s="12"/>
      <c r="AF64" s="12"/>
      <c r="AG64" s="12"/>
      <c r="AH64" s="12">
        <v>494</v>
      </c>
      <c r="AI64" s="12" t="s">
        <v>279</v>
      </c>
      <c r="AJ64" s="12"/>
      <c r="AK64" s="12" t="s">
        <v>280</v>
      </c>
      <c r="AL64" s="12" t="s">
        <v>281</v>
      </c>
      <c r="AM64" s="12"/>
      <c r="AN64" s="12">
        <v>9</v>
      </c>
      <c r="AO64" s="12">
        <v>1</v>
      </c>
      <c r="AP64" s="12">
        <v>4</v>
      </c>
      <c r="AQ64" s="12">
        <v>3</v>
      </c>
      <c r="AR64" s="12">
        <v>5</v>
      </c>
      <c r="AS64" s="12"/>
      <c r="AT64" s="12">
        <v>1</v>
      </c>
      <c r="AU64" s="12">
        <v>1</v>
      </c>
      <c r="AV64" s="12"/>
      <c r="AW64" s="12"/>
      <c r="AX64" s="12"/>
      <c r="AY64" s="12"/>
      <c r="AZ64" s="12"/>
      <c r="BA64" s="12">
        <v>0</v>
      </c>
      <c r="BB64" s="5">
        <v>1</v>
      </c>
      <c r="BC64" s="12">
        <v>100</v>
      </c>
      <c r="BD64" s="12">
        <v>1</v>
      </c>
      <c r="BE64" s="12">
        <v>2</v>
      </c>
      <c r="BF64" s="12">
        <v>1</v>
      </c>
      <c r="BG64" s="12">
        <v>2</v>
      </c>
      <c r="BH64" s="12">
        <v>1</v>
      </c>
      <c r="BI64" s="12">
        <v>1</v>
      </c>
      <c r="BJ64" s="12">
        <v>1</v>
      </c>
      <c r="BK64" s="12">
        <v>1</v>
      </c>
      <c r="BL64" s="12">
        <v>2</v>
      </c>
      <c r="BM64" s="12">
        <v>2</v>
      </c>
      <c r="BN64" s="12">
        <v>2</v>
      </c>
      <c r="BO64" s="12">
        <v>1</v>
      </c>
      <c r="BP64" s="12">
        <v>1</v>
      </c>
      <c r="BQ64" s="12">
        <v>1</v>
      </c>
      <c r="BR64" s="12">
        <v>19</v>
      </c>
      <c r="BS64" s="12">
        <v>1</v>
      </c>
      <c r="BT64" s="12">
        <v>1</v>
      </c>
      <c r="BU64" s="12"/>
    </row>
    <row r="65" spans="1:73" x14ac:dyDescent="0.25">
      <c r="A65" s="12" t="s">
        <v>312</v>
      </c>
      <c r="B65" s="5"/>
      <c r="C65" s="5">
        <v>41.854399999999998</v>
      </c>
      <c r="D65" s="9">
        <f>VLOOKUP($A65,'[1]24-8-24 DATA ENTRY'!$A$1:$BR$303,3,FALSE)</f>
        <v>240000040622</v>
      </c>
      <c r="E65" s="9">
        <f>VLOOKUP($A65,'[1]24-8-24 DATA ENTRY'!$A$1:$BR$303,4,FALSE)</f>
        <v>33</v>
      </c>
      <c r="F65" s="9">
        <f>VLOOKUP($A65,'[1]24-8-24 DATA ENTRY'!$A$1:$BR$303,5,FALSE)</f>
        <v>1</v>
      </c>
      <c r="G65" s="10">
        <f>VLOOKUP($A65,'[1]24-8-24 DATA ENTRY'!$A$1:$BR$303,6,FALSE)</f>
        <v>45422</v>
      </c>
      <c r="H65" s="9">
        <f>VLOOKUP($A65,'[1]24-8-24 DATA ENTRY'!$A$1:$BR$303,7,FALSE)</f>
        <v>0.33333333333333331</v>
      </c>
      <c r="I65" s="10">
        <f>VLOOKUP($A65,'[1]24-8-24 DATA ENTRY'!$A$1:$BR$303,8,FALSE)</f>
        <v>45422</v>
      </c>
      <c r="J65" s="10">
        <f>VLOOKUP($A65,'[1]24-8-24 DATA ENTRY'!$A$1:$BR$303,9,FALSE)</f>
        <v>45427</v>
      </c>
      <c r="K65" s="9">
        <f>VLOOKUP($A65,'[1]24-8-24 DATA ENTRY'!$A$1:$BR$303,10,FALSE)</f>
        <v>7387900224</v>
      </c>
      <c r="L65" s="9">
        <f>VLOOKUP($A65,'[1]24-8-24 DATA ENTRY'!$A$1:$BR$303,11,FALSE)</f>
        <v>0</v>
      </c>
      <c r="M65" s="9">
        <f>VLOOKUP($A65,'[1]24-8-24 DATA ENTRY'!$A$1:$BR$303,12,FALSE)</f>
        <v>2</v>
      </c>
      <c r="N65" s="9">
        <f>VLOOKUP($A65,'[1]24-8-24 DATA ENTRY'!$A$1:$BR$303,13,FALSE)</f>
        <v>2</v>
      </c>
      <c r="O65" s="9">
        <f>VLOOKUP($A65,'[1]24-8-24 DATA ENTRY'!$A$1:$BR$303,14,FALSE)</f>
        <v>2</v>
      </c>
      <c r="P65" s="9">
        <f>VLOOKUP($A65,'[1]24-8-24 DATA ENTRY'!$A$1:$BR$303,15,FALSE)</f>
        <v>1</v>
      </c>
      <c r="Q65" s="9">
        <f>VLOOKUP($A65,'[1]24-8-24 DATA ENTRY'!$A$1:$BR$303,16,FALSE)</f>
        <v>1</v>
      </c>
      <c r="R65" s="9">
        <f>VLOOKUP($A65,'[1]24-8-24 DATA ENTRY'!$A$1:$BR$303,17,FALSE)</f>
        <v>2</v>
      </c>
      <c r="S65" s="9">
        <f>VLOOKUP($A65,'[1]24-8-24 DATA ENTRY'!$A$1:$BR$303,18,FALSE)</f>
        <v>2</v>
      </c>
      <c r="T65" s="9">
        <f>VLOOKUP($A65,'[1]24-8-24 DATA ENTRY'!$A$1:$BR$303,19,FALSE)</f>
        <v>2</v>
      </c>
      <c r="U65" s="9">
        <f>VLOOKUP($A65,'[1]24-8-24 DATA ENTRY'!$A$1:$BR$278,20,FALSE)</f>
        <v>2</v>
      </c>
      <c r="V65" s="9">
        <f>VLOOKUP($A65,'[1]24-8-24 DATA ENTRY'!$A$1:$BR$303,21,FALSE)</f>
        <v>2</v>
      </c>
      <c r="W65" s="9" t="str">
        <f>VLOOKUP($A65,'[1]24-8-24 DATA ENTRY'!$A$1:$BR$303,22,FALSE)</f>
        <v>PAST H/O OF STRKE 1 WEEK AGO WITH ICA FLOOTING THROMBUS</v>
      </c>
      <c r="X65" s="9">
        <f>VLOOKUP($A65,'[1]24-8-24 DATA ENTRY'!$A$1:$BR$303,23,FALSE)</f>
        <v>12.6</v>
      </c>
      <c r="Y65" s="9">
        <f>VLOOKUP($A65,'[1]24-8-24 DATA ENTRY'!$A$1:$BR$303,24,FALSE)</f>
        <v>37.299999999999997</v>
      </c>
      <c r="Z65" s="9">
        <f>VLOOKUP($A65,'[1]24-8-24 DATA ENTRY'!$A$1:$BR$303,25,FALSE)</f>
        <v>107.2</v>
      </c>
      <c r="AA65" s="9">
        <f>VLOOKUP($A65,'[1]24-8-24 DATA ENTRY'!$A$1:$BR$303,26,FALSE)</f>
        <v>0</v>
      </c>
      <c r="AB65" s="9">
        <f>VLOOKUP($A65,'[1]24-8-24 DATA ENTRY'!$A$1:$BR$303,27,FALSE)</f>
        <v>0</v>
      </c>
      <c r="AC65" s="9">
        <f>VLOOKUP($A65,'[1]24-8-24 DATA ENTRY'!$A$1:$BR$303,28,FALSE)</f>
        <v>0</v>
      </c>
      <c r="AD65" s="9">
        <f>VLOOKUP($A65,'[1]24-8-24 DATA ENTRY'!$A$1:$BR$303,29,FALSE)</f>
        <v>0</v>
      </c>
      <c r="AE65" s="9">
        <f>VLOOKUP($A65,'[1]24-8-24 DATA ENTRY'!$A$1:$BR$2303,30,FALSE)</f>
        <v>0</v>
      </c>
      <c r="AF65" s="9">
        <f>VLOOKUP($A65,'[1]24-8-24 DATA ENTRY'!$A$1:$BR$303,31,FALSE)</f>
        <v>0</v>
      </c>
      <c r="AG65" s="9">
        <f>VLOOKUP($A65,'[1]24-8-24 DATA ENTRY'!$A$1:$BR$303,32,FALSE)</f>
        <v>0</v>
      </c>
      <c r="AH65" s="9">
        <f>VLOOKUP($A65,'[1]24-8-24 DATA ENTRY'!$A$1:$BR$303,33,FALSE)</f>
        <v>0</v>
      </c>
      <c r="AI65" s="9">
        <f>VLOOKUP($A65,'[1]24-8-24 DATA ENTRY'!$A$1:$BR$303,34,FALSE)</f>
        <v>0</v>
      </c>
      <c r="AJ65" s="9">
        <f>VLOOKUP($A65,'[1]24-8-24 DATA ENTRY'!$A$1:$BR$303,35,FALSE)</f>
        <v>0</v>
      </c>
      <c r="AK65" s="9" t="str">
        <f>VLOOKUP($A65,'[1]24-8-24 DATA ENTRY'!$A$1:$BR$303,36,FALSE)</f>
        <v>LEFT MCA INFERIOR DIVISION INFARCT</v>
      </c>
      <c r="AL65" s="9" t="str">
        <f>VLOOKUP($A65,'[1]24-8-24 DATA ENTRY'!$A$1:$BR$303,37,FALSE)</f>
        <v xml:space="preserve">LEFT MCA M3 OCCLUSION DUE TO THROMBUS. FLOATING THROMBUS HAS DISAPPERED. LEFT ICA SMALL PLAQUE &lt; 30% CAUSING OCCLUSION </v>
      </c>
      <c r="AM65" s="9">
        <f>VLOOKUP($A65,'[1]24-8-24 DATA ENTRY'!$A$1:$BR$303,38,FALSE)</f>
        <v>0</v>
      </c>
      <c r="AN65" s="9">
        <f>VLOOKUP($A65,'[1]24-8-24 DATA ENTRY'!$A$1:$BR$303,39,FALSE)</f>
        <v>9</v>
      </c>
      <c r="AO65" s="9">
        <f>VLOOKUP($A65,'[1]24-8-24 DATA ENTRY'!$A$1:$BR$303,40,FALSE)</f>
        <v>1</v>
      </c>
      <c r="AP65" s="9">
        <f>VLOOKUP($A65,'[1]24-8-24 DATA ENTRY'!$A$1:$BR$303,41,FALSE)</f>
        <v>5</v>
      </c>
      <c r="AQ65" s="9">
        <f>VLOOKUP($A65,'[1]24-8-24 DATA ENTRY'!$A$1:$BR$303,42,FALSE)</f>
        <v>3</v>
      </c>
      <c r="AR65" s="9">
        <f>VLOOKUP($A65,'[1]24-8-24 DATA ENTRY'!$A$1:$BR$303,43,FALSE)</f>
        <v>5</v>
      </c>
      <c r="AS65" s="9">
        <f>VLOOKUP($A65,'[1]24-8-24 DATA ENTRY'!$A$1:$BR$303,44,FALSE)</f>
        <v>0</v>
      </c>
      <c r="AT65" s="9">
        <f>VLOOKUP($A65,'[1]24-8-24 DATA ENTRY'!$A$1:$BR$303,45,FALSE)</f>
        <v>1</v>
      </c>
      <c r="AU65" s="9">
        <f>VLOOKUP($A65,'[1]24-8-24 DATA ENTRY'!$A$1:$BR$303,46,FALSE)</f>
        <v>2</v>
      </c>
      <c r="AV65" s="9">
        <f>VLOOKUP($A65,'[1]24-8-24 DATA ENTRY'!$A$1:$BR$303,47,FALSE)</f>
        <v>1</v>
      </c>
      <c r="AW65" s="9">
        <f>VLOOKUP($A65,'[1]24-8-24 DATA ENTRY'!$A$1:$BR$303,48,FALSE)</f>
        <v>1</v>
      </c>
      <c r="AX65" s="9">
        <f>VLOOKUP($A65,'[1]24-8-24 DATA ENTRY'!$A$1:$BR$303,49,FALSE)</f>
        <v>0</v>
      </c>
      <c r="AY65" s="9">
        <f>VLOOKUP($A65,'[1]24-8-24 DATA ENTRY'!$A$1:$BR$303,50,FALSE)</f>
        <v>0</v>
      </c>
      <c r="AZ65" s="9">
        <f>VLOOKUP($A65,'[1]24-8-24 DATA ENTRY'!$A$1:$BR$303,51,FALSE)</f>
        <v>0</v>
      </c>
      <c r="BA65" s="9">
        <f>VLOOKUP($A65,'[1]24-8-24 DATA ENTRY'!$A$1:$BR$303,52,FALSE)</f>
        <v>0</v>
      </c>
      <c r="BB65" s="5">
        <v>1</v>
      </c>
      <c r="BC65" s="9">
        <f>VLOOKUP($A65,'[1]24-8-24 DATA ENTRY'!$A$1:$BR$303,53,FALSE)</f>
        <v>100</v>
      </c>
      <c r="BD65" s="12">
        <v>1</v>
      </c>
      <c r="BE65" s="12">
        <v>2</v>
      </c>
      <c r="BF65" s="12">
        <v>2</v>
      </c>
      <c r="BG65" s="12">
        <v>2</v>
      </c>
      <c r="BH65" s="5">
        <v>1</v>
      </c>
      <c r="BI65" s="12">
        <v>1</v>
      </c>
      <c r="BJ65" s="12">
        <v>1</v>
      </c>
      <c r="BK65" s="12">
        <v>1</v>
      </c>
      <c r="BL65" s="12">
        <v>2</v>
      </c>
      <c r="BM65" s="12">
        <v>2</v>
      </c>
      <c r="BN65" s="12">
        <v>2</v>
      </c>
      <c r="BO65" s="12">
        <v>1</v>
      </c>
      <c r="BP65" s="12">
        <v>0</v>
      </c>
      <c r="BQ65" s="12">
        <v>1</v>
      </c>
      <c r="BR65" s="12">
        <v>19</v>
      </c>
      <c r="BS65" s="12">
        <v>0</v>
      </c>
      <c r="BT65" s="12">
        <v>1</v>
      </c>
      <c r="BU65" s="5"/>
    </row>
    <row r="66" spans="1:73" x14ac:dyDescent="0.25">
      <c r="A66" s="12" t="s">
        <v>387</v>
      </c>
      <c r="B66" s="5">
        <v>1</v>
      </c>
      <c r="C66" s="12">
        <v>21.484200000000001</v>
      </c>
      <c r="D66" s="13">
        <v>221206273</v>
      </c>
      <c r="E66" s="12">
        <v>75</v>
      </c>
      <c r="F66" s="12">
        <v>1</v>
      </c>
      <c r="G66" s="14"/>
      <c r="H66" s="12"/>
      <c r="I66" s="14">
        <v>44926</v>
      </c>
      <c r="J66" s="14">
        <v>44928</v>
      </c>
      <c r="K66" s="12">
        <v>9604984448</v>
      </c>
      <c r="L66" s="12"/>
      <c r="M66" s="12">
        <v>4</v>
      </c>
      <c r="N66" s="12">
        <v>1</v>
      </c>
      <c r="O66" s="12">
        <v>2</v>
      </c>
      <c r="P66" s="12">
        <v>2</v>
      </c>
      <c r="Q66" s="12">
        <v>2</v>
      </c>
      <c r="R66" s="12">
        <v>2</v>
      </c>
      <c r="S66" s="12">
        <v>2</v>
      </c>
      <c r="T66" s="12">
        <v>2</v>
      </c>
      <c r="U66" s="12">
        <v>2</v>
      </c>
      <c r="V66" s="12">
        <v>2</v>
      </c>
      <c r="W66" s="12"/>
      <c r="X66" s="12">
        <v>15.9</v>
      </c>
      <c r="Y66" s="12">
        <v>46.3</v>
      </c>
      <c r="Z66" s="12"/>
      <c r="AA66" s="12">
        <v>29.06</v>
      </c>
      <c r="AB66" s="12"/>
      <c r="AC66" s="12"/>
      <c r="AD66" s="12"/>
      <c r="AE66" s="12"/>
      <c r="AF66" s="12"/>
      <c r="AG66" s="12"/>
      <c r="AH66" s="12">
        <v>665</v>
      </c>
      <c r="AI66" s="12" t="s">
        <v>388</v>
      </c>
      <c r="AJ66" s="12"/>
      <c r="AK66" s="12" t="s">
        <v>389</v>
      </c>
      <c r="AL66" s="12" t="s">
        <v>390</v>
      </c>
      <c r="AM66" s="12"/>
      <c r="AN66" s="12">
        <v>9</v>
      </c>
      <c r="AO66" s="12">
        <v>1</v>
      </c>
      <c r="AP66" s="12">
        <v>3</v>
      </c>
      <c r="AQ66" s="12">
        <v>3</v>
      </c>
      <c r="AR66" s="12">
        <v>5</v>
      </c>
      <c r="AS66" s="12"/>
      <c r="AT66" s="12">
        <v>1</v>
      </c>
      <c r="AU66" s="12">
        <v>1</v>
      </c>
      <c r="AV66" s="12">
        <v>2</v>
      </c>
      <c r="AW66" s="12"/>
      <c r="AX66" s="12"/>
      <c r="AY66" s="12"/>
      <c r="AZ66" s="12"/>
      <c r="BA66" s="12">
        <v>0</v>
      </c>
      <c r="BB66" s="5">
        <v>1</v>
      </c>
      <c r="BC66" s="12">
        <v>100</v>
      </c>
      <c r="BD66" s="12">
        <v>1</v>
      </c>
      <c r="BE66" s="12">
        <v>2</v>
      </c>
      <c r="BF66" s="12">
        <v>2</v>
      </c>
      <c r="BG66" s="12">
        <v>2</v>
      </c>
      <c r="BH66" s="12">
        <v>1</v>
      </c>
      <c r="BI66" s="12">
        <v>1</v>
      </c>
      <c r="BJ66" s="12">
        <v>1</v>
      </c>
      <c r="BK66" s="12">
        <v>1</v>
      </c>
      <c r="BL66" s="12">
        <v>2</v>
      </c>
      <c r="BM66" s="12">
        <v>2</v>
      </c>
      <c r="BN66" s="12">
        <v>2</v>
      </c>
      <c r="BO66" s="12">
        <v>1</v>
      </c>
      <c r="BP66" s="12">
        <v>1</v>
      </c>
      <c r="BQ66" s="12">
        <v>1</v>
      </c>
      <c r="BR66" s="12">
        <v>20</v>
      </c>
      <c r="BS66" s="12">
        <v>1</v>
      </c>
      <c r="BT66" s="12">
        <v>1</v>
      </c>
      <c r="BU66" s="12"/>
    </row>
    <row r="67" spans="1:73" x14ac:dyDescent="0.25">
      <c r="A67" s="5" t="s">
        <v>473</v>
      </c>
      <c r="B67" s="5">
        <v>1</v>
      </c>
      <c r="C67" s="5">
        <v>0.46009800000000001</v>
      </c>
      <c r="D67" s="6">
        <v>240000022574</v>
      </c>
      <c r="E67" s="5">
        <v>62</v>
      </c>
      <c r="F67" s="5">
        <v>1</v>
      </c>
      <c r="G67" s="7" t="s">
        <v>474</v>
      </c>
      <c r="H67" s="20">
        <v>0.45833333333333331</v>
      </c>
      <c r="I67" s="7" t="s">
        <v>474</v>
      </c>
      <c r="J67" s="7" t="s">
        <v>475</v>
      </c>
      <c r="K67" s="5">
        <v>9960575854</v>
      </c>
      <c r="L67" s="5">
        <v>9028444211</v>
      </c>
      <c r="M67" s="5">
        <v>4</v>
      </c>
      <c r="N67" s="5">
        <v>1</v>
      </c>
      <c r="O67" s="5">
        <v>2</v>
      </c>
      <c r="P67" s="5">
        <v>2</v>
      </c>
      <c r="Q67" s="5">
        <v>2</v>
      </c>
      <c r="R67" s="5">
        <v>1</v>
      </c>
      <c r="S67" s="5">
        <v>2</v>
      </c>
      <c r="T67" s="5">
        <v>2</v>
      </c>
      <c r="U67" s="5">
        <v>2</v>
      </c>
      <c r="V67" s="5">
        <v>2</v>
      </c>
      <c r="W67" s="5"/>
      <c r="X67" s="5">
        <v>14.4</v>
      </c>
      <c r="Y67" s="5">
        <v>45.1</v>
      </c>
      <c r="Z67" s="5">
        <v>82.5</v>
      </c>
      <c r="AA67" s="5">
        <v>52.7</v>
      </c>
      <c r="AB67" s="5">
        <v>6.4</v>
      </c>
      <c r="AC67" s="5">
        <v>223</v>
      </c>
      <c r="AD67" s="5"/>
      <c r="AE67" s="5">
        <v>154.6</v>
      </c>
      <c r="AF67" s="5">
        <v>137</v>
      </c>
      <c r="AG67" s="5">
        <v>27.4</v>
      </c>
      <c r="AH67" s="5">
        <v>241</v>
      </c>
      <c r="AI67" s="5"/>
      <c r="AJ67" s="5"/>
      <c r="AK67" s="5" t="s">
        <v>476</v>
      </c>
      <c r="AL67" s="5" t="s">
        <v>477</v>
      </c>
      <c r="AM67" s="5"/>
      <c r="AN67" s="5">
        <v>9</v>
      </c>
      <c r="AO67" s="5">
        <v>3</v>
      </c>
      <c r="AP67" s="5">
        <v>5</v>
      </c>
      <c r="AQ67" s="5">
        <v>3</v>
      </c>
      <c r="AR67" s="5">
        <v>5</v>
      </c>
      <c r="AS67" s="5"/>
      <c r="AT67" s="5">
        <v>1</v>
      </c>
      <c r="AU67" s="5">
        <v>2</v>
      </c>
      <c r="AV67" s="5">
        <v>1</v>
      </c>
      <c r="AW67" s="5">
        <v>2</v>
      </c>
      <c r="AX67" s="5"/>
      <c r="AY67" s="5"/>
      <c r="AZ67" s="5"/>
      <c r="BA67" s="5">
        <v>0</v>
      </c>
      <c r="BB67" s="5">
        <v>1</v>
      </c>
      <c r="BC67" s="5">
        <v>100</v>
      </c>
      <c r="BD67" s="5">
        <v>1</v>
      </c>
      <c r="BE67" s="5">
        <v>2</v>
      </c>
      <c r="BF67" s="5">
        <v>2</v>
      </c>
      <c r="BG67" s="5">
        <v>2</v>
      </c>
      <c r="BH67" s="5">
        <v>1</v>
      </c>
      <c r="BI67" s="5">
        <v>1</v>
      </c>
      <c r="BJ67" s="5">
        <v>1</v>
      </c>
      <c r="BK67" s="5">
        <v>1</v>
      </c>
      <c r="BL67" s="5">
        <v>2</v>
      </c>
      <c r="BM67" s="5">
        <v>2</v>
      </c>
      <c r="BN67" s="5">
        <v>2</v>
      </c>
      <c r="BO67" s="5">
        <v>1</v>
      </c>
      <c r="BP67" s="5">
        <v>1</v>
      </c>
      <c r="BQ67" s="5">
        <v>1</v>
      </c>
      <c r="BR67" s="5">
        <v>20</v>
      </c>
      <c r="BS67" s="5">
        <v>1</v>
      </c>
      <c r="BT67" s="5">
        <v>1</v>
      </c>
      <c r="BU67" s="5"/>
    </row>
    <row r="68" spans="1:73" x14ac:dyDescent="0.25">
      <c r="A68" s="21" t="s">
        <v>492</v>
      </c>
      <c r="B68" s="5">
        <v>0</v>
      </c>
      <c r="C68" s="5">
        <v>1.53043</v>
      </c>
      <c r="D68" s="9">
        <f>VLOOKUP($A68,'[1]24-8-24 DATA ENTRY'!$A$1:$BR$278,3,FALSE)</f>
        <v>240000047870</v>
      </c>
      <c r="E68" s="9">
        <f>VLOOKUP($A68,'[1]24-8-24 DATA ENTRY'!$A$1:$BR$278,4,FALSE)</f>
        <v>48</v>
      </c>
      <c r="F68" s="9">
        <f>VLOOKUP($A68,'[1]24-8-24 DATA ENTRY'!$A$1:$BR$278,5,FALSE)</f>
        <v>2</v>
      </c>
      <c r="G68" s="10">
        <f>VLOOKUP($A68,'[1]24-8-24 DATA ENTRY'!$A$1:$BR$278,6,FALSE)</f>
        <v>45442</v>
      </c>
      <c r="H68" s="9">
        <f>VLOOKUP($A68,'[1]24-8-24 DATA ENTRY'!$A$1:$BR$278,7,FALSE)</f>
        <v>8.3333333333333329E-2</v>
      </c>
      <c r="I68" s="10">
        <f>VLOOKUP($A68,'[1]24-8-24 DATA ENTRY'!$A$1:$BR$278,8,FALSE)</f>
        <v>45442</v>
      </c>
      <c r="J68" s="10">
        <f>VLOOKUP($A68,'[1]24-8-24 DATA ENTRY'!$A$1:$BR$278,9,FALSE)</f>
        <v>45450</v>
      </c>
      <c r="K68" s="9">
        <f>VLOOKUP($A68,'[1]24-8-24 DATA ENTRY'!$A$1:$BR$278,10,FALSE)</f>
        <v>7088751810</v>
      </c>
      <c r="L68" s="9">
        <f>VLOOKUP($A68,'[1]24-8-24 DATA ENTRY'!$A$1:$BR$278,11,FALSE)</f>
        <v>0</v>
      </c>
      <c r="M68" s="9">
        <f>VLOOKUP($A68,'[1]24-8-24 DATA ENTRY'!$A$1:$BR$278,12,FALSE)</f>
        <v>7</v>
      </c>
      <c r="N68" s="9">
        <f>VLOOKUP($A68,'[1]24-8-24 DATA ENTRY'!$A$1:$BR$278,13,FALSE)</f>
        <v>2</v>
      </c>
      <c r="O68" s="9">
        <f>VLOOKUP($A68,'[1]24-8-24 DATA ENTRY'!$A$1:$BR$278,14,FALSE)</f>
        <v>2</v>
      </c>
      <c r="P68" s="9">
        <f>VLOOKUP($A68,'[1]24-8-24 DATA ENTRY'!$A$1:$BR$278,15,FALSE)</f>
        <v>2</v>
      </c>
      <c r="Q68" s="9">
        <f>VLOOKUP($A68,'[1]24-8-24 DATA ENTRY'!$A$1:$BR$278,16,FALSE)</f>
        <v>2</v>
      </c>
      <c r="R68" s="9">
        <f>VLOOKUP($A68,'[1]24-8-24 DATA ENTRY'!$A$1:$BR$278,17,FALSE)</f>
        <v>1</v>
      </c>
      <c r="S68" s="9">
        <f>VLOOKUP($A68,'[1]24-8-24 DATA ENTRY'!$A$1:$BR$278,18,FALSE)</f>
        <v>2</v>
      </c>
      <c r="T68" s="9">
        <f>VLOOKUP($A68,'[1]24-8-24 DATA ENTRY'!$A$1:$BR$278,19,FALSE)</f>
        <v>2</v>
      </c>
      <c r="U68" s="9">
        <f>VLOOKUP($A68,'[1]24-8-24 DATA ENTRY'!$A$1:$BR$278,20,FALSE)</f>
        <v>2</v>
      </c>
      <c r="V68" s="9">
        <f>VLOOKUP($A68,'[1]24-8-24 DATA ENTRY'!$A$1:$BR$278,21,FALSE)</f>
        <v>2</v>
      </c>
      <c r="W68" s="9">
        <f>VLOOKUP($A68,'[1]24-8-24 DATA ENTRY'!$A$1:$BR$278,22,FALSE)</f>
        <v>0</v>
      </c>
      <c r="X68" s="9">
        <f>VLOOKUP($A68,'[1]24-8-24 DATA ENTRY'!$A$1:$BR$278,23,FALSE)</f>
        <v>11.3</v>
      </c>
      <c r="Y68" s="9">
        <f>VLOOKUP($A68,'[1]24-8-24 DATA ENTRY'!$A$1:$BR$278,24,FALSE)</f>
        <v>33.200000000000003</v>
      </c>
      <c r="Z68" s="9">
        <f>VLOOKUP($A68,'[1]24-8-24 DATA ENTRY'!$A$1:$BR$278,25,FALSE)</f>
        <v>87.9</v>
      </c>
      <c r="AA68" s="9">
        <f>VLOOKUP($A68,'[1]24-8-24 DATA ENTRY'!$A$1:$BR$278,26,FALSE)</f>
        <v>0</v>
      </c>
      <c r="AB68" s="9">
        <f>VLOOKUP($A68,'[1]24-8-24 DATA ENTRY'!$A$1:$BR$278,27,FALSE)</f>
        <v>0</v>
      </c>
      <c r="AC68" s="9">
        <f>VLOOKUP($A68,'[1]24-8-24 DATA ENTRY'!$A$1:$BR$278,28,FALSE)</f>
        <v>0</v>
      </c>
      <c r="AD68" s="9">
        <f>VLOOKUP($A68,'[1]24-8-24 DATA ENTRY'!$A$1:$BR$278,29,FALSE)</f>
        <v>0</v>
      </c>
      <c r="AE68" s="9">
        <f>VLOOKUP($A68,'[1]24-8-24 DATA ENTRY'!$A$1:$BR$278,30,FALSE)</f>
        <v>0</v>
      </c>
      <c r="AF68" s="9">
        <f>VLOOKUP($A68,'[1]24-8-24 DATA ENTRY'!$A$1:$BR$278,31,FALSE)</f>
        <v>0</v>
      </c>
      <c r="AG68" s="9">
        <f>VLOOKUP($A68,'[1]24-8-24 DATA ENTRY'!$A$1:$BR$278,32,FALSE)</f>
        <v>0</v>
      </c>
      <c r="AH68" s="9">
        <f>VLOOKUP($A68,'[1]24-8-24 DATA ENTRY'!$A$1:$BR$278,33,FALSE)</f>
        <v>0</v>
      </c>
      <c r="AI68" s="9">
        <f>VLOOKUP($A68,'[1]24-8-24 DATA ENTRY'!$A$1:$BR$278,34,FALSE)</f>
        <v>0</v>
      </c>
      <c r="AJ68" s="9">
        <f>VLOOKUP($A68,'[1]24-8-24 DATA ENTRY'!$A$1:$BR$278,35,FALSE)</f>
        <v>0</v>
      </c>
      <c r="AK68" s="9" t="str">
        <f>VLOOKUP($A68,'[1]24-8-24 DATA ENTRY'!$A$1:$BR$278,36,FALSE)</f>
        <v>LEFT LONG INSULAR ARTERY INFARCT</v>
      </c>
      <c r="AL68" s="9" t="str">
        <f>VLOOKUP($A68,'[1]24-8-24 DATA ENTRY'!$A$1:$BR$278,37,FALSE)</f>
        <v>RT VERTEBRAL ARTERY HYPOPLASTIC/ THROMBOSED, REST NORMAL</v>
      </c>
      <c r="AM68" s="9">
        <f>VLOOKUP($A68,'[1]24-8-24 DATA ENTRY'!$A$1:$BR$278,38,FALSE)</f>
        <v>0</v>
      </c>
      <c r="AN68" s="9">
        <f>VLOOKUP($A68,'[1]24-8-24 DATA ENTRY'!$A$1:$BR$278,39,FALSE)</f>
        <v>9</v>
      </c>
      <c r="AO68" s="9">
        <f>VLOOKUP($A68,'[1]24-8-24 DATA ENTRY'!$A$1:$BR$278,40,FALSE)</f>
        <v>1</v>
      </c>
      <c r="AP68" s="9">
        <f>VLOOKUP($A68,'[1]24-8-24 DATA ENTRY'!$A$1:$BR$278,41,FALSE)</f>
        <v>5</v>
      </c>
      <c r="AQ68" s="9">
        <f>VLOOKUP($A68,'[1]24-8-24 DATA ENTRY'!$A$1:$BR$278,42,FALSE)</f>
        <v>3</v>
      </c>
      <c r="AR68" s="9">
        <f>VLOOKUP($A68,'[1]24-8-24 DATA ENTRY'!$A$1:$BR$278,43,FALSE)</f>
        <v>5</v>
      </c>
      <c r="AS68" s="9">
        <f>VLOOKUP($A68,'[1]24-8-24 DATA ENTRY'!$A$1:$BR$278,44,FALSE)</f>
        <v>0</v>
      </c>
      <c r="AT68" s="9">
        <f>VLOOKUP($A68,'[1]24-8-24 DATA ENTRY'!$A$1:$BR$278,45,FALSE)</f>
        <v>1</v>
      </c>
      <c r="AU68" s="9">
        <f>VLOOKUP($A68,'[1]24-8-24 DATA ENTRY'!$A$1:$BR$278,46,FALSE)</f>
        <v>1</v>
      </c>
      <c r="AV68" s="9">
        <f>VLOOKUP($A68,'[1]24-8-24 DATA ENTRY'!$A$1:$BR$278,47,FALSE)</f>
        <v>2</v>
      </c>
      <c r="AW68" s="9">
        <f>VLOOKUP($A68,'[1]24-8-24 DATA ENTRY'!$A$1:$BR$278,48,FALSE)</f>
        <v>0</v>
      </c>
      <c r="AX68" s="9">
        <f>VLOOKUP($A68,'[1]24-8-24 DATA ENTRY'!$A$1:$BR$278,49,FALSE)</f>
        <v>0</v>
      </c>
      <c r="AY68" s="9">
        <f>VLOOKUP($A68,'[1]24-8-24 DATA ENTRY'!$A$1:$BR$278,50,FALSE)</f>
        <v>0</v>
      </c>
      <c r="AZ68" s="9">
        <f>VLOOKUP($A68,'[1]24-8-24 DATA ENTRY'!$A$1:$BR$278,51,FALSE)</f>
        <v>0</v>
      </c>
      <c r="BA68" s="9">
        <f>VLOOKUP($A68,'[1]24-8-24 DATA ENTRY'!$A$1:$BR$278,52,FALSE)</f>
        <v>0</v>
      </c>
      <c r="BB68" s="5">
        <v>1</v>
      </c>
      <c r="BC68" s="9">
        <f>VLOOKUP($A68,'[1]24-8-24 DATA ENTRY'!$A$1:$BR$278,53,FALSE)</f>
        <v>100</v>
      </c>
      <c r="BD68" s="5">
        <v>1</v>
      </c>
      <c r="BE68" s="5">
        <v>2</v>
      </c>
      <c r="BF68" s="5">
        <v>2</v>
      </c>
      <c r="BG68" s="5">
        <v>2</v>
      </c>
      <c r="BH68" s="5">
        <v>1</v>
      </c>
      <c r="BI68" s="5">
        <v>1</v>
      </c>
      <c r="BJ68" s="5">
        <v>1</v>
      </c>
      <c r="BK68" s="5">
        <v>1</v>
      </c>
      <c r="BL68" s="5">
        <v>1</v>
      </c>
      <c r="BM68" s="5">
        <v>2</v>
      </c>
      <c r="BN68" s="5">
        <v>2</v>
      </c>
      <c r="BO68" s="5">
        <v>1</v>
      </c>
      <c r="BP68" s="5">
        <v>1</v>
      </c>
      <c r="BQ68" s="5">
        <v>1</v>
      </c>
      <c r="BR68" s="5">
        <v>19</v>
      </c>
      <c r="BS68" s="5">
        <v>1</v>
      </c>
      <c r="BT68" s="5">
        <v>1</v>
      </c>
      <c r="BU68" s="5"/>
    </row>
    <row r="69" spans="1:73" x14ac:dyDescent="0.25">
      <c r="A69" s="21" t="s">
        <v>495</v>
      </c>
      <c r="B69" s="5">
        <v>0</v>
      </c>
      <c r="C69" s="5">
        <v>1.9566300000000001</v>
      </c>
      <c r="D69" s="9">
        <f>VLOOKUP($A69,'[1]24-8-24 DATA ENTRY'!$A$1:$BR$278,3,FALSE)</f>
        <v>240000048377</v>
      </c>
      <c r="E69" s="9">
        <f>VLOOKUP($A69,'[1]24-8-24 DATA ENTRY'!$A$1:$BR$278,4,FALSE)</f>
        <v>61</v>
      </c>
      <c r="F69" s="9">
        <f>VLOOKUP($A69,'[1]24-8-24 DATA ENTRY'!$A$1:$BR$278,5,FALSE)</f>
        <v>1</v>
      </c>
      <c r="G69" s="10">
        <f>VLOOKUP($A69,'[1]24-8-24 DATA ENTRY'!$A$1:$BR$278,6,FALSE)</f>
        <v>45443</v>
      </c>
      <c r="H69" s="9">
        <f>VLOOKUP($A69,'[1]24-8-24 DATA ENTRY'!$A$1:$BR$278,7,FALSE)</f>
        <v>0.54166666666666663</v>
      </c>
      <c r="I69" s="10">
        <f>VLOOKUP($A69,'[1]24-8-24 DATA ENTRY'!$A$1:$BR$278,8,FALSE)</f>
        <v>45443</v>
      </c>
      <c r="J69" s="10">
        <f>VLOOKUP($A69,'[1]24-8-24 DATA ENTRY'!$A$1:$BR$278,9,FALSE)</f>
        <v>45444</v>
      </c>
      <c r="K69" s="9">
        <f>VLOOKUP($A69,'[1]24-8-24 DATA ENTRY'!$A$1:$BR$278,10,FALSE)</f>
        <v>8446008244</v>
      </c>
      <c r="L69" s="9">
        <f>VLOOKUP($A69,'[1]24-8-24 DATA ENTRY'!$A$1:$BR$278,11,FALSE)</f>
        <v>0</v>
      </c>
      <c r="M69" s="9">
        <f>VLOOKUP($A69,'[1]24-8-24 DATA ENTRY'!$A$1:$BR$278,12,FALSE)</f>
        <v>3</v>
      </c>
      <c r="N69" s="9">
        <f>VLOOKUP($A69,'[1]24-8-24 DATA ENTRY'!$A$1:$BR$278,13,FALSE)</f>
        <v>1</v>
      </c>
      <c r="O69" s="9">
        <f>VLOOKUP($A69,'[1]24-8-24 DATA ENTRY'!$A$1:$BR$278,14,FALSE)</f>
        <v>2</v>
      </c>
      <c r="P69" s="9">
        <f>VLOOKUP($A69,'[1]24-8-24 DATA ENTRY'!$A$1:$BR$278,15,FALSE)</f>
        <v>1</v>
      </c>
      <c r="Q69" s="9">
        <f>VLOOKUP($A69,'[1]24-8-24 DATA ENTRY'!$A$1:$BR$278,16,FALSE)</f>
        <v>2</v>
      </c>
      <c r="R69" s="9">
        <f>VLOOKUP($A69,'[1]24-8-24 DATA ENTRY'!$A$1:$BR$278,17,FALSE)</f>
        <v>2</v>
      </c>
      <c r="S69" s="9">
        <f>VLOOKUP($A69,'[1]24-8-24 DATA ENTRY'!$A$1:$BR$278,18,FALSE)</f>
        <v>2</v>
      </c>
      <c r="T69" s="9">
        <f>VLOOKUP($A69,'[1]24-8-24 DATA ENTRY'!$A$1:$BR$278,19,FALSE)</f>
        <v>2</v>
      </c>
      <c r="U69" s="9">
        <f>VLOOKUP($A69,'[1]24-8-24 DATA ENTRY'!$A$1:$BR$278,20,FALSE)</f>
        <v>2</v>
      </c>
      <c r="V69" s="9">
        <f>VLOOKUP($A69,'[1]24-8-24 DATA ENTRY'!$A$1:$BR$278,21,FALSE)</f>
        <v>2</v>
      </c>
      <c r="W69" s="9">
        <f>VLOOKUP($A69,'[1]24-8-24 DATA ENTRY'!$A$1:$BR$278,22,FALSE)</f>
        <v>0</v>
      </c>
      <c r="X69" s="9">
        <f>VLOOKUP($A69,'[1]24-8-24 DATA ENTRY'!$A$1:$BR$278,23,FALSE)</f>
        <v>14.3</v>
      </c>
      <c r="Y69" s="9">
        <f>VLOOKUP($A69,'[1]24-8-24 DATA ENTRY'!$A$1:$BR$278,24,FALSE)</f>
        <v>42</v>
      </c>
      <c r="Z69" s="9">
        <f>VLOOKUP($A69,'[1]24-8-24 DATA ENTRY'!$A$1:$BR$278,25,FALSE)</f>
        <v>95.8</v>
      </c>
      <c r="AA69" s="9">
        <f>VLOOKUP($A69,'[1]24-8-24 DATA ENTRY'!$A$1:$BR$278,26,FALSE)</f>
        <v>42.56</v>
      </c>
      <c r="AB69" s="9">
        <f>VLOOKUP($A69,'[1]24-8-24 DATA ENTRY'!$A$1:$BR$278,27,FALSE)</f>
        <v>5.9</v>
      </c>
      <c r="AC69" s="9">
        <f>VLOOKUP($A69,'[1]24-8-24 DATA ENTRY'!$A$1:$BR$278,28,FALSE)</f>
        <v>152</v>
      </c>
      <c r="AD69" s="9">
        <f>VLOOKUP($A69,'[1]24-8-24 DATA ENTRY'!$A$1:$BR$278,29,FALSE)</f>
        <v>95.6</v>
      </c>
      <c r="AE69" s="9">
        <f>VLOOKUP($A69,'[1]24-8-24 DATA ENTRY'!$A$1:$BR$278,30,FALSE)</f>
        <v>35</v>
      </c>
      <c r="AF69" s="9">
        <f>VLOOKUP($A69,'[1]24-8-24 DATA ENTRY'!$A$1:$BR$278,31,FALSE)</f>
        <v>21.4</v>
      </c>
      <c r="AG69" s="9">
        <f>VLOOKUP($A69,'[1]24-8-24 DATA ENTRY'!$A$1:$BR$278,32,FALSE)</f>
        <v>107</v>
      </c>
      <c r="AH69" s="9">
        <f>VLOOKUP($A69,'[1]24-8-24 DATA ENTRY'!$A$1:$BR$278,33,FALSE)</f>
        <v>148</v>
      </c>
      <c r="AI69" s="9">
        <f>VLOOKUP($A69,'[1]24-8-24 DATA ENTRY'!$A$1:$BR$278,34,FALSE)</f>
        <v>0</v>
      </c>
      <c r="AJ69" s="9">
        <f>VLOOKUP($A69,'[1]24-8-24 DATA ENTRY'!$A$1:$BR$278,35,FALSE)</f>
        <v>0</v>
      </c>
      <c r="AK69" s="9" t="str">
        <f>VLOOKUP($A69,'[1]24-8-24 DATA ENTRY'!$A$1:$BR$278,36,FALSE)</f>
        <v>left putamen, external capsule acute infarct . left occipital infarct</v>
      </c>
      <c r="AL69" s="9" t="str">
        <f>VLOOKUP($A69,'[1]24-8-24 DATA ENTRY'!$A$1:$BR$278,37,FALSE)</f>
        <v>normal</v>
      </c>
      <c r="AM69" s="9">
        <f>VLOOKUP($A69,'[1]24-8-24 DATA ENTRY'!$A$1:$BR$278,38,FALSE)</f>
        <v>0</v>
      </c>
      <c r="AN69" s="9">
        <f>VLOOKUP($A69,'[1]24-8-24 DATA ENTRY'!$A$1:$BR$278,39,FALSE)</f>
        <v>9</v>
      </c>
      <c r="AO69" s="9">
        <f>VLOOKUP($A69,'[1]24-8-24 DATA ENTRY'!$A$1:$BR$278,40,FALSE)</f>
        <v>1</v>
      </c>
      <c r="AP69" s="9">
        <f>VLOOKUP($A69,'[1]24-8-24 DATA ENTRY'!$A$1:$BR$278,41,FALSE)</f>
        <v>3</v>
      </c>
      <c r="AQ69" s="9">
        <f>VLOOKUP($A69,'[1]24-8-24 DATA ENTRY'!$A$1:$BR$278,42,FALSE)</f>
        <v>3</v>
      </c>
      <c r="AR69" s="9">
        <f>VLOOKUP($A69,'[1]24-8-24 DATA ENTRY'!$A$1:$BR$278,43,FALSE)</f>
        <v>5</v>
      </c>
      <c r="AS69" s="9">
        <f>VLOOKUP($A69,'[1]24-8-24 DATA ENTRY'!$A$1:$BR$278,44,FALSE)</f>
        <v>0</v>
      </c>
      <c r="AT69" s="9">
        <f>VLOOKUP($A69,'[1]24-8-24 DATA ENTRY'!$A$1:$BR$278,45,FALSE)</f>
        <v>1</v>
      </c>
      <c r="AU69" s="9">
        <f>VLOOKUP($A69,'[1]24-8-24 DATA ENTRY'!$A$1:$BR$278,46,FALSE)</f>
        <v>1</v>
      </c>
      <c r="AV69" s="9">
        <f>VLOOKUP($A69,'[1]24-8-24 DATA ENTRY'!$A$1:$BR$278,47,FALSE)</f>
        <v>2</v>
      </c>
      <c r="AW69" s="9">
        <f>VLOOKUP($A69,'[1]24-8-24 DATA ENTRY'!$A$1:$BR$278,48,FALSE)</f>
        <v>0</v>
      </c>
      <c r="AX69" s="9">
        <f>VLOOKUP($A69,'[1]24-8-24 DATA ENTRY'!$A$1:$BR$278,49,FALSE)</f>
        <v>0</v>
      </c>
      <c r="AY69" s="9">
        <f>VLOOKUP($A69,'[1]24-8-24 DATA ENTRY'!$A$1:$BR$278,50,FALSE)</f>
        <v>0</v>
      </c>
      <c r="AZ69" s="9">
        <f>VLOOKUP($A69,'[1]24-8-24 DATA ENTRY'!$A$1:$BR$278,51,FALSE)</f>
        <v>0</v>
      </c>
      <c r="BA69" s="9">
        <f>VLOOKUP($A69,'[1]24-8-24 DATA ENTRY'!$A$1:$BR$278,52,FALSE)</f>
        <v>0</v>
      </c>
      <c r="BB69" s="5">
        <v>1</v>
      </c>
      <c r="BC69" s="9">
        <f>VLOOKUP($A69,'[1]24-8-24 DATA ENTRY'!$A$1:$BR$278,53,FALSE)</f>
        <v>0</v>
      </c>
      <c r="BD69" s="5">
        <v>1</v>
      </c>
      <c r="BE69" s="5">
        <v>2</v>
      </c>
      <c r="BF69" s="5">
        <v>2</v>
      </c>
      <c r="BG69" s="5">
        <v>2</v>
      </c>
      <c r="BH69" s="5">
        <v>1</v>
      </c>
      <c r="BI69" s="5">
        <v>1</v>
      </c>
      <c r="BJ69" s="5">
        <v>1</v>
      </c>
      <c r="BK69" s="5">
        <v>1</v>
      </c>
      <c r="BL69" s="5">
        <v>2</v>
      </c>
      <c r="BM69" s="5">
        <v>2</v>
      </c>
      <c r="BN69" s="5">
        <v>2</v>
      </c>
      <c r="BO69" s="5">
        <v>1</v>
      </c>
      <c r="BP69" s="5">
        <v>1</v>
      </c>
      <c r="BQ69" s="5">
        <v>1</v>
      </c>
      <c r="BR69" s="5">
        <v>20</v>
      </c>
      <c r="BS69" s="5">
        <v>1</v>
      </c>
      <c r="BT69" s="5">
        <v>1</v>
      </c>
      <c r="BU69" s="5"/>
    </row>
    <row r="70" spans="1:73" x14ac:dyDescent="0.25">
      <c r="A70" s="5" t="s">
        <v>498</v>
      </c>
      <c r="B70" s="5">
        <v>0</v>
      </c>
      <c r="C70" s="5">
        <v>7.3615700000000004</v>
      </c>
      <c r="D70" s="18">
        <f>VLOOKUP($A70,'[1]24-8-24 DATA ENTRY'!$A$1:$BR$258,3,FALSE)</f>
        <v>230000023836</v>
      </c>
      <c r="E70" s="18">
        <f>VLOOKUP($A70,'[1]24-8-24 DATA ENTRY'!$A$1:$BR$258,4,FALSE)</f>
        <v>74</v>
      </c>
      <c r="F70" s="18">
        <f>VLOOKUP($A70,'[1]24-8-24 DATA ENTRY'!$A$1:$BR$258,5,FALSE)</f>
        <v>1</v>
      </c>
      <c r="G70" s="19">
        <f>VLOOKUP($A70,'[1]24-8-24 DATA ENTRY'!$A$1:$BR$258,6,FALSE)</f>
        <v>0</v>
      </c>
      <c r="H70" s="18">
        <f>VLOOKUP($A70,'[1]24-8-24 DATA ENTRY'!$A$1:$BR$258,7,FALSE)</f>
        <v>0</v>
      </c>
      <c r="I70" s="19">
        <f>VLOOKUP($A70,'[1]24-8-24 DATA ENTRY'!$A$1:$BR$258,8,FALSE)</f>
        <v>45384</v>
      </c>
      <c r="J70" s="19">
        <f>VLOOKUP($A70,'[1]24-8-24 DATA ENTRY'!$A$1:$BR$258,9,FALSE)</f>
        <v>0</v>
      </c>
      <c r="K70" s="18">
        <f>VLOOKUP($A70,'[1]24-8-24 DATA ENTRY'!$A$1:$BR$258,10,FALSE)</f>
        <v>9011783896</v>
      </c>
      <c r="L70" s="18">
        <f>VLOOKUP($A70,'[1]24-8-24 DATA ENTRY'!$A$1:$BR$258,11,FALSE)</f>
        <v>0</v>
      </c>
      <c r="M70" s="18">
        <f>VLOOKUP($A70,'[1]24-8-24 DATA ENTRY'!$A$1:$BR$258,12,FALSE)</f>
        <v>15</v>
      </c>
      <c r="N70" s="18">
        <f>VLOOKUP($A70,'[1]24-8-24 DATA ENTRY'!$A$1:$BR$258,13,FALSE)</f>
        <v>1</v>
      </c>
      <c r="O70" s="18">
        <f>VLOOKUP($A70,'[1]24-8-24 DATA ENTRY'!$A$1:$BR$258,14,FALSE)</f>
        <v>1</v>
      </c>
      <c r="P70" s="18">
        <f>VLOOKUP($A70,'[1]24-8-24 DATA ENTRY'!$A$1:$BR$258,15,FALSE)</f>
        <v>2</v>
      </c>
      <c r="Q70" s="18">
        <f>VLOOKUP($A70,'[1]24-8-24 DATA ENTRY'!$A$1:$BR$258,16,FALSE)</f>
        <v>2</v>
      </c>
      <c r="R70" s="18">
        <f>VLOOKUP($A70,'[1]24-8-24 DATA ENTRY'!$A$1:$BR$258,17,FALSE)</f>
        <v>2</v>
      </c>
      <c r="S70" s="18">
        <f>VLOOKUP($A70,'[1]24-8-24 DATA ENTRY'!$A$1:$BR$258,18,FALSE)</f>
        <v>2</v>
      </c>
      <c r="T70" s="18">
        <f>VLOOKUP($A70,'[1]24-8-24 DATA ENTRY'!$A$1:$BR$258,19,FALSE)</f>
        <v>2</v>
      </c>
      <c r="U70" s="18">
        <f>VLOOKUP($A70,'[1]24-8-24 DATA ENTRY'!$A$1:$BR$258,20,FALSE)</f>
        <v>1</v>
      </c>
      <c r="V70" s="18">
        <f>VLOOKUP($A70,'[1]24-8-24 DATA ENTRY'!$A$1:$BR$258,21,FALSE)</f>
        <v>2</v>
      </c>
      <c r="W70" s="18" t="str">
        <f>VLOOKUP($A70,'[1]24-8-24 DATA ENTRY'!$A$1:$BR$258,22,FALSE)</f>
        <v>peripheral vascular disease</v>
      </c>
      <c r="X70" s="18">
        <f>VLOOKUP($A70,'[1]24-8-24 DATA ENTRY'!$A$1:$BR$258,23,FALSE)</f>
        <v>9.9</v>
      </c>
      <c r="Y70" s="18">
        <f>VLOOKUP($A70,'[1]24-8-24 DATA ENTRY'!$A$1:$BR$258,24,FALSE)</f>
        <v>30.3</v>
      </c>
      <c r="Z70" s="18">
        <f>VLOOKUP($A70,'[1]24-8-24 DATA ENTRY'!$A$1:$BR$258,25,FALSE)</f>
        <v>85.9</v>
      </c>
      <c r="AA70" s="18">
        <f>VLOOKUP($A70,'[1]24-8-24 DATA ENTRY'!$A$1:$BR$258,26,FALSE)</f>
        <v>16.739999999999998</v>
      </c>
      <c r="AB70" s="18">
        <f>VLOOKUP($A70,'[1]24-8-24 DATA ENTRY'!$A$1:$BR$258,27,FALSE)</f>
        <v>7.6</v>
      </c>
      <c r="AC70" s="18">
        <f>VLOOKUP($A70,'[1]24-8-24 DATA ENTRY'!$A$1:$BR$258,28,FALSE)</f>
        <v>148</v>
      </c>
      <c r="AD70" s="18">
        <f>VLOOKUP($A70,'[1]24-8-24 DATA ENTRY'!$A$1:$BR$258,29,FALSE)</f>
        <v>67.400000000000006</v>
      </c>
      <c r="AE70" s="18">
        <f>VLOOKUP($A70,'[1]24-8-24 DATA ENTRY'!$A$1:$BR$258,30,FALSE)</f>
        <v>34</v>
      </c>
      <c r="AF70" s="18">
        <f>VLOOKUP($A70,'[1]24-8-24 DATA ENTRY'!$A$1:$BR$258,31,FALSE)</f>
        <v>46.6</v>
      </c>
      <c r="AG70" s="18">
        <f>VLOOKUP($A70,'[1]24-8-24 DATA ENTRY'!$A$1:$BR$258,32,FALSE)</f>
        <v>233</v>
      </c>
      <c r="AH70" s="18">
        <f>VLOOKUP($A70,'[1]24-8-24 DATA ENTRY'!$A$1:$BR$258,33,FALSE)</f>
        <v>286</v>
      </c>
      <c r="AI70" s="18">
        <f>VLOOKUP($A70,'[1]24-8-24 DATA ENTRY'!$A$1:$BR$258,34,FALSE)</f>
        <v>0</v>
      </c>
      <c r="AJ70" s="18">
        <f>VLOOKUP($A70,'[1]24-8-24 DATA ENTRY'!$A$1:$BR$258,35,FALSE)</f>
        <v>0</v>
      </c>
      <c r="AK70" s="18" t="str">
        <f>VLOOKUP($A70,'[1]24-8-24 DATA ENTRY'!$A$1:$BR$258,36,FALSE)</f>
        <v>left internal watershed infarct acute, rt MCA-PCA; MCA ACA watershed infarcts</v>
      </c>
      <c r="AL70" s="18" t="str">
        <f>VLOOKUP($A70,'[1]24-8-24 DATA ENTRY'!$A$1:$BR$258,37,FALSE)</f>
        <v>Rt ICA 95% stenosis, Lt ICA 99% Stenosis, Rt vertebral artery 60-70% stenosis, mild basilar artery 90% stenosis</v>
      </c>
      <c r="AM70" s="18">
        <f>VLOOKUP($A70,'[1]24-8-24 DATA ENTRY'!$A$1:$BR$258,38,FALSE)</f>
        <v>0</v>
      </c>
      <c r="AN70" s="18">
        <f>VLOOKUP($A70,'[1]24-8-24 DATA ENTRY'!$A$1:$BR$258,39,FALSE)</f>
        <v>9</v>
      </c>
      <c r="AO70" s="18">
        <f>VLOOKUP($A70,'[1]24-8-24 DATA ENTRY'!$A$1:$BR$258,40,FALSE)</f>
        <v>1</v>
      </c>
      <c r="AP70" s="18">
        <f>VLOOKUP($A70,'[1]24-8-24 DATA ENTRY'!$A$1:$BR$258,41,FALSE)</f>
        <v>3</v>
      </c>
      <c r="AQ70" s="18">
        <f>VLOOKUP($A70,'[1]24-8-24 DATA ENTRY'!$A$1:$BR$258,42,FALSE)</f>
        <v>3</v>
      </c>
      <c r="AR70" s="18">
        <f>VLOOKUP($A70,'[1]24-8-24 DATA ENTRY'!$A$1:$BR$258,43,FALSE)</f>
        <v>5</v>
      </c>
      <c r="AS70" s="18">
        <f>VLOOKUP($A70,'[1]24-8-24 DATA ENTRY'!$A$1:$BR$258,44,FALSE)</f>
        <v>0</v>
      </c>
      <c r="AT70" s="18">
        <f>VLOOKUP($A70,'[1]24-8-24 DATA ENTRY'!$A$1:$BR$258,45,FALSE)</f>
        <v>1</v>
      </c>
      <c r="AU70" s="18">
        <f>VLOOKUP($A70,'[1]24-8-24 DATA ENTRY'!$A$1:$BR$258,46,FALSE)</f>
        <v>1</v>
      </c>
      <c r="AV70" s="18">
        <f>VLOOKUP($A70,'[1]24-8-24 DATA ENTRY'!$A$1:$BR$258,47,FALSE)</f>
        <v>2</v>
      </c>
      <c r="AW70" s="18">
        <f>VLOOKUP($A70,'[1]24-8-24 DATA ENTRY'!$A$1:$BR$258,48,FALSE)</f>
        <v>0</v>
      </c>
      <c r="AX70" s="18">
        <f>VLOOKUP($A70,'[1]24-8-24 DATA ENTRY'!$A$1:$BR$258,49,FALSE)</f>
        <v>0</v>
      </c>
      <c r="AY70" s="18">
        <f>VLOOKUP($A70,'[1]24-8-24 DATA ENTRY'!$A$1:$BR$258,50,FALSE)</f>
        <v>0</v>
      </c>
      <c r="AZ70" s="18">
        <f>VLOOKUP($A70,'[1]24-8-24 DATA ENTRY'!$A$1:$BR$258,51,FALSE)</f>
        <v>0</v>
      </c>
      <c r="BA70" s="18">
        <f>VLOOKUP($A70,'[1]24-8-24 DATA ENTRY'!$A$1:$BR$258,52,FALSE)</f>
        <v>0</v>
      </c>
      <c r="BB70" s="5">
        <v>1</v>
      </c>
      <c r="BC70" s="18">
        <f>VLOOKUP($A70,'[1]24-8-24 DATA ENTRY'!$A$1:$BR$258,53,FALSE)</f>
        <v>100</v>
      </c>
      <c r="BD70" s="5">
        <v>0</v>
      </c>
      <c r="BE70" s="5">
        <v>2</v>
      </c>
      <c r="BF70" s="5">
        <v>2</v>
      </c>
      <c r="BG70" s="5">
        <v>2</v>
      </c>
      <c r="BH70" s="5">
        <v>1</v>
      </c>
      <c r="BI70" s="5">
        <v>1</v>
      </c>
      <c r="BJ70" s="5">
        <v>1</v>
      </c>
      <c r="BK70" s="5">
        <v>0</v>
      </c>
      <c r="BL70" s="5">
        <v>2</v>
      </c>
      <c r="BM70" s="5">
        <v>2</v>
      </c>
      <c r="BN70" s="5">
        <v>2</v>
      </c>
      <c r="BO70" s="5">
        <v>1</v>
      </c>
      <c r="BP70" s="5">
        <v>1</v>
      </c>
      <c r="BQ70" s="5">
        <v>1</v>
      </c>
      <c r="BR70" s="5">
        <v>18</v>
      </c>
      <c r="BS70" s="5">
        <v>0</v>
      </c>
      <c r="BT70" s="5">
        <v>0</v>
      </c>
      <c r="BU70" s="5" t="s">
        <v>87</v>
      </c>
    </row>
    <row r="71" spans="1:73" x14ac:dyDescent="0.25">
      <c r="A71" s="5" t="s">
        <v>503</v>
      </c>
      <c r="B71" s="5">
        <v>0</v>
      </c>
      <c r="C71" s="5">
        <v>12.955399999999999</v>
      </c>
      <c r="D71" s="9">
        <f>VLOOKUP($A71,'[1]24-8-24 DATA ENTRY'!$A$1:$BR$303,3,FALSE)</f>
        <v>240000046877</v>
      </c>
      <c r="E71" s="9">
        <f>VLOOKUP($A71,'[1]24-8-24 DATA ENTRY'!$A$1:$BR$303,4,FALSE)</f>
        <v>63</v>
      </c>
      <c r="F71" s="9">
        <f>VLOOKUP($A71,'[1]24-8-24 DATA ENTRY'!$A$1:$BR$303,5,FALSE)</f>
        <v>1</v>
      </c>
      <c r="G71" s="10">
        <f>VLOOKUP($A71,'[1]24-8-24 DATA ENTRY'!$A$1:$BR$303,6,FALSE)</f>
        <v>45478</v>
      </c>
      <c r="H71" s="9">
        <f>VLOOKUP($A71,'[1]24-8-24 DATA ENTRY'!$A$1:$BR$303,7,FALSE)</f>
        <v>0</v>
      </c>
      <c r="I71" s="10">
        <f>VLOOKUP($A71,'[1]24-8-24 DATA ENTRY'!$A$1:$BR$303,8,FALSE)</f>
        <v>45478</v>
      </c>
      <c r="J71" s="10">
        <f>VLOOKUP($A71,'[1]24-8-24 DATA ENTRY'!$A$1:$BR$303,9,FALSE)</f>
        <v>45479</v>
      </c>
      <c r="K71" s="9">
        <f>VLOOKUP($A71,'[1]24-8-24 DATA ENTRY'!$A$1:$BR$303,10,FALSE)</f>
        <v>9881472683</v>
      </c>
      <c r="L71" s="9">
        <f>VLOOKUP($A71,'[1]24-8-24 DATA ENTRY'!$A$1:$BR$303,11,FALSE)</f>
        <v>0</v>
      </c>
      <c r="M71" s="9">
        <f>VLOOKUP($A71,'[1]24-8-24 DATA ENTRY'!$A$1:$BR$303,12,FALSE)</f>
        <v>1</v>
      </c>
      <c r="N71" s="9">
        <f>VLOOKUP($A71,'[1]24-8-24 DATA ENTRY'!$A$1:$BR$303,13,FALSE)</f>
        <v>1</v>
      </c>
      <c r="O71" s="9">
        <f>VLOOKUP($A71,'[1]24-8-24 DATA ENTRY'!$A$1:$BR$303,14,FALSE)</f>
        <v>2</v>
      </c>
      <c r="P71" s="9">
        <f>VLOOKUP($A71,'[1]24-8-24 DATA ENTRY'!$A$1:$BR$303,15,FALSE)</f>
        <v>2</v>
      </c>
      <c r="Q71" s="9">
        <f>VLOOKUP($A71,'[1]24-8-24 DATA ENTRY'!$A$1:$BR$303,16,FALSE)</f>
        <v>2</v>
      </c>
      <c r="R71" s="9">
        <f>VLOOKUP($A71,'[1]24-8-24 DATA ENTRY'!$A$1:$BR$303,17,FALSE)</f>
        <v>2</v>
      </c>
      <c r="S71" s="9">
        <f>VLOOKUP($A71,'[1]24-8-24 DATA ENTRY'!$A$1:$BR$303,18,FALSE)</f>
        <v>2</v>
      </c>
      <c r="T71" s="9">
        <f>VLOOKUP($A71,'[1]24-8-24 DATA ENTRY'!$A$1:$BR$303,19,FALSE)</f>
        <v>2</v>
      </c>
      <c r="U71" s="9">
        <v>2</v>
      </c>
      <c r="V71" s="9">
        <f>VLOOKUP($A71,'[1]24-8-24 DATA ENTRY'!$A$1:$BR$303,21,FALSE)</f>
        <v>2</v>
      </c>
      <c r="W71" s="9">
        <f>VLOOKUP($A71,'[1]24-8-24 DATA ENTRY'!$A$1:$BR$303,22,FALSE)</f>
        <v>0</v>
      </c>
      <c r="X71" s="9">
        <f>VLOOKUP($A71,'[1]24-8-24 DATA ENTRY'!$A$1:$BR$303,23,FALSE)</f>
        <v>13.8</v>
      </c>
      <c r="Y71" s="9">
        <f>VLOOKUP($A71,'[1]24-8-24 DATA ENTRY'!$A$1:$BR$303,24,FALSE)</f>
        <v>43.2</v>
      </c>
      <c r="Z71" s="9">
        <f>VLOOKUP($A71,'[1]24-8-24 DATA ENTRY'!$A$1:$BR$303,25,FALSE)</f>
        <v>83.9</v>
      </c>
      <c r="AA71" s="9">
        <f>VLOOKUP($A71,'[1]24-8-24 DATA ENTRY'!$A$1:$BR$303,26,FALSE)</f>
        <v>23.18</v>
      </c>
      <c r="AB71" s="9">
        <f>VLOOKUP($A71,'[1]24-8-24 DATA ENTRY'!$A$1:$BR$303,27,FALSE)</f>
        <v>0</v>
      </c>
      <c r="AC71" s="9">
        <f>VLOOKUP($A71,'[1]24-8-24 DATA ENTRY'!$A$1:$BR$303,28,FALSE)</f>
        <v>191</v>
      </c>
      <c r="AD71" s="9">
        <f>VLOOKUP($A71,'[1]24-8-24 DATA ENTRY'!$A$1:$BR$303,29,FALSE)</f>
        <v>123.4</v>
      </c>
      <c r="AE71" s="9">
        <f>VLOOKUP($A71,'[1]24-8-24 DATA ENTRY'!$A$1:$BR$2303,30,FALSE)</f>
        <v>37</v>
      </c>
      <c r="AF71" s="9">
        <f>VLOOKUP($A71,'[1]24-8-24 DATA ENTRY'!$A$1:$BR$303,31,FALSE)</f>
        <v>30.6</v>
      </c>
      <c r="AG71" s="9">
        <f>VLOOKUP($A71,'[1]24-8-24 DATA ENTRY'!$A$1:$BR$303,32,FALSE)</f>
        <v>153</v>
      </c>
      <c r="AH71" s="9">
        <f>VLOOKUP($A71,'[1]24-8-24 DATA ENTRY'!$A$1:$BR$303,33,FALSE)</f>
        <v>170</v>
      </c>
      <c r="AI71" s="9">
        <f>VLOOKUP($A71,'[1]24-8-24 DATA ENTRY'!$A$1:$BR$303,34,FALSE)</f>
        <v>0</v>
      </c>
      <c r="AJ71" s="9">
        <f>VLOOKUP($A71,'[1]24-8-24 DATA ENTRY'!$A$1:$BR$303,35,FALSE)</f>
        <v>0</v>
      </c>
      <c r="AK71" s="9">
        <f>VLOOKUP($A71,'[1]24-8-24 DATA ENTRY'!$A$1:$BR$303,36,FALSE)</f>
        <v>0</v>
      </c>
      <c r="AL71" s="9" t="str">
        <f>VLOOKUP($A71,'[1]24-8-24 DATA ENTRY'!$A$1:$BR$303,37,FALSE)</f>
        <v>left parieto occipital and splenium corpus calloral infarct</v>
      </c>
      <c r="AM71" s="9">
        <f>VLOOKUP($A71,'[1]24-8-24 DATA ENTRY'!$A$1:$BR$303,38,FALSE)</f>
        <v>0</v>
      </c>
      <c r="AN71" s="9">
        <f>VLOOKUP($A71,'[1]24-8-24 DATA ENTRY'!$A$1:$BR$303,39,FALSE)</f>
        <v>9</v>
      </c>
      <c r="AO71" s="9">
        <f>VLOOKUP($A71,'[1]24-8-24 DATA ENTRY'!$A$1:$BR$303,40,FALSE)</f>
        <v>1</v>
      </c>
      <c r="AP71" s="9">
        <f>VLOOKUP($A71,'[1]24-8-24 DATA ENTRY'!$A$1:$BR$303,41,FALSE)</f>
        <v>5</v>
      </c>
      <c r="AQ71" s="9">
        <f>VLOOKUP($A71,'[1]24-8-24 DATA ENTRY'!$A$1:$BR$303,42,FALSE)</f>
        <v>3</v>
      </c>
      <c r="AR71" s="9">
        <f>VLOOKUP($A71,'[1]24-8-24 DATA ENTRY'!$A$1:$BR$303,43,FALSE)</f>
        <v>5</v>
      </c>
      <c r="AS71" s="9">
        <f>VLOOKUP($A71,'[1]24-8-24 DATA ENTRY'!$A$1:$BR$303,44,FALSE)</f>
        <v>0</v>
      </c>
      <c r="AT71" s="9">
        <f>VLOOKUP($A71,'[1]24-8-24 DATA ENTRY'!$A$1:$BR$303,45,FALSE)</f>
        <v>1</v>
      </c>
      <c r="AU71" s="9">
        <f>VLOOKUP($A71,'[1]24-8-24 DATA ENTRY'!$A$1:$BR$303,46,FALSE)</f>
        <v>1</v>
      </c>
      <c r="AV71" s="9">
        <f>VLOOKUP($A71,'[1]24-8-24 DATA ENTRY'!$A$1:$BR$303,47,FALSE)</f>
        <v>2</v>
      </c>
      <c r="AW71" s="9">
        <f>VLOOKUP($A71,'[1]24-8-24 DATA ENTRY'!$A$1:$BR$303,48,FALSE)</f>
        <v>0</v>
      </c>
      <c r="AX71" s="9">
        <f>VLOOKUP($A71,'[1]24-8-24 DATA ENTRY'!$A$1:$BR$303,49,FALSE)</f>
        <v>0</v>
      </c>
      <c r="AY71" s="9">
        <f>VLOOKUP($A71,'[1]24-8-24 DATA ENTRY'!$A$1:$BR$303,50,FALSE)</f>
        <v>0</v>
      </c>
      <c r="AZ71" s="9">
        <f>VLOOKUP($A71,'[1]24-8-24 DATA ENTRY'!$A$1:$BR$303,51,FALSE)</f>
        <v>0</v>
      </c>
      <c r="BA71" s="9">
        <f>VLOOKUP($A71,'[1]24-8-24 DATA ENTRY'!$A$1:$BR$303,52,FALSE)</f>
        <v>0</v>
      </c>
      <c r="BB71" s="5">
        <v>1</v>
      </c>
      <c r="BC71" s="9">
        <f>VLOOKUP($A71,'[1]24-8-24 DATA ENTRY'!$A$1:$BR$303,53,FALSE)</f>
        <v>100</v>
      </c>
      <c r="BD71" s="5">
        <v>0</v>
      </c>
      <c r="BE71" s="5">
        <v>2</v>
      </c>
      <c r="BF71" s="5">
        <v>2</v>
      </c>
      <c r="BG71" s="5">
        <v>2</v>
      </c>
      <c r="BH71" s="5">
        <v>1</v>
      </c>
      <c r="BI71" s="5">
        <v>1</v>
      </c>
      <c r="BJ71" s="5">
        <v>1</v>
      </c>
      <c r="BK71" s="5">
        <v>0</v>
      </c>
      <c r="BL71" s="5">
        <v>2</v>
      </c>
      <c r="BM71" s="5">
        <v>2</v>
      </c>
      <c r="BN71" s="5">
        <v>2</v>
      </c>
      <c r="BO71" s="5">
        <v>1</v>
      </c>
      <c r="BP71" s="5">
        <v>1</v>
      </c>
      <c r="BQ71" s="5">
        <v>1</v>
      </c>
      <c r="BR71" s="5">
        <v>18</v>
      </c>
      <c r="BS71" s="5">
        <v>1</v>
      </c>
      <c r="BT71" s="5">
        <v>1</v>
      </c>
      <c r="BU71" s="5"/>
    </row>
    <row r="72" spans="1:73" x14ac:dyDescent="0.25">
      <c r="A72" s="21" t="s">
        <v>504</v>
      </c>
      <c r="B72" s="5">
        <v>0</v>
      </c>
      <c r="C72" s="5">
        <v>13.173299999999999</v>
      </c>
      <c r="D72" s="9">
        <f>VLOOKUP($A72,'[1]24-8-24 DATA ENTRY'!$A$1:$BR$278,3,FALSE)</f>
        <v>240000043565</v>
      </c>
      <c r="E72" s="9">
        <f>VLOOKUP($A72,'[1]24-8-24 DATA ENTRY'!$A$1:$BR$278,4,FALSE)</f>
        <v>47</v>
      </c>
      <c r="F72" s="9">
        <f>VLOOKUP($A72,'[1]24-8-24 DATA ENTRY'!$A$1:$BR$278,5,FALSE)</f>
        <v>2</v>
      </c>
      <c r="G72" s="10">
        <f>VLOOKUP($A72,'[1]24-8-24 DATA ENTRY'!$A$1:$BR$278,6,FALSE)</f>
        <v>45426</v>
      </c>
      <c r="H72" s="9">
        <f>VLOOKUP($A72,'[1]24-8-24 DATA ENTRY'!$A$1:$BR$278,7,FALSE)</f>
        <v>0.29166666666666669</v>
      </c>
      <c r="I72" s="10">
        <f>VLOOKUP($A72,'[1]24-8-24 DATA ENTRY'!$A$1:$BR$278,8,FALSE)</f>
        <v>45427</v>
      </c>
      <c r="J72" s="10">
        <f>VLOOKUP($A72,'[1]24-8-24 DATA ENTRY'!$A$1:$BR$278,9,FALSE)</f>
        <v>45429</v>
      </c>
      <c r="K72" s="9">
        <f>VLOOKUP($A72,'[1]24-8-24 DATA ENTRY'!$A$1:$BR$278,10,FALSE)</f>
        <v>9545440049</v>
      </c>
      <c r="L72" s="9">
        <f>VLOOKUP($A72,'[1]24-8-24 DATA ENTRY'!$A$1:$BR$278,11,FALSE)</f>
        <v>0</v>
      </c>
      <c r="M72" s="9">
        <f>VLOOKUP($A72,'[1]24-8-24 DATA ENTRY'!$A$1:$BR$278,12,FALSE)</f>
        <v>5</v>
      </c>
      <c r="N72" s="9">
        <f>VLOOKUP($A72,'[1]24-8-24 DATA ENTRY'!$A$1:$BR$278,13,FALSE)</f>
        <v>2</v>
      </c>
      <c r="O72" s="9">
        <f>VLOOKUP($A72,'[1]24-8-24 DATA ENTRY'!$A$1:$BR$278,14,FALSE)</f>
        <v>1</v>
      </c>
      <c r="P72" s="9">
        <f>VLOOKUP($A72,'[1]24-8-24 DATA ENTRY'!$A$1:$BR$278,15,FALSE)</f>
        <v>2</v>
      </c>
      <c r="Q72" s="9">
        <f>VLOOKUP($A72,'[1]24-8-24 DATA ENTRY'!$A$1:$BR$278,16,FALSE)</f>
        <v>2</v>
      </c>
      <c r="R72" s="9">
        <f>VLOOKUP($A72,'[1]24-8-24 DATA ENTRY'!$A$1:$BR$278,17,FALSE)</f>
        <v>1</v>
      </c>
      <c r="S72" s="9">
        <f>VLOOKUP($A72,'[1]24-8-24 DATA ENTRY'!$A$1:$BR$278,18,FALSE)</f>
        <v>2</v>
      </c>
      <c r="T72" s="9">
        <f>VLOOKUP($A72,'[1]24-8-24 DATA ENTRY'!$A$1:$BR$278,19,FALSE)</f>
        <v>2</v>
      </c>
      <c r="U72" s="9">
        <f>VLOOKUP($A72,'[1]24-8-24 DATA ENTRY'!$A$1:$BR$278,20,FALSE)</f>
        <v>2</v>
      </c>
      <c r="V72" s="9">
        <f>VLOOKUP($A72,'[1]24-8-24 DATA ENTRY'!$A$1:$BR$278,21,FALSE)</f>
        <v>2</v>
      </c>
      <c r="W72" s="9">
        <f>VLOOKUP($A72,'[1]24-8-24 DATA ENTRY'!$A$1:$BR$278,22,FALSE)</f>
        <v>0</v>
      </c>
      <c r="X72" s="9">
        <f>VLOOKUP($A72,'[1]24-8-24 DATA ENTRY'!$A$1:$BR$278,23,FALSE)</f>
        <v>12.6</v>
      </c>
      <c r="Y72" s="9">
        <f>VLOOKUP($A72,'[1]24-8-24 DATA ENTRY'!$A$1:$BR$278,24,FALSE)</f>
        <v>38.299999999999997</v>
      </c>
      <c r="Z72" s="9">
        <f>VLOOKUP($A72,'[1]24-8-24 DATA ENTRY'!$A$1:$BR$278,25,FALSE)</f>
        <v>77</v>
      </c>
      <c r="AA72" s="9">
        <f>VLOOKUP($A72,'[1]24-8-24 DATA ENTRY'!$A$1:$BR$278,26,FALSE)</f>
        <v>3.26</v>
      </c>
      <c r="AB72" s="9">
        <f>VLOOKUP($A72,'[1]24-8-24 DATA ENTRY'!$A$1:$BR$278,27,FALSE)</f>
        <v>13</v>
      </c>
      <c r="AC72" s="9">
        <f>VLOOKUP($A72,'[1]24-8-24 DATA ENTRY'!$A$1:$BR$278,28,FALSE)</f>
        <v>0</v>
      </c>
      <c r="AD72" s="9">
        <f>VLOOKUP($A72,'[1]24-8-24 DATA ENTRY'!$A$1:$BR$278,29,FALSE)</f>
        <v>0</v>
      </c>
      <c r="AE72" s="9">
        <f>VLOOKUP($A72,'[1]24-8-24 DATA ENTRY'!$A$1:$BR$278,30,FALSE)</f>
        <v>0</v>
      </c>
      <c r="AF72" s="9">
        <f>VLOOKUP($A72,'[1]24-8-24 DATA ENTRY'!$A$1:$BR$278,31,FALSE)</f>
        <v>0</v>
      </c>
      <c r="AG72" s="9">
        <f>VLOOKUP($A72,'[1]24-8-24 DATA ENTRY'!$A$1:$BR$278,32,FALSE)</f>
        <v>0</v>
      </c>
      <c r="AH72" s="9">
        <f>VLOOKUP($A72,'[1]24-8-24 DATA ENTRY'!$A$1:$BR$278,33,FALSE)</f>
        <v>2000</v>
      </c>
      <c r="AI72" s="9">
        <f>VLOOKUP($A72,'[1]24-8-24 DATA ENTRY'!$A$1:$BR$278,34,FALSE)</f>
        <v>0</v>
      </c>
      <c r="AJ72" s="9">
        <f>VLOOKUP($A72,'[1]24-8-24 DATA ENTRY'!$A$1:$BR$278,35,FALSE)</f>
        <v>0</v>
      </c>
      <c r="AK72" s="9" t="str">
        <f>VLOOKUP($A72,'[1]24-8-24 DATA ENTRY'!$A$1:$BR$278,36,FALSE)</f>
        <v>PATCHY INFARCTS IN B/L ACA MCA AND OLD RIGHT INTERNAL WATERSHED INFARCTS</v>
      </c>
      <c r="AL72" s="9" t="str">
        <f>VLOOKUP($A72,'[1]24-8-24 DATA ENTRY'!$A$1:$BR$278,37,FALSE)</f>
        <v>RT ICA NARROWING 50% AT ORIGIN AND CAVERNOUS SEGMENT OF RT ICA OCCLUDED/TIGHT STENOSIS</v>
      </c>
      <c r="AM72" s="9" t="str">
        <f>VLOOKUP($A72,'[1]24-8-24 DATA ENTRY'!$A$1:$BR$278,38,FALSE)</f>
        <v>LEFT MCA AND ACA OPACIFIED</v>
      </c>
      <c r="AN72" s="9">
        <f>VLOOKUP($A72,'[1]24-8-24 DATA ENTRY'!$A$1:$BR$278,39,FALSE)</f>
        <v>9</v>
      </c>
      <c r="AO72" s="9">
        <f>VLOOKUP($A72,'[1]24-8-24 DATA ENTRY'!$A$1:$BR$278,40,FALSE)</f>
        <v>1</v>
      </c>
      <c r="AP72" s="9">
        <f>VLOOKUP($A72,'[1]24-8-24 DATA ENTRY'!$A$1:$BR$278,41,FALSE)</f>
        <v>3</v>
      </c>
      <c r="AQ72" s="9">
        <f>VLOOKUP($A72,'[1]24-8-24 DATA ENTRY'!$A$1:$BR$278,42,FALSE)</f>
        <v>3</v>
      </c>
      <c r="AR72" s="9">
        <f>VLOOKUP($A72,'[1]24-8-24 DATA ENTRY'!$A$1:$BR$278,43,FALSE)</f>
        <v>5</v>
      </c>
      <c r="AS72" s="9">
        <f>VLOOKUP($A72,'[1]24-8-24 DATA ENTRY'!$A$1:$BR$278,44,FALSE)</f>
        <v>0</v>
      </c>
      <c r="AT72" s="9">
        <f>VLOOKUP($A72,'[1]24-8-24 DATA ENTRY'!$A$1:$BR$278,45,FALSE)</f>
        <v>1</v>
      </c>
      <c r="AU72" s="9">
        <f>VLOOKUP($A72,'[1]24-8-24 DATA ENTRY'!$A$1:$BR$278,46,FALSE)</f>
        <v>1</v>
      </c>
      <c r="AV72" s="9">
        <f>VLOOKUP($A72,'[1]24-8-24 DATA ENTRY'!$A$1:$BR$278,47,FALSE)</f>
        <v>2</v>
      </c>
      <c r="AW72" s="9">
        <f>VLOOKUP($A72,'[1]24-8-24 DATA ENTRY'!$A$1:$BR$278,48,FALSE)</f>
        <v>0</v>
      </c>
      <c r="AX72" s="9">
        <f>VLOOKUP($A72,'[1]24-8-24 DATA ENTRY'!$A$1:$BR$278,49,FALSE)</f>
        <v>0</v>
      </c>
      <c r="AY72" s="9">
        <f>VLOOKUP($A72,'[1]24-8-24 DATA ENTRY'!$A$1:$BR$278,50,FALSE)</f>
        <v>0</v>
      </c>
      <c r="AZ72" s="9">
        <f>VLOOKUP($A72,'[1]24-8-24 DATA ENTRY'!$A$1:$BR$278,51,FALSE)</f>
        <v>0</v>
      </c>
      <c r="BA72" s="9">
        <f>VLOOKUP($A72,'[1]24-8-24 DATA ENTRY'!$A$1:$BR$278,52,FALSE)</f>
        <v>0</v>
      </c>
      <c r="BB72" s="5">
        <v>1</v>
      </c>
      <c r="BC72" s="9">
        <f>VLOOKUP($A72,'[1]24-8-24 DATA ENTRY'!$A$1:$BR$278,53,FALSE)</f>
        <v>0</v>
      </c>
      <c r="BD72" s="5">
        <v>0</v>
      </c>
      <c r="BE72" s="5">
        <v>2</v>
      </c>
      <c r="BF72" s="5">
        <v>2</v>
      </c>
      <c r="BG72" s="5">
        <v>2</v>
      </c>
      <c r="BH72" s="5">
        <v>1</v>
      </c>
      <c r="BI72" s="5">
        <v>1</v>
      </c>
      <c r="BJ72" s="5">
        <v>1</v>
      </c>
      <c r="BK72" s="5">
        <v>1</v>
      </c>
      <c r="BL72" s="5">
        <v>2</v>
      </c>
      <c r="BM72" s="5">
        <v>2</v>
      </c>
      <c r="BN72" s="5">
        <v>2</v>
      </c>
      <c r="BO72" s="5">
        <v>1</v>
      </c>
      <c r="BP72" s="5">
        <v>1</v>
      </c>
      <c r="BQ72" s="5">
        <v>1</v>
      </c>
      <c r="BR72" s="5">
        <v>19</v>
      </c>
      <c r="BS72" s="5">
        <v>1</v>
      </c>
      <c r="BT72" s="5">
        <v>0</v>
      </c>
      <c r="BU72" s="5"/>
    </row>
    <row r="73" spans="1:73" x14ac:dyDescent="0.25">
      <c r="A73" s="5" t="s">
        <v>510</v>
      </c>
      <c r="B73" s="5">
        <v>0</v>
      </c>
      <c r="C73" s="5">
        <v>30.046800000000001</v>
      </c>
      <c r="D73" s="9">
        <f>VLOOKUP($A73,'[1]24-8-24 DATA ENTRY'!$A$1:$BR$303,3,FALSE)</f>
        <v>240000051745</v>
      </c>
      <c r="E73" s="9">
        <f>VLOOKUP($A73,'[1]24-8-24 DATA ENTRY'!$A$1:$BR$303,4,FALSE)</f>
        <v>45</v>
      </c>
      <c r="F73" s="9">
        <f>VLOOKUP($A73,'[1]24-8-24 DATA ENTRY'!$A$1:$BR$303,5,FALSE)</f>
        <v>1</v>
      </c>
      <c r="G73" s="10">
        <f>VLOOKUP($A73,'[1]24-8-24 DATA ENTRY'!$A$1:$BR$303,6,FALSE)</f>
        <v>45455</v>
      </c>
      <c r="H73" s="9">
        <f>VLOOKUP($A73,'[1]24-8-24 DATA ENTRY'!$A$1:$BR$303,7,FALSE)</f>
        <v>0.87152777777777779</v>
      </c>
      <c r="I73" s="10">
        <f>VLOOKUP($A73,'[1]24-8-24 DATA ENTRY'!$A$1:$BR$303,8,FALSE)</f>
        <v>45455</v>
      </c>
      <c r="J73" s="10">
        <f>VLOOKUP($A73,'[1]24-8-24 DATA ENTRY'!$A$1:$BR$303,9,FALSE)</f>
        <v>45472</v>
      </c>
      <c r="K73" s="9">
        <f>VLOOKUP($A73,'[1]24-8-24 DATA ENTRY'!$A$1:$BR$303,10,FALSE)</f>
        <v>9764436141</v>
      </c>
      <c r="L73" s="9">
        <f>VLOOKUP($A73,'[1]24-8-24 DATA ENTRY'!$A$1:$BR$303,11,FALSE)</f>
        <v>9960874913</v>
      </c>
      <c r="M73" s="9">
        <f>VLOOKUP($A73,'[1]24-8-24 DATA ENTRY'!$A$1:$BR$303,12,FALSE)</f>
        <v>20</v>
      </c>
      <c r="N73" s="9">
        <f>VLOOKUP($A73,'[1]24-8-24 DATA ENTRY'!$A$1:$BR$303,13,FALSE)</f>
        <v>1</v>
      </c>
      <c r="O73" s="9">
        <f>VLOOKUP($A73,'[1]24-8-24 DATA ENTRY'!$A$1:$BR$303,14,FALSE)</f>
        <v>1</v>
      </c>
      <c r="P73" s="9">
        <f>VLOOKUP($A73,'[1]24-8-24 DATA ENTRY'!$A$1:$BR$303,15,FALSE)</f>
        <v>2</v>
      </c>
      <c r="Q73" s="9">
        <f>VLOOKUP($A73,'[1]24-8-24 DATA ENTRY'!$A$1:$BR$303,16,FALSE)</f>
        <v>2</v>
      </c>
      <c r="R73" s="9">
        <f>VLOOKUP($A73,'[1]24-8-24 DATA ENTRY'!$A$1:$BR$303,17,FALSE)</f>
        <v>2</v>
      </c>
      <c r="S73" s="9">
        <f>VLOOKUP($A73,'[1]24-8-24 DATA ENTRY'!$A$1:$BR$303,18,FALSE)</f>
        <v>2</v>
      </c>
      <c r="T73" s="9">
        <f>VLOOKUP($A73,'[1]24-8-24 DATA ENTRY'!$A$1:$BR$303,19,FALSE)</f>
        <v>2</v>
      </c>
      <c r="U73" s="9">
        <v>2</v>
      </c>
      <c r="V73" s="9">
        <f>VLOOKUP($A73,'[1]24-8-24 DATA ENTRY'!$A$1:$BR$303,21,FALSE)</f>
        <v>2</v>
      </c>
      <c r="W73" s="9" t="str">
        <f>VLOOKUP($A73,'[1]24-8-24 DATA ENTRY'!$A$1:$BR$303,22,FALSE)</f>
        <v>rentinitis pigmentosa, B/L cataract, B/L SNHL since 10-12 yrs, Ushers syndrome, Farhs disease</v>
      </c>
      <c r="X73" s="9">
        <f>VLOOKUP($A73,'[1]24-8-24 DATA ENTRY'!$A$1:$BR$303,23,FALSE)</f>
        <v>13.9</v>
      </c>
      <c r="Y73" s="9">
        <f>VLOOKUP($A73,'[1]24-8-24 DATA ENTRY'!$A$1:$BR$303,24,FALSE)</f>
        <v>43.1</v>
      </c>
      <c r="Z73" s="9">
        <f>VLOOKUP($A73,'[1]24-8-24 DATA ENTRY'!$A$1:$BR$303,25,FALSE)</f>
        <v>91.6</v>
      </c>
      <c r="AA73" s="9">
        <f>VLOOKUP($A73,'[1]24-8-24 DATA ENTRY'!$A$1:$BR$303,26,FALSE)</f>
        <v>12.63</v>
      </c>
      <c r="AB73" s="9">
        <f>VLOOKUP($A73,'[1]24-8-24 DATA ENTRY'!$A$1:$BR$303,27,FALSE)</f>
        <v>13</v>
      </c>
      <c r="AC73" s="9">
        <f>VLOOKUP($A73,'[1]24-8-24 DATA ENTRY'!$A$1:$BR$303,28,FALSE)</f>
        <v>193</v>
      </c>
      <c r="AD73" s="9">
        <f>VLOOKUP($A73,'[1]24-8-24 DATA ENTRY'!$A$1:$BR$303,29,FALSE)</f>
        <v>124.6</v>
      </c>
      <c r="AE73" s="9">
        <f>VLOOKUP($A73,'[1]24-8-24 DATA ENTRY'!$A$1:$BR$2303,30,FALSE)</f>
        <v>39</v>
      </c>
      <c r="AF73" s="9">
        <f>VLOOKUP($A73,'[1]24-8-24 DATA ENTRY'!$A$1:$BR$303,31,FALSE)</f>
        <v>29.4</v>
      </c>
      <c r="AG73" s="9">
        <f>VLOOKUP($A73,'[1]24-8-24 DATA ENTRY'!$A$1:$BR$303,32,FALSE)</f>
        <v>147</v>
      </c>
      <c r="AH73" s="9">
        <f>VLOOKUP($A73,'[1]24-8-24 DATA ENTRY'!$A$1:$BR$303,33,FALSE)</f>
        <v>192</v>
      </c>
      <c r="AI73" s="9">
        <f>VLOOKUP($A73,'[1]24-8-24 DATA ENTRY'!$A$1:$BR$303,34,FALSE)</f>
        <v>0</v>
      </c>
      <c r="AJ73" s="9">
        <f>VLOOKUP($A73,'[1]24-8-24 DATA ENTRY'!$A$1:$BR$303,35,FALSE)</f>
        <v>0</v>
      </c>
      <c r="AK73" s="9" t="str">
        <f>VLOOKUP($A73,'[1]24-8-24 DATA ENTRY'!$A$1:$BR$303,36,FALSE)</f>
        <v>Right MCA infarct</v>
      </c>
      <c r="AL73" s="9" t="str">
        <f>VLOOKUP($A73,'[1]24-8-24 DATA ENTRY'!$A$1:$BR$303,37,FALSE)</f>
        <v>Right M3 thrombus, Occlusion distal M1 segment of the right MCA</v>
      </c>
      <c r="AM73" s="9">
        <f>VLOOKUP($A73,'[1]24-8-24 DATA ENTRY'!$A$1:$BR$303,38,FALSE)</f>
        <v>0</v>
      </c>
      <c r="AN73" s="9">
        <f>VLOOKUP($A73,'[1]24-8-24 DATA ENTRY'!$A$1:$BR$303,39,FALSE)</f>
        <v>9</v>
      </c>
      <c r="AO73" s="9">
        <f>VLOOKUP($A73,'[1]24-8-24 DATA ENTRY'!$A$1:$BR$303,40,FALSE)</f>
        <v>1</v>
      </c>
      <c r="AP73" s="9">
        <f>VLOOKUP($A73,'[1]24-8-24 DATA ENTRY'!$A$1:$BR$303,41,FALSE)</f>
        <v>2</v>
      </c>
      <c r="AQ73" s="9">
        <f>VLOOKUP($A73,'[1]24-8-24 DATA ENTRY'!$A$1:$BR$303,42,FALSE)</f>
        <v>3</v>
      </c>
      <c r="AR73" s="9">
        <f>VLOOKUP($A73,'[1]24-8-24 DATA ENTRY'!$A$1:$BR$303,43,FALSE)</f>
        <v>5</v>
      </c>
      <c r="AS73" s="9">
        <f>VLOOKUP($A73,'[1]24-8-24 DATA ENTRY'!$A$1:$BR$303,44,FALSE)</f>
        <v>0</v>
      </c>
      <c r="AT73" s="9">
        <f>VLOOKUP($A73,'[1]24-8-24 DATA ENTRY'!$A$1:$BR$303,45,FALSE)</f>
        <v>1</v>
      </c>
      <c r="AU73" s="9">
        <f>VLOOKUP($A73,'[1]24-8-24 DATA ENTRY'!$A$1:$BR$303,46,FALSE)</f>
        <v>2</v>
      </c>
      <c r="AV73" s="9">
        <f>VLOOKUP($A73,'[1]24-8-24 DATA ENTRY'!$A$1:$BR$303,47,FALSE)</f>
        <v>1</v>
      </c>
      <c r="AW73" s="9">
        <f>VLOOKUP($A73,'[1]24-8-24 DATA ENTRY'!$A$1:$BR$303,48,FALSE)</f>
        <v>1</v>
      </c>
      <c r="AX73" s="9">
        <f>VLOOKUP($A73,'[1]24-8-24 DATA ENTRY'!$A$1:$BR$303,49,FALSE)</f>
        <v>0</v>
      </c>
      <c r="AY73" s="9">
        <f>VLOOKUP($A73,'[1]24-8-24 DATA ENTRY'!$A$1:$BR$303,50,FALSE)</f>
        <v>0</v>
      </c>
      <c r="AZ73" s="9">
        <f>VLOOKUP($A73,'[1]24-8-24 DATA ENTRY'!$A$1:$BR$303,51,FALSE)</f>
        <v>0</v>
      </c>
      <c r="BA73" s="9">
        <f>VLOOKUP($A73,'[1]24-8-24 DATA ENTRY'!$A$1:$BR$303,52,FALSE)</f>
        <v>0</v>
      </c>
      <c r="BB73" s="5">
        <v>1</v>
      </c>
      <c r="BC73" s="9">
        <f>VLOOKUP($A73,'[1]24-8-24 DATA ENTRY'!$A$1:$BR$303,53,FALSE)</f>
        <v>100</v>
      </c>
      <c r="BD73" s="5">
        <v>1</v>
      </c>
      <c r="BE73" s="5">
        <v>2</v>
      </c>
      <c r="BF73" s="5">
        <v>2</v>
      </c>
      <c r="BG73" s="5">
        <v>0</v>
      </c>
      <c r="BH73" s="5">
        <v>1</v>
      </c>
      <c r="BI73" s="5">
        <v>1</v>
      </c>
      <c r="BJ73" s="5">
        <v>1</v>
      </c>
      <c r="BK73" s="5">
        <v>1</v>
      </c>
      <c r="BL73" s="5">
        <v>2</v>
      </c>
      <c r="BM73" s="5">
        <v>2</v>
      </c>
      <c r="BN73" s="5">
        <v>2</v>
      </c>
      <c r="BO73" s="5">
        <v>1</v>
      </c>
      <c r="BP73" s="5">
        <v>1</v>
      </c>
      <c r="BQ73" s="5">
        <v>1</v>
      </c>
      <c r="BR73" s="5">
        <v>18</v>
      </c>
      <c r="BS73" s="5">
        <v>1</v>
      </c>
      <c r="BT73" s="5">
        <v>1</v>
      </c>
      <c r="BU73" s="5"/>
    </row>
    <row r="74" spans="1:73" x14ac:dyDescent="0.25">
      <c r="A74" s="5" t="s">
        <v>512</v>
      </c>
      <c r="B74" s="5">
        <v>0</v>
      </c>
      <c r="C74" s="5">
        <v>80.924099999999996</v>
      </c>
      <c r="D74" s="9">
        <f>VLOOKUP($A74,'[1]24-8-24 DATA ENTRY'!$A$1:$BR$303,3,FALSE)</f>
        <v>240000049989</v>
      </c>
      <c r="E74" s="9">
        <f>VLOOKUP($A74,'[1]24-8-24 DATA ENTRY'!$A$1:$BR$303,4,FALSE)</f>
        <v>68</v>
      </c>
      <c r="F74" s="9">
        <f>VLOOKUP($A74,'[1]24-8-24 DATA ENTRY'!$A$1:$BR$303,5,FALSE)</f>
        <v>2</v>
      </c>
      <c r="G74" s="10">
        <f>VLOOKUP($A74,'[1]24-8-24 DATA ENTRY'!$A$1:$BR$303,6,FALSE)</f>
        <v>45448</v>
      </c>
      <c r="H74" s="9">
        <f>VLOOKUP($A74,'[1]24-8-24 DATA ENTRY'!$A$1:$BR$303,7,FALSE)</f>
        <v>8.3333333333333329E-2</v>
      </c>
      <c r="I74" s="10">
        <f>VLOOKUP($A74,'[1]24-8-24 DATA ENTRY'!$A$1:$BR$303,8,FALSE)</f>
        <v>45449</v>
      </c>
      <c r="J74" s="10">
        <f>VLOOKUP($A74,'[1]24-8-24 DATA ENTRY'!$A$1:$BR$303,9,FALSE)</f>
        <v>45455</v>
      </c>
      <c r="K74" s="9">
        <f>VLOOKUP($A74,'[1]24-8-24 DATA ENTRY'!$A$1:$BR$303,10,FALSE)</f>
        <v>7517721567</v>
      </c>
      <c r="L74" s="9">
        <f>VLOOKUP($A74,'[1]24-8-24 DATA ENTRY'!$A$1:$BR$303,11,FALSE)</f>
        <v>0</v>
      </c>
      <c r="M74" s="9">
        <f>VLOOKUP($A74,'[1]24-8-24 DATA ENTRY'!$A$1:$BR$303,12,FALSE)</f>
        <v>12</v>
      </c>
      <c r="N74" s="9">
        <f>VLOOKUP($A74,'[1]24-8-24 DATA ENTRY'!$A$1:$BR$303,13,FALSE)</f>
        <v>1</v>
      </c>
      <c r="O74" s="9">
        <f>VLOOKUP($A74,'[1]24-8-24 DATA ENTRY'!$A$1:$BR$303,14,FALSE)</f>
        <v>1</v>
      </c>
      <c r="P74" s="9">
        <f>VLOOKUP($A74,'[1]24-8-24 DATA ENTRY'!$A$1:$BR$303,15,FALSE)</f>
        <v>2</v>
      </c>
      <c r="Q74" s="9">
        <f>VLOOKUP($A74,'[1]24-8-24 DATA ENTRY'!$A$1:$BR$303,16,FALSE)</f>
        <v>2</v>
      </c>
      <c r="R74" s="9">
        <f>VLOOKUP($A74,'[1]24-8-24 DATA ENTRY'!$A$1:$BR$303,17,FALSE)</f>
        <v>2</v>
      </c>
      <c r="S74" s="9">
        <f>VLOOKUP($A74,'[1]24-8-24 DATA ENTRY'!$A$1:$BR$303,18,FALSE)</f>
        <v>2</v>
      </c>
      <c r="T74" s="9">
        <f>VLOOKUP($A74,'[1]24-8-24 DATA ENTRY'!$A$1:$BR$303,19,FALSE)</f>
        <v>2</v>
      </c>
      <c r="U74" s="9">
        <v>2</v>
      </c>
      <c r="V74" s="9">
        <f>VLOOKUP($A74,'[1]24-8-24 DATA ENTRY'!$A$1:$BR$303,21,FALSE)</f>
        <v>2</v>
      </c>
      <c r="W74" s="9" t="str">
        <f>VLOOKUP($A74,'[1]24-8-24 DATA ENTRY'!$A$1:$BR$303,22,FALSE)</f>
        <v>old cva rt hemiparesis 1 yr ago</v>
      </c>
      <c r="X74" s="9">
        <f>VLOOKUP($A74,'[1]24-8-24 DATA ENTRY'!$A$1:$BR$303,23,FALSE)</f>
        <v>14.3</v>
      </c>
      <c r="Y74" s="9">
        <f>VLOOKUP($A74,'[1]24-8-24 DATA ENTRY'!$A$1:$BR$303,24,FALSE)</f>
        <v>42.8</v>
      </c>
      <c r="Z74" s="9">
        <f>VLOOKUP($A74,'[1]24-8-24 DATA ENTRY'!$A$1:$BR$303,25,FALSE)</f>
        <v>91.5</v>
      </c>
      <c r="AA74" s="9">
        <f>VLOOKUP($A74,'[1]24-8-24 DATA ENTRY'!$A$1:$BR$303,26,FALSE)</f>
        <v>0</v>
      </c>
      <c r="AB74" s="9">
        <f>VLOOKUP($A74,'[1]24-8-24 DATA ENTRY'!$A$1:$BR$303,27,FALSE)</f>
        <v>11.1</v>
      </c>
      <c r="AC74" s="9">
        <f>VLOOKUP($A74,'[1]24-8-24 DATA ENTRY'!$A$1:$BR$303,28,FALSE)</f>
        <v>196</v>
      </c>
      <c r="AD74" s="9">
        <f>VLOOKUP($A74,'[1]24-8-24 DATA ENTRY'!$A$1:$BR$303,29,FALSE)</f>
        <v>127</v>
      </c>
      <c r="AE74" s="9">
        <f>VLOOKUP($A74,'[1]24-8-24 DATA ENTRY'!$A$1:$BR$2303,30,FALSE)</f>
        <v>43</v>
      </c>
      <c r="AF74" s="9">
        <f>VLOOKUP($A74,'[1]24-8-24 DATA ENTRY'!$A$1:$BR$303,31,FALSE)</f>
        <v>26</v>
      </c>
      <c r="AG74" s="9">
        <f>VLOOKUP($A74,'[1]24-8-24 DATA ENTRY'!$A$1:$BR$303,32,FALSE)</f>
        <v>130</v>
      </c>
      <c r="AH74" s="9">
        <f>VLOOKUP($A74,'[1]24-8-24 DATA ENTRY'!$A$1:$BR$303,33,FALSE)</f>
        <v>0</v>
      </c>
      <c r="AI74" s="9">
        <f>VLOOKUP($A74,'[1]24-8-24 DATA ENTRY'!$A$1:$BR$303,34,FALSE)</f>
        <v>0</v>
      </c>
      <c r="AJ74" s="9">
        <f>VLOOKUP($A74,'[1]24-8-24 DATA ENTRY'!$A$1:$BR$303,35,FALSE)</f>
        <v>0</v>
      </c>
      <c r="AK74" s="9" t="str">
        <f>VLOOKUP($A74,'[1]24-8-24 DATA ENTRY'!$A$1:$BR$303,36,FALSE)</f>
        <v>left PCA MCA watershed infarct</v>
      </c>
      <c r="AL74" s="9" t="str">
        <f>VLOOKUP($A74,'[1]24-8-24 DATA ENTRY'!$A$1:$BR$303,37,FALSE)</f>
        <v>left ICA smooth tapering of distal cervical end possible dissection</v>
      </c>
      <c r="AM74" s="9">
        <f>VLOOKUP($A74,'[1]24-8-24 DATA ENTRY'!$A$1:$BR$303,38,FALSE)</f>
        <v>0</v>
      </c>
      <c r="AN74" s="9">
        <f>VLOOKUP($A74,'[1]24-8-24 DATA ENTRY'!$A$1:$BR$303,39,FALSE)</f>
        <v>9</v>
      </c>
      <c r="AO74" s="9">
        <f>VLOOKUP($A74,'[1]24-8-24 DATA ENTRY'!$A$1:$BR$303,40,FALSE)</f>
        <v>1</v>
      </c>
      <c r="AP74" s="9">
        <f>VLOOKUP($A74,'[1]24-8-24 DATA ENTRY'!$A$1:$BR$303,41,FALSE)</f>
        <v>3</v>
      </c>
      <c r="AQ74" s="9">
        <f>VLOOKUP($A74,'[1]24-8-24 DATA ENTRY'!$A$1:$BR$303,42,FALSE)</f>
        <v>3</v>
      </c>
      <c r="AR74" s="9">
        <f>VLOOKUP($A74,'[1]24-8-24 DATA ENTRY'!$A$1:$BR$303,43,FALSE)</f>
        <v>5</v>
      </c>
      <c r="AS74" s="9">
        <f>VLOOKUP($A74,'[1]24-8-24 DATA ENTRY'!$A$1:$BR$303,44,FALSE)</f>
        <v>0</v>
      </c>
      <c r="AT74" s="9">
        <f>VLOOKUP($A74,'[1]24-8-24 DATA ENTRY'!$A$1:$BR$303,45,FALSE)</f>
        <v>1</v>
      </c>
      <c r="AU74" s="9">
        <f>VLOOKUP($A74,'[1]24-8-24 DATA ENTRY'!$A$1:$BR$303,46,FALSE)</f>
        <v>1</v>
      </c>
      <c r="AV74" s="9">
        <f>VLOOKUP($A74,'[1]24-8-24 DATA ENTRY'!$A$1:$BR$303,47,FALSE)</f>
        <v>2</v>
      </c>
      <c r="AW74" s="9">
        <f>VLOOKUP($A74,'[1]24-8-24 DATA ENTRY'!$A$1:$BR$303,48,FALSE)</f>
        <v>0</v>
      </c>
      <c r="AX74" s="9">
        <f>VLOOKUP($A74,'[1]24-8-24 DATA ENTRY'!$A$1:$BR$303,49,FALSE)</f>
        <v>0</v>
      </c>
      <c r="AY74" s="9">
        <f>VLOOKUP($A74,'[1]24-8-24 DATA ENTRY'!$A$1:$BR$303,50,FALSE)</f>
        <v>0</v>
      </c>
      <c r="AZ74" s="9">
        <f>VLOOKUP($A74,'[1]24-8-24 DATA ENTRY'!$A$1:$BR$303,51,FALSE)</f>
        <v>0</v>
      </c>
      <c r="BA74" s="9">
        <f>VLOOKUP($A74,'[1]24-8-24 DATA ENTRY'!$A$1:$BR$303,52,FALSE)</f>
        <v>0</v>
      </c>
      <c r="BB74" s="5">
        <v>1</v>
      </c>
      <c r="BC74" s="9">
        <f>VLOOKUP($A74,'[1]24-8-24 DATA ENTRY'!$A$1:$BR$303,53,FALSE)</f>
        <v>100</v>
      </c>
      <c r="BD74" s="5">
        <v>1</v>
      </c>
      <c r="BE74" s="5">
        <v>2</v>
      </c>
      <c r="BF74" s="5">
        <v>2</v>
      </c>
      <c r="BG74" s="5">
        <v>2</v>
      </c>
      <c r="BH74" s="5">
        <v>1</v>
      </c>
      <c r="BI74" s="5">
        <v>1</v>
      </c>
      <c r="BJ74" s="5">
        <v>1</v>
      </c>
      <c r="BK74" s="5">
        <v>0</v>
      </c>
      <c r="BL74" s="5">
        <v>0</v>
      </c>
      <c r="BM74" s="5">
        <v>1</v>
      </c>
      <c r="BN74" s="5">
        <v>2</v>
      </c>
      <c r="BO74" s="5">
        <v>1</v>
      </c>
      <c r="BP74" s="5">
        <v>1</v>
      </c>
      <c r="BQ74" s="5">
        <v>1</v>
      </c>
      <c r="BR74" s="5">
        <v>16</v>
      </c>
      <c r="BS74" s="5">
        <v>0</v>
      </c>
      <c r="BT74" s="5">
        <v>1</v>
      </c>
      <c r="BU74" s="5" t="s">
        <v>87</v>
      </c>
    </row>
    <row r="75" spans="1:73" x14ac:dyDescent="0.25">
      <c r="A75" s="12" t="s">
        <v>576</v>
      </c>
      <c r="B75" s="5"/>
      <c r="C75" s="5">
        <v>0.69256899999999999</v>
      </c>
      <c r="D75" s="9">
        <f>VLOOKUP($A75,'[1]24-8-24 DATA ENTRY'!$A$1:$BR$303,3,FALSE)</f>
        <v>240000041009</v>
      </c>
      <c r="E75" s="9">
        <f>VLOOKUP($A75,'[1]24-8-24 DATA ENTRY'!$A$1:$BR$303,4,FALSE)</f>
        <v>69</v>
      </c>
      <c r="F75" s="9">
        <f>VLOOKUP($A75,'[1]24-8-24 DATA ENTRY'!$A$1:$BR$303,5,FALSE)</f>
        <v>1</v>
      </c>
      <c r="G75" s="10">
        <f>VLOOKUP($A75,'[1]24-8-24 DATA ENTRY'!$A$1:$BR$303,6,FALSE)</f>
        <v>45418</v>
      </c>
      <c r="H75" s="9">
        <f>VLOOKUP($A75,'[1]24-8-24 DATA ENTRY'!$A$1:$BR$303,7,FALSE)</f>
        <v>0.875</v>
      </c>
      <c r="I75" s="10">
        <f>VLOOKUP($A75,'[1]24-8-24 DATA ENTRY'!$A$1:$BR$303,8,FALSE)</f>
        <v>45419</v>
      </c>
      <c r="J75" s="10">
        <f>VLOOKUP($A75,'[1]24-8-24 DATA ENTRY'!$A$1:$BR$303,9,FALSE)</f>
        <v>45420</v>
      </c>
      <c r="K75" s="9">
        <f>VLOOKUP($A75,'[1]24-8-24 DATA ENTRY'!$A$1:$BR$303,10,FALSE)</f>
        <v>8087797608</v>
      </c>
      <c r="L75" s="9">
        <f>VLOOKUP($A75,'[1]24-8-24 DATA ENTRY'!$A$1:$BR$303,11,FALSE)</f>
        <v>0</v>
      </c>
      <c r="M75" s="9">
        <f>VLOOKUP($A75,'[1]24-8-24 DATA ENTRY'!$A$1:$BR$303,12,FALSE)</f>
        <v>1</v>
      </c>
      <c r="N75" s="9">
        <f>VLOOKUP($A75,'[1]24-8-24 DATA ENTRY'!$A$1:$BR$303,13,FALSE)</f>
        <v>2</v>
      </c>
      <c r="O75" s="9">
        <f>VLOOKUP($A75,'[1]24-8-24 DATA ENTRY'!$A$1:$BR$303,14,FALSE)</f>
        <v>1</v>
      </c>
      <c r="P75" s="9">
        <f>VLOOKUP($A75,'[1]24-8-24 DATA ENTRY'!$A$1:$BR$303,15,FALSE)</f>
        <v>2</v>
      </c>
      <c r="Q75" s="9">
        <f>VLOOKUP($A75,'[1]24-8-24 DATA ENTRY'!$A$1:$BR$303,16,FALSE)</f>
        <v>2</v>
      </c>
      <c r="R75" s="9">
        <f>VLOOKUP($A75,'[1]24-8-24 DATA ENTRY'!$A$1:$BR$303,17,FALSE)</f>
        <v>1</v>
      </c>
      <c r="S75" s="9">
        <f>VLOOKUP($A75,'[1]24-8-24 DATA ENTRY'!$A$1:$BR$303,18,FALSE)</f>
        <v>2</v>
      </c>
      <c r="T75" s="9">
        <f>VLOOKUP($A75,'[1]24-8-24 DATA ENTRY'!$A$1:$BR$303,19,FALSE)</f>
        <v>2</v>
      </c>
      <c r="U75" s="9">
        <f>VLOOKUP($A75,'[1]24-8-24 DATA ENTRY'!$A$1:$BR$278,20,FALSE)</f>
        <v>2</v>
      </c>
      <c r="V75" s="9">
        <f>VLOOKUP($A75,'[1]24-8-24 DATA ENTRY'!$A$1:$BR$303,21,FALSE)</f>
        <v>2</v>
      </c>
      <c r="W75" s="9" t="str">
        <f>VLOOKUP($A75,'[1]24-8-24 DATA ENTRY'!$A$1:$BR$303,22,FALSE)</f>
        <v>PAST HISTROY OF STROKE 2015</v>
      </c>
      <c r="X75" s="9">
        <f>VLOOKUP($A75,'[1]24-8-24 DATA ENTRY'!$A$1:$BR$303,23,FALSE)</f>
        <v>14.5</v>
      </c>
      <c r="Y75" s="9">
        <f>VLOOKUP($A75,'[1]24-8-24 DATA ENTRY'!$A$1:$BR$303,24,FALSE)</f>
        <v>42.8</v>
      </c>
      <c r="Z75" s="9">
        <f>VLOOKUP($A75,'[1]24-8-24 DATA ENTRY'!$A$1:$BR$303,25,FALSE)</f>
        <v>96.2</v>
      </c>
      <c r="AA75" s="9">
        <f>VLOOKUP($A75,'[1]24-8-24 DATA ENTRY'!$A$1:$BR$303,26,FALSE)</f>
        <v>69.89</v>
      </c>
      <c r="AB75" s="9">
        <f>VLOOKUP($A75,'[1]24-8-24 DATA ENTRY'!$A$1:$BR$303,27,FALSE)</f>
        <v>0</v>
      </c>
      <c r="AC75" s="9">
        <f>VLOOKUP($A75,'[1]24-8-24 DATA ENTRY'!$A$1:$BR$303,28,FALSE)</f>
        <v>128</v>
      </c>
      <c r="AD75" s="9">
        <f>VLOOKUP($A75,'[1]24-8-24 DATA ENTRY'!$A$1:$BR$303,29,FALSE)</f>
        <v>81.2</v>
      </c>
      <c r="AE75" s="9">
        <f>VLOOKUP($A75,'[1]24-8-24 DATA ENTRY'!$A$1:$BR$2303,30,FALSE)</f>
        <v>26</v>
      </c>
      <c r="AF75" s="9">
        <f>VLOOKUP($A75,'[1]24-8-24 DATA ENTRY'!$A$1:$BR$303,31,FALSE)</f>
        <v>20.8</v>
      </c>
      <c r="AG75" s="9">
        <f>VLOOKUP($A75,'[1]24-8-24 DATA ENTRY'!$A$1:$BR$303,32,FALSE)</f>
        <v>104</v>
      </c>
      <c r="AH75" s="9">
        <f>VLOOKUP($A75,'[1]24-8-24 DATA ENTRY'!$A$1:$BR$303,33,FALSE)</f>
        <v>171</v>
      </c>
      <c r="AI75" s="9">
        <f>VLOOKUP($A75,'[1]24-8-24 DATA ENTRY'!$A$1:$BR$303,34,FALSE)</f>
        <v>0</v>
      </c>
      <c r="AJ75" s="9">
        <f>VLOOKUP($A75,'[1]24-8-24 DATA ENTRY'!$A$1:$BR$303,35,FALSE)</f>
        <v>0</v>
      </c>
      <c r="AK75" s="9" t="str">
        <f>VLOOKUP($A75,'[1]24-8-24 DATA ENTRY'!$A$1:$BR$303,36,FALSE)</f>
        <v xml:space="preserve">TINY NHI IN LEFT THALAMUS AND LEFT TEMPORAL LOBE. LACUNAR INFARCT IN CORONA RADIATA. </v>
      </c>
      <c r="AL75" s="9" t="str">
        <f>VLOOKUP($A75,'[1]24-8-24 DATA ENTRY'!$A$1:$BR$303,37,FALSE)</f>
        <v>SMALL HYPODENSITY IN LEFT THALAMUS WITH ACUTE NHI. MILD NARROWING OF M1 SEGMENT OF RIGHT MCA</v>
      </c>
      <c r="AM75" s="9">
        <f>VLOOKUP($A75,'[1]24-8-24 DATA ENTRY'!$A$1:$BR$303,38,FALSE)</f>
        <v>0</v>
      </c>
      <c r="AN75" s="9">
        <f>VLOOKUP($A75,'[1]24-8-24 DATA ENTRY'!$A$1:$BR$303,39,FALSE)</f>
        <v>9</v>
      </c>
      <c r="AO75" s="9">
        <f>VLOOKUP($A75,'[1]24-8-24 DATA ENTRY'!$A$1:$BR$303,40,FALSE)</f>
        <v>1</v>
      </c>
      <c r="AP75" s="9">
        <f>VLOOKUP($A75,'[1]24-8-24 DATA ENTRY'!$A$1:$BR$303,41,FALSE)</f>
        <v>4</v>
      </c>
      <c r="AQ75" s="9">
        <f>VLOOKUP($A75,'[1]24-8-24 DATA ENTRY'!$A$1:$BR$303,42,FALSE)</f>
        <v>3</v>
      </c>
      <c r="AR75" s="9">
        <f>VLOOKUP($A75,'[1]24-8-24 DATA ENTRY'!$A$1:$BR$303,43,FALSE)</f>
        <v>5</v>
      </c>
      <c r="AS75" s="9">
        <f>VLOOKUP($A75,'[1]24-8-24 DATA ENTRY'!$A$1:$BR$303,44,FALSE)</f>
        <v>0</v>
      </c>
      <c r="AT75" s="9">
        <f>VLOOKUP($A75,'[1]24-8-24 DATA ENTRY'!$A$1:$BR$303,45,FALSE)</f>
        <v>1</v>
      </c>
      <c r="AU75" s="9">
        <f>VLOOKUP($A75,'[1]24-8-24 DATA ENTRY'!$A$1:$BR$303,46,FALSE)</f>
        <v>1</v>
      </c>
      <c r="AV75" s="9">
        <f>VLOOKUP($A75,'[1]24-8-24 DATA ENTRY'!$A$1:$BR$303,47,FALSE)</f>
        <v>2</v>
      </c>
      <c r="AW75" s="9">
        <f>VLOOKUP($A75,'[1]24-8-24 DATA ENTRY'!$A$1:$BR$303,48,FALSE)</f>
        <v>0</v>
      </c>
      <c r="AX75" s="9">
        <f>VLOOKUP($A75,'[1]24-8-24 DATA ENTRY'!$A$1:$BR$303,49,FALSE)</f>
        <v>0</v>
      </c>
      <c r="AY75" s="9">
        <f>VLOOKUP($A75,'[1]24-8-24 DATA ENTRY'!$A$1:$BR$303,50,FALSE)</f>
        <v>0</v>
      </c>
      <c r="AZ75" s="9">
        <f>VLOOKUP($A75,'[1]24-8-24 DATA ENTRY'!$A$1:$BR$303,51,FALSE)</f>
        <v>0</v>
      </c>
      <c r="BA75" s="9">
        <f>VLOOKUP($A75,'[1]24-8-24 DATA ENTRY'!$A$1:$BR$303,52,FALSE)</f>
        <v>0</v>
      </c>
      <c r="BB75" s="5">
        <v>1</v>
      </c>
      <c r="BC75" s="9">
        <f>VLOOKUP($A75,'[1]24-8-24 DATA ENTRY'!$A$1:$BR$303,53,FALSE)</f>
        <v>100</v>
      </c>
      <c r="BD75" s="5"/>
      <c r="BE75" s="5"/>
      <c r="BF75" s="5"/>
      <c r="BG75" s="5"/>
      <c r="BH75" s="5"/>
      <c r="BI75" s="5"/>
      <c r="BJ75" s="5"/>
      <c r="BK75" s="5"/>
      <c r="BL75" s="5"/>
      <c r="BM75" s="5"/>
      <c r="BN75" s="5"/>
      <c r="BO75" s="5"/>
      <c r="BP75" s="5"/>
      <c r="BQ75" s="5"/>
      <c r="BR75" s="5"/>
      <c r="BS75" s="5"/>
      <c r="BT75" s="5"/>
      <c r="BU75" s="5" t="s">
        <v>578</v>
      </c>
    </row>
    <row r="76" spans="1:73" x14ac:dyDescent="0.25">
      <c r="A76" s="12" t="s">
        <v>581</v>
      </c>
      <c r="B76" s="5"/>
      <c r="C76" s="5">
        <v>2.86714</v>
      </c>
      <c r="D76" s="9">
        <f>VLOOKUP($A76,'[1]24-8-24 DATA ENTRY'!$A$1:$BR$303,3,FALSE)</f>
        <v>240000038815</v>
      </c>
      <c r="E76" s="9">
        <f>VLOOKUP($A76,'[1]24-8-24 DATA ENTRY'!$A$1:$BR$303,4,FALSE)</f>
        <v>79</v>
      </c>
      <c r="F76" s="9">
        <f>VLOOKUP($A76,'[1]24-8-24 DATA ENTRY'!$A$1:$BR$303,5,FALSE)</f>
        <v>1</v>
      </c>
      <c r="G76" s="10">
        <f>VLOOKUP($A76,'[1]24-8-24 DATA ENTRY'!$A$1:$BR$303,6,FALSE)</f>
        <v>45410</v>
      </c>
      <c r="H76" s="9">
        <f>VLOOKUP($A76,'[1]24-8-24 DATA ENTRY'!$A$1:$BR$303,7,FALSE)</f>
        <v>0.83333333333333337</v>
      </c>
      <c r="I76" s="10">
        <f>VLOOKUP($A76,'[1]24-8-24 DATA ENTRY'!$A$1:$BR$303,8,FALSE)</f>
        <v>45411</v>
      </c>
      <c r="J76" s="10">
        <f>VLOOKUP($A76,'[1]24-8-24 DATA ENTRY'!$A$1:$BR$303,9,FALSE)</f>
        <v>45414</v>
      </c>
      <c r="K76" s="9">
        <f>VLOOKUP($A76,'[1]24-8-24 DATA ENTRY'!$A$1:$BR$303,10,FALSE)</f>
        <v>9767032422</v>
      </c>
      <c r="L76" s="9">
        <f>VLOOKUP($A76,'[1]24-8-24 DATA ENTRY'!$A$1:$BR$303,11,FALSE)</f>
        <v>0</v>
      </c>
      <c r="M76" s="9">
        <f>VLOOKUP($A76,'[1]24-8-24 DATA ENTRY'!$A$1:$BR$303,12,FALSE)</f>
        <v>3</v>
      </c>
      <c r="N76" s="9">
        <f>VLOOKUP($A76,'[1]24-8-24 DATA ENTRY'!$A$1:$BR$303,13,FALSE)</f>
        <v>2</v>
      </c>
      <c r="O76" s="9">
        <f>VLOOKUP($A76,'[1]24-8-24 DATA ENTRY'!$A$1:$BR$303,14,FALSE)</f>
        <v>2</v>
      </c>
      <c r="P76" s="9">
        <f>VLOOKUP($A76,'[1]24-8-24 DATA ENTRY'!$A$1:$BR$303,15,FALSE)</f>
        <v>2</v>
      </c>
      <c r="Q76" s="9">
        <f>VLOOKUP($A76,'[1]24-8-24 DATA ENTRY'!$A$1:$BR$303,16,FALSE)</f>
        <v>2</v>
      </c>
      <c r="R76" s="9">
        <f>VLOOKUP($A76,'[1]24-8-24 DATA ENTRY'!$A$1:$BR$303,17,FALSE)</f>
        <v>2</v>
      </c>
      <c r="S76" s="9">
        <f>VLOOKUP($A76,'[1]24-8-24 DATA ENTRY'!$A$1:$BR$303,18,FALSE)</f>
        <v>2</v>
      </c>
      <c r="T76" s="9">
        <f>VLOOKUP($A76,'[1]24-8-24 DATA ENTRY'!$A$1:$BR$303,19,FALSE)</f>
        <v>1</v>
      </c>
      <c r="U76" s="9">
        <f>VLOOKUP($A76,'[1]24-8-24 DATA ENTRY'!$A$1:$BR$278,20,FALSE)</f>
        <v>1</v>
      </c>
      <c r="V76" s="9">
        <f>VLOOKUP($A76,'[1]24-8-24 DATA ENTRY'!$A$1:$BR$303,21,FALSE)</f>
        <v>2</v>
      </c>
      <c r="W76" s="9" t="str">
        <f>VLOOKUP($A76,'[1]24-8-24 DATA ENTRY'!$A$1:$BR$303,22,FALSE)</f>
        <v>PARKINSONS DISEASE</v>
      </c>
      <c r="X76" s="9">
        <f>VLOOKUP($A76,'[1]24-8-24 DATA ENTRY'!$A$1:$BR$303,23,FALSE)</f>
        <v>10.9</v>
      </c>
      <c r="Y76" s="9">
        <f>VLOOKUP($A76,'[1]24-8-24 DATA ENTRY'!$A$1:$BR$303,24,FALSE)</f>
        <v>33.200000000000003</v>
      </c>
      <c r="Z76" s="9">
        <f>VLOOKUP($A76,'[1]24-8-24 DATA ENTRY'!$A$1:$BR$303,25,FALSE)</f>
        <v>86.9</v>
      </c>
      <c r="AA76" s="9">
        <f>VLOOKUP($A76,'[1]24-8-24 DATA ENTRY'!$A$1:$BR$303,26,FALSE)</f>
        <v>11.95</v>
      </c>
      <c r="AB76" s="9">
        <f>VLOOKUP($A76,'[1]24-8-24 DATA ENTRY'!$A$1:$BR$303,27,FALSE)</f>
        <v>6</v>
      </c>
      <c r="AC76" s="9">
        <f>VLOOKUP($A76,'[1]24-8-24 DATA ENTRY'!$A$1:$BR$303,28,FALSE)</f>
        <v>122</v>
      </c>
      <c r="AD76" s="9">
        <f>VLOOKUP($A76,'[1]24-8-24 DATA ENTRY'!$A$1:$BR$303,29,FALSE)</f>
        <v>74</v>
      </c>
      <c r="AE76" s="9">
        <f>VLOOKUP($A76,'[1]24-8-24 DATA ENTRY'!$A$1:$BR$2303,30,FALSE)</f>
        <v>37</v>
      </c>
      <c r="AF76" s="9">
        <f>VLOOKUP($A76,'[1]24-8-24 DATA ENTRY'!$A$1:$BR$303,31,FALSE)</f>
        <v>11</v>
      </c>
      <c r="AG76" s="9">
        <f>VLOOKUP($A76,'[1]24-8-24 DATA ENTRY'!$A$1:$BR$303,32,FALSE)</f>
        <v>55</v>
      </c>
      <c r="AH76" s="9">
        <f>VLOOKUP($A76,'[1]24-8-24 DATA ENTRY'!$A$1:$BR$303,33,FALSE)</f>
        <v>401</v>
      </c>
      <c r="AI76" s="9">
        <f>VLOOKUP($A76,'[1]24-8-24 DATA ENTRY'!$A$1:$BR$303,34,FALSE)</f>
        <v>0</v>
      </c>
      <c r="AJ76" s="9">
        <f>VLOOKUP($A76,'[1]24-8-24 DATA ENTRY'!$A$1:$BR$303,35,FALSE)</f>
        <v>0</v>
      </c>
      <c r="AK76" s="9" t="str">
        <f>VLOOKUP($A76,'[1]24-8-24 DATA ENTRY'!$A$1:$BR$303,36,FALSE)</f>
        <v>RT PCA-MCA WATERSHED INFARCT, OLD GLIOSIS LEFT PCA MCA WATERSHED INFARCT</v>
      </c>
      <c r="AL76" s="9" t="str">
        <f>VLOOKUP($A76,'[1]24-8-24 DATA ENTRY'!$A$1:$BR$303,37,FALSE)</f>
        <v>SMALL CALCIFIC PLAQUES SEEN IN CAROTIDS AT THE BIFURCATION WITHOUT SIGNIFICANT STENOSIS. LEFT MCA PAUCITY OF DISTAL BRANCHES</v>
      </c>
      <c r="AM76" s="9">
        <f>VLOOKUP($A76,'[1]24-8-24 DATA ENTRY'!$A$1:$BR$303,38,FALSE)</f>
        <v>0</v>
      </c>
      <c r="AN76" s="9">
        <f>VLOOKUP($A76,'[1]24-8-24 DATA ENTRY'!$A$1:$BR$303,39,FALSE)</f>
        <v>9</v>
      </c>
      <c r="AO76" s="9">
        <f>VLOOKUP($A76,'[1]24-8-24 DATA ENTRY'!$A$1:$BR$303,40,FALSE)</f>
        <v>1</v>
      </c>
      <c r="AP76" s="9">
        <f>VLOOKUP($A76,'[1]24-8-24 DATA ENTRY'!$A$1:$BR$303,41,FALSE)</f>
        <v>2</v>
      </c>
      <c r="AQ76" s="9">
        <f>VLOOKUP($A76,'[1]24-8-24 DATA ENTRY'!$A$1:$BR$303,42,FALSE)</f>
        <v>3</v>
      </c>
      <c r="AR76" s="9">
        <f>VLOOKUP($A76,'[1]24-8-24 DATA ENTRY'!$A$1:$BR$303,43,FALSE)</f>
        <v>4</v>
      </c>
      <c r="AS76" s="9">
        <f>VLOOKUP($A76,'[1]24-8-24 DATA ENTRY'!$A$1:$BR$303,44,FALSE)</f>
        <v>0</v>
      </c>
      <c r="AT76" s="9">
        <f>VLOOKUP($A76,'[1]24-8-24 DATA ENTRY'!$A$1:$BR$303,45,FALSE)</f>
        <v>1</v>
      </c>
      <c r="AU76" s="9">
        <f>VLOOKUP($A76,'[1]24-8-24 DATA ENTRY'!$A$1:$BR$303,46,FALSE)</f>
        <v>1</v>
      </c>
      <c r="AV76" s="9">
        <f>VLOOKUP($A76,'[1]24-8-24 DATA ENTRY'!$A$1:$BR$303,47,FALSE)</f>
        <v>2</v>
      </c>
      <c r="AW76" s="9">
        <f>VLOOKUP($A76,'[1]24-8-24 DATA ENTRY'!$A$1:$BR$303,48,FALSE)</f>
        <v>0</v>
      </c>
      <c r="AX76" s="9">
        <f>VLOOKUP($A76,'[1]24-8-24 DATA ENTRY'!$A$1:$BR$303,49,FALSE)</f>
        <v>0</v>
      </c>
      <c r="AY76" s="9">
        <f>VLOOKUP($A76,'[1]24-8-24 DATA ENTRY'!$A$1:$BR$303,50,FALSE)</f>
        <v>0</v>
      </c>
      <c r="AZ76" s="9">
        <f>VLOOKUP($A76,'[1]24-8-24 DATA ENTRY'!$A$1:$BR$303,51,FALSE)</f>
        <v>0</v>
      </c>
      <c r="BA76" s="9">
        <f>VLOOKUP($A76,'[1]24-8-24 DATA ENTRY'!$A$1:$BR$303,52,FALSE)</f>
        <v>0</v>
      </c>
      <c r="BB76" s="5">
        <v>1</v>
      </c>
      <c r="BC76" s="9">
        <f>VLOOKUP($A76,'[1]24-8-24 DATA ENTRY'!$A$1:$BR$303,53,FALSE)</f>
        <v>95</v>
      </c>
      <c r="BD76" s="5"/>
      <c r="BE76" s="5"/>
      <c r="BF76" s="5"/>
      <c r="BG76" s="5"/>
      <c r="BH76" s="5"/>
      <c r="BI76" s="5"/>
      <c r="BJ76" s="5"/>
      <c r="BK76" s="5"/>
      <c r="BL76" s="5"/>
      <c r="BM76" s="5"/>
      <c r="BN76" s="5"/>
      <c r="BO76" s="5"/>
      <c r="BP76" s="5"/>
      <c r="BQ76" s="5"/>
      <c r="BR76" s="5"/>
      <c r="BS76" s="5"/>
      <c r="BT76" s="5"/>
      <c r="BU76" s="5" t="s">
        <v>578</v>
      </c>
    </row>
    <row r="77" spans="1:73" x14ac:dyDescent="0.25">
      <c r="A77" s="5" t="s">
        <v>583</v>
      </c>
      <c r="B77" s="5">
        <v>0</v>
      </c>
      <c r="C77" s="5">
        <v>6.5624500000000001</v>
      </c>
      <c r="D77" s="6">
        <v>230000000000</v>
      </c>
      <c r="E77" s="5">
        <v>62</v>
      </c>
      <c r="F77" s="5">
        <v>1</v>
      </c>
      <c r="G77" s="7">
        <v>45262</v>
      </c>
      <c r="H77" s="5"/>
      <c r="I77" s="7">
        <v>45266</v>
      </c>
      <c r="J77" s="7">
        <v>45265</v>
      </c>
      <c r="K77" s="5">
        <v>7588685004</v>
      </c>
      <c r="L77" s="5"/>
      <c r="M77" s="5">
        <v>5</v>
      </c>
      <c r="N77" s="5">
        <v>2</v>
      </c>
      <c r="O77" s="5">
        <v>1</v>
      </c>
      <c r="P77" s="5">
        <v>2</v>
      </c>
      <c r="Q77" s="5">
        <v>2</v>
      </c>
      <c r="R77" s="5">
        <v>1</v>
      </c>
      <c r="S77" s="5">
        <v>2</v>
      </c>
      <c r="T77" s="5">
        <v>2</v>
      </c>
      <c r="U77" s="5">
        <v>2</v>
      </c>
      <c r="V77" s="5">
        <v>2</v>
      </c>
      <c r="W77" s="5"/>
      <c r="X77" s="5">
        <v>14.5</v>
      </c>
      <c r="Y77" s="5">
        <v>43.1</v>
      </c>
      <c r="Z77" s="5">
        <v>91.1</v>
      </c>
      <c r="AA77" s="5">
        <v>31.31</v>
      </c>
      <c r="AB77" s="5">
        <v>6.8</v>
      </c>
      <c r="AC77" s="5"/>
      <c r="AD77" s="5"/>
      <c r="AE77" s="5"/>
      <c r="AF77" s="5"/>
      <c r="AG77" s="5"/>
      <c r="AH77" s="5">
        <v>171</v>
      </c>
      <c r="AI77" s="5"/>
      <c r="AJ77" s="5"/>
      <c r="AK77" s="5" t="s">
        <v>584</v>
      </c>
      <c r="AL77" s="5" t="s">
        <v>585</v>
      </c>
      <c r="AM77" s="5"/>
      <c r="AN77" s="5">
        <v>9</v>
      </c>
      <c r="AO77" s="5">
        <v>1</v>
      </c>
      <c r="AP77" s="5">
        <v>5</v>
      </c>
      <c r="AQ77" s="5">
        <v>3</v>
      </c>
      <c r="AR77" s="5">
        <v>5</v>
      </c>
      <c r="AS77" s="5"/>
      <c r="AT77" s="5"/>
      <c r="AU77" s="5"/>
      <c r="AV77" s="5"/>
      <c r="AW77" s="5"/>
      <c r="AX77" s="5"/>
      <c r="AY77" s="5"/>
      <c r="AZ77" s="5"/>
      <c r="BA77" s="5">
        <v>0</v>
      </c>
      <c r="BB77" s="5">
        <v>1</v>
      </c>
      <c r="BC77" s="5">
        <v>90</v>
      </c>
      <c r="BD77" s="5"/>
      <c r="BE77" s="5"/>
      <c r="BF77" s="5"/>
      <c r="BG77" s="5"/>
      <c r="BH77" s="5"/>
      <c r="BI77" s="5"/>
      <c r="BJ77" s="5"/>
      <c r="BK77" s="5"/>
      <c r="BL77" s="5"/>
      <c r="BM77" s="5"/>
      <c r="BN77" s="5"/>
      <c r="BO77" s="5"/>
      <c r="BP77" s="5"/>
      <c r="BQ77" s="5"/>
      <c r="BR77" s="5"/>
      <c r="BS77" s="5"/>
      <c r="BT77" s="5"/>
      <c r="BU77" s="5" t="s">
        <v>578</v>
      </c>
    </row>
    <row r="78" spans="1:73" x14ac:dyDescent="0.25">
      <c r="A78" s="5" t="s">
        <v>586</v>
      </c>
      <c r="B78" s="5">
        <v>0</v>
      </c>
      <c r="C78" s="5">
        <v>7.3809500000000003</v>
      </c>
      <c r="D78" s="6">
        <v>240000000000</v>
      </c>
      <c r="E78" s="5">
        <v>49</v>
      </c>
      <c r="F78" s="5">
        <v>1</v>
      </c>
      <c r="G78" s="7">
        <v>45303</v>
      </c>
      <c r="H78" s="11">
        <v>0.58333333333333337</v>
      </c>
      <c r="I78" s="7">
        <v>45303</v>
      </c>
      <c r="J78" s="7">
        <v>45313</v>
      </c>
      <c r="K78" s="5">
        <v>7741942970</v>
      </c>
      <c r="L78" s="5">
        <v>9850169909</v>
      </c>
      <c r="M78" s="5">
        <v>1</v>
      </c>
      <c r="N78" s="5">
        <v>1</v>
      </c>
      <c r="O78" s="5">
        <v>1</v>
      </c>
      <c r="P78" s="5">
        <v>1</v>
      </c>
      <c r="Q78" s="5">
        <v>1</v>
      </c>
      <c r="R78" s="5">
        <v>2</v>
      </c>
      <c r="S78" s="5">
        <v>2</v>
      </c>
      <c r="T78" s="5">
        <v>2</v>
      </c>
      <c r="U78" s="5">
        <v>2</v>
      </c>
      <c r="V78" s="5">
        <v>2</v>
      </c>
      <c r="W78" s="5"/>
      <c r="X78" s="5">
        <v>10.4</v>
      </c>
      <c r="Y78" s="5">
        <v>34.9</v>
      </c>
      <c r="Z78" s="5">
        <v>73.5</v>
      </c>
      <c r="AA78" s="5">
        <v>22.04</v>
      </c>
      <c r="AB78" s="5">
        <v>11.8</v>
      </c>
      <c r="AC78" s="5">
        <v>188</v>
      </c>
      <c r="AD78" s="5">
        <v>139</v>
      </c>
      <c r="AE78" s="5">
        <v>38</v>
      </c>
      <c r="AF78" s="5">
        <v>11</v>
      </c>
      <c r="AG78" s="5">
        <v>55</v>
      </c>
      <c r="AH78" s="5">
        <v>234</v>
      </c>
      <c r="AI78" s="5"/>
      <c r="AJ78" s="5"/>
      <c r="AK78" s="5" t="s">
        <v>587</v>
      </c>
      <c r="AL78" s="5" t="s">
        <v>588</v>
      </c>
      <c r="AM78" s="5"/>
      <c r="AN78" s="5">
        <v>9</v>
      </c>
      <c r="AO78" s="5">
        <v>1</v>
      </c>
      <c r="AP78" s="5">
        <v>5</v>
      </c>
      <c r="AQ78" s="5">
        <v>3</v>
      </c>
      <c r="AR78" s="5">
        <v>5</v>
      </c>
      <c r="AS78" s="5"/>
      <c r="AT78" s="5">
        <v>1</v>
      </c>
      <c r="AU78" s="5">
        <v>2</v>
      </c>
      <c r="AV78" s="5">
        <v>1</v>
      </c>
      <c r="AW78" s="5">
        <v>1</v>
      </c>
      <c r="AX78" s="5"/>
      <c r="AY78" s="5"/>
      <c r="AZ78" s="5"/>
      <c r="BA78" s="5">
        <v>0</v>
      </c>
      <c r="BB78" s="5">
        <v>1</v>
      </c>
      <c r="BC78" s="5">
        <v>95</v>
      </c>
      <c r="BD78" s="5"/>
      <c r="BE78" s="5"/>
      <c r="BF78" s="5"/>
      <c r="BG78" s="5"/>
      <c r="BH78" s="5"/>
      <c r="BI78" s="5"/>
      <c r="BJ78" s="5"/>
      <c r="BK78" s="5"/>
      <c r="BL78" s="5"/>
      <c r="BM78" s="5"/>
      <c r="BN78" s="5"/>
      <c r="BO78" s="5"/>
      <c r="BP78" s="5"/>
      <c r="BQ78" s="5"/>
      <c r="BR78" s="5"/>
      <c r="BS78" s="5"/>
      <c r="BT78" s="5"/>
      <c r="BU78" s="5" t="s">
        <v>578</v>
      </c>
    </row>
    <row r="79" spans="1:73" x14ac:dyDescent="0.25">
      <c r="A79" s="5" t="s">
        <v>604</v>
      </c>
      <c r="B79" s="5">
        <v>0</v>
      </c>
      <c r="C79" s="5">
        <v>20.346</v>
      </c>
      <c r="D79" s="6">
        <v>230000000000</v>
      </c>
      <c r="E79" s="5">
        <v>37</v>
      </c>
      <c r="F79" s="5">
        <v>1</v>
      </c>
      <c r="G79" s="7">
        <v>45265</v>
      </c>
      <c r="H79" s="11">
        <v>0.35416666666666669</v>
      </c>
      <c r="I79" s="7">
        <v>45265</v>
      </c>
      <c r="J79" s="7">
        <v>45267</v>
      </c>
      <c r="K79" s="5">
        <v>9637968875</v>
      </c>
      <c r="L79" s="5"/>
      <c r="M79" s="5">
        <v>1</v>
      </c>
      <c r="N79" s="5">
        <v>2</v>
      </c>
      <c r="O79" s="5">
        <v>2</v>
      </c>
      <c r="P79" s="5">
        <v>2</v>
      </c>
      <c r="Q79" s="5">
        <v>2</v>
      </c>
      <c r="R79" s="5">
        <v>1</v>
      </c>
      <c r="S79" s="5">
        <v>2</v>
      </c>
      <c r="T79" s="5">
        <v>2</v>
      </c>
      <c r="U79" s="5">
        <v>2</v>
      </c>
      <c r="V79" s="5">
        <v>2</v>
      </c>
      <c r="W79" s="5" t="s">
        <v>605</v>
      </c>
      <c r="X79" s="5">
        <v>14.1</v>
      </c>
      <c r="Y79" s="5">
        <v>43.2</v>
      </c>
      <c r="Z79" s="5">
        <v>87.9</v>
      </c>
      <c r="AA79" s="5">
        <v>10.97</v>
      </c>
      <c r="AB79" s="5"/>
      <c r="AC79" s="5"/>
      <c r="AD79" s="5"/>
      <c r="AE79" s="5"/>
      <c r="AF79" s="5"/>
      <c r="AG79" s="5"/>
      <c r="AH79" s="5">
        <v>978</v>
      </c>
      <c r="AI79" s="5"/>
      <c r="AJ79" s="5"/>
      <c r="AK79" s="5" t="s">
        <v>606</v>
      </c>
      <c r="AL79" s="5" t="s">
        <v>607</v>
      </c>
      <c r="AM79" s="5"/>
      <c r="AN79" s="5">
        <v>9</v>
      </c>
      <c r="AO79" s="5">
        <v>1</v>
      </c>
      <c r="AP79" s="5">
        <v>3</v>
      </c>
      <c r="AQ79" s="5">
        <v>3</v>
      </c>
      <c r="AR79" s="5">
        <v>5</v>
      </c>
      <c r="AS79" s="5"/>
      <c r="AT79" s="5">
        <v>1</v>
      </c>
      <c r="AU79" s="5">
        <v>1</v>
      </c>
      <c r="AV79" s="5">
        <v>2</v>
      </c>
      <c r="AW79" s="5"/>
      <c r="AX79" s="5"/>
      <c r="AY79" s="5"/>
      <c r="AZ79" s="5"/>
      <c r="BA79" s="5">
        <v>0</v>
      </c>
      <c r="BB79" s="5">
        <v>1</v>
      </c>
      <c r="BC79" s="5">
        <v>100</v>
      </c>
      <c r="BD79" s="5"/>
      <c r="BE79" s="5"/>
      <c r="BF79" s="5"/>
      <c r="BG79" s="5"/>
      <c r="BH79" s="5"/>
      <c r="BI79" s="5"/>
      <c r="BJ79" s="5"/>
      <c r="BK79" s="5"/>
      <c r="BL79" s="5"/>
      <c r="BM79" s="5"/>
      <c r="BN79" s="5"/>
      <c r="BO79" s="5"/>
      <c r="BP79" s="5"/>
      <c r="BQ79" s="5"/>
      <c r="BR79" s="5"/>
      <c r="BS79" s="5"/>
      <c r="BT79" s="5"/>
      <c r="BU79" s="5" t="s">
        <v>608</v>
      </c>
    </row>
    <row r="80" spans="1:73" x14ac:dyDescent="0.25">
      <c r="A80" s="12" t="s">
        <v>84</v>
      </c>
      <c r="B80" s="5">
        <v>1</v>
      </c>
      <c r="C80" s="12">
        <v>15.042</v>
      </c>
      <c r="D80" s="13">
        <v>230404175</v>
      </c>
      <c r="E80" s="12">
        <v>63</v>
      </c>
      <c r="F80" s="12">
        <v>2</v>
      </c>
      <c r="G80" s="14"/>
      <c r="H80" s="12"/>
      <c r="I80" s="14">
        <v>45043</v>
      </c>
      <c r="J80" s="14"/>
      <c r="K80" s="12">
        <v>9923986659</v>
      </c>
      <c r="L80" s="12"/>
      <c r="M80" s="12">
        <v>20</v>
      </c>
      <c r="N80" s="12">
        <v>1</v>
      </c>
      <c r="O80" s="12">
        <v>1</v>
      </c>
      <c r="P80" s="12">
        <v>2</v>
      </c>
      <c r="Q80" s="12">
        <v>2</v>
      </c>
      <c r="R80" s="12">
        <v>2</v>
      </c>
      <c r="S80" s="12">
        <v>2</v>
      </c>
      <c r="T80" s="12">
        <v>2</v>
      </c>
      <c r="U80" s="12">
        <v>2</v>
      </c>
      <c r="V80" s="12">
        <v>2</v>
      </c>
      <c r="W80" s="12"/>
      <c r="X80" s="12">
        <v>10</v>
      </c>
      <c r="Y80" s="12">
        <v>34</v>
      </c>
      <c r="Z80" s="12"/>
      <c r="AA80" s="12">
        <v>10.199999999999999</v>
      </c>
      <c r="AB80" s="12">
        <v>9.1999999999999993</v>
      </c>
      <c r="AC80" s="12">
        <v>184</v>
      </c>
      <c r="AD80" s="12">
        <v>34</v>
      </c>
      <c r="AE80" s="12">
        <v>103.02</v>
      </c>
      <c r="AF80" s="12">
        <v>46.8</v>
      </c>
      <c r="AG80" s="12">
        <v>234</v>
      </c>
      <c r="AH80" s="12">
        <v>148</v>
      </c>
      <c r="AI80" s="12" t="s">
        <v>85</v>
      </c>
      <c r="AJ80" s="12"/>
      <c r="AK80" s="12"/>
      <c r="AL80" s="12" t="s">
        <v>86</v>
      </c>
      <c r="AM80" s="12"/>
      <c r="AN80" s="12">
        <v>9</v>
      </c>
      <c r="AO80" s="12">
        <v>1</v>
      </c>
      <c r="AP80" s="12">
        <v>3</v>
      </c>
      <c r="AQ80" s="12">
        <v>3</v>
      </c>
      <c r="AR80" s="12">
        <v>4</v>
      </c>
      <c r="AS80" s="12"/>
      <c r="AT80" s="12">
        <v>1</v>
      </c>
      <c r="AU80" s="12">
        <v>1</v>
      </c>
      <c r="AV80" s="12">
        <v>2</v>
      </c>
      <c r="AW80" s="12"/>
      <c r="AX80" s="12"/>
      <c r="AY80" s="12"/>
      <c r="AZ80" s="12"/>
      <c r="BA80" s="12">
        <v>1</v>
      </c>
      <c r="BB80" s="5">
        <v>1</v>
      </c>
      <c r="BC80" s="12">
        <v>100</v>
      </c>
      <c r="BD80" s="12">
        <v>0</v>
      </c>
      <c r="BE80" s="12">
        <v>2</v>
      </c>
      <c r="BF80" s="12">
        <v>2</v>
      </c>
      <c r="BG80" s="12">
        <v>2</v>
      </c>
      <c r="BH80" s="12">
        <v>1</v>
      </c>
      <c r="BI80" s="12">
        <v>1</v>
      </c>
      <c r="BJ80" s="12">
        <v>1</v>
      </c>
      <c r="BK80" s="12">
        <v>0</v>
      </c>
      <c r="BL80" s="12">
        <v>2</v>
      </c>
      <c r="BM80" s="12">
        <v>0</v>
      </c>
      <c r="BN80" s="12">
        <v>1</v>
      </c>
      <c r="BO80" s="12">
        <v>0</v>
      </c>
      <c r="BP80" s="12">
        <v>0</v>
      </c>
      <c r="BQ80" s="12">
        <v>1</v>
      </c>
      <c r="BR80" s="12">
        <v>13</v>
      </c>
      <c r="BS80" s="12">
        <v>1</v>
      </c>
      <c r="BT80" s="12">
        <v>1</v>
      </c>
      <c r="BU80" s="12" t="s">
        <v>87</v>
      </c>
    </row>
    <row r="81" spans="1:73" x14ac:dyDescent="0.25">
      <c r="A81" s="5" t="s">
        <v>178</v>
      </c>
      <c r="B81" s="5">
        <v>1</v>
      </c>
      <c r="C81" s="5">
        <v>114.85899999999999</v>
      </c>
      <c r="D81" s="6">
        <v>220402919</v>
      </c>
      <c r="E81" s="5">
        <v>25</v>
      </c>
      <c r="F81" s="5">
        <v>1</v>
      </c>
      <c r="G81" s="7"/>
      <c r="H81" s="5"/>
      <c r="I81" s="7">
        <v>44872</v>
      </c>
      <c r="J81" s="7">
        <v>44873</v>
      </c>
      <c r="K81" s="5">
        <v>9762043447</v>
      </c>
      <c r="L81" s="5"/>
      <c r="M81" s="5">
        <v>8</v>
      </c>
      <c r="N81" s="5">
        <v>2</v>
      </c>
      <c r="O81" s="5">
        <v>2</v>
      </c>
      <c r="P81" s="5">
        <v>2</v>
      </c>
      <c r="Q81" s="5">
        <v>2</v>
      </c>
      <c r="R81" s="5">
        <v>2</v>
      </c>
      <c r="S81" s="5">
        <v>2</v>
      </c>
      <c r="T81" s="5">
        <v>2</v>
      </c>
      <c r="U81" s="5">
        <v>2</v>
      </c>
      <c r="V81" s="5">
        <v>2</v>
      </c>
      <c r="W81" s="5" t="s">
        <v>179</v>
      </c>
      <c r="X81" s="5">
        <v>13.6</v>
      </c>
      <c r="Y81" s="5">
        <v>43.7</v>
      </c>
      <c r="Z81" s="5"/>
      <c r="AA81" s="5">
        <v>8.5299999999999994</v>
      </c>
      <c r="AB81" s="5"/>
      <c r="AC81" s="5">
        <v>166</v>
      </c>
      <c r="AD81" s="5">
        <v>101.4</v>
      </c>
      <c r="AE81" s="5">
        <v>29</v>
      </c>
      <c r="AF81" s="5">
        <v>35.6</v>
      </c>
      <c r="AG81" s="5">
        <v>178</v>
      </c>
      <c r="AH81" s="5">
        <v>406</v>
      </c>
      <c r="AI81" s="5"/>
      <c r="AJ81" s="5"/>
      <c r="AK81" s="5"/>
      <c r="AL81" s="5" t="s">
        <v>180</v>
      </c>
      <c r="AM81" s="5"/>
      <c r="AN81" s="5">
        <v>9</v>
      </c>
      <c r="AO81" s="5">
        <v>1</v>
      </c>
      <c r="AP81" s="5">
        <v>3</v>
      </c>
      <c r="AQ81" s="5">
        <v>3</v>
      </c>
      <c r="AR81" s="5">
        <v>5</v>
      </c>
      <c r="AS81" s="5"/>
      <c r="AT81" s="5"/>
      <c r="AU81" s="5"/>
      <c r="AV81" s="5"/>
      <c r="AW81" s="5"/>
      <c r="AX81" s="5"/>
      <c r="AY81" s="5"/>
      <c r="AZ81" s="5"/>
      <c r="BA81" s="5">
        <v>1</v>
      </c>
      <c r="BB81" s="5">
        <v>1</v>
      </c>
      <c r="BC81" s="5">
        <v>100</v>
      </c>
      <c r="BD81" s="5">
        <v>1</v>
      </c>
      <c r="BE81" s="5">
        <v>2</v>
      </c>
      <c r="BF81" s="5">
        <v>0</v>
      </c>
      <c r="BG81" s="5">
        <v>1</v>
      </c>
      <c r="BH81" s="5">
        <v>1</v>
      </c>
      <c r="BI81" s="5">
        <v>1</v>
      </c>
      <c r="BJ81" s="5">
        <v>1</v>
      </c>
      <c r="BK81" s="5">
        <v>1</v>
      </c>
      <c r="BL81" s="5">
        <v>2</v>
      </c>
      <c r="BM81" s="5">
        <v>2</v>
      </c>
      <c r="BN81" s="5">
        <v>2</v>
      </c>
      <c r="BO81" s="5">
        <v>1</v>
      </c>
      <c r="BP81" s="5">
        <v>1</v>
      </c>
      <c r="BQ81" s="5">
        <v>1</v>
      </c>
      <c r="BR81" s="5">
        <v>17</v>
      </c>
      <c r="BS81" s="5">
        <v>1</v>
      </c>
      <c r="BT81" s="5">
        <v>1</v>
      </c>
      <c r="BU81" s="5"/>
    </row>
    <row r="82" spans="1:73" x14ac:dyDescent="0.25">
      <c r="A82" s="8" t="s">
        <v>228</v>
      </c>
      <c r="B82" s="5">
        <v>0</v>
      </c>
      <c r="C82" s="8">
        <v>2.2907999999999999</v>
      </c>
      <c r="D82" s="9">
        <f>VLOOKUP($A82,'[1]24-8-24 DATA ENTRY'!$A$1:$BR$258,3,FALSE)</f>
        <v>240000035534</v>
      </c>
      <c r="E82" s="9">
        <f>VLOOKUP($A82,'[1]24-8-24 DATA ENTRY'!$A$1:$BR$258,4,FALSE)</f>
        <v>52</v>
      </c>
      <c r="F82" s="9">
        <f>VLOOKUP($A82,'[1]24-8-24 DATA ENTRY'!$A$1:$BR$258,5,FALSE)</f>
        <v>1</v>
      </c>
      <c r="G82" s="10">
        <f>VLOOKUP($A82,'[1]24-8-24 DATA ENTRY'!$A$1:$BR$258,6,FALSE)</f>
        <v>45398</v>
      </c>
      <c r="H82" s="9">
        <f>VLOOKUP($A82,'[1]24-8-24 DATA ENTRY'!$A$1:$BR$258,7,FALSE)</f>
        <v>0.91666666666666663</v>
      </c>
      <c r="I82" s="10">
        <f>VLOOKUP($A82,'[1]24-8-24 DATA ENTRY'!$A$1:$BR$258,8,FALSE)</f>
        <v>45399</v>
      </c>
      <c r="J82" s="10">
        <f>VLOOKUP($A82,'[1]24-8-24 DATA ENTRY'!$A$1:$BR$258,9,FALSE)</f>
        <v>0</v>
      </c>
      <c r="K82" s="9">
        <f>VLOOKUP($A82,'[1]24-8-24 DATA ENTRY'!$A$1:$BR$258,10,FALSE)</f>
        <v>0</v>
      </c>
      <c r="L82" s="9">
        <f>VLOOKUP($A82,'[1]24-8-24 DATA ENTRY'!$A$1:$BR$258,11,FALSE)</f>
        <v>0</v>
      </c>
      <c r="M82" s="9">
        <f>VLOOKUP($A82,'[1]24-8-24 DATA ENTRY'!$A$1:$BR$258,12,FALSE)</f>
        <v>8</v>
      </c>
      <c r="N82" s="9">
        <f>VLOOKUP($A82,'[1]24-8-24 DATA ENTRY'!$A$1:$BR$258,13,FALSE)</f>
        <v>1</v>
      </c>
      <c r="O82" s="9">
        <f>VLOOKUP($A82,'[1]24-8-24 DATA ENTRY'!$A$1:$BR$258,14,FALSE)</f>
        <v>1</v>
      </c>
      <c r="P82" s="9">
        <f>VLOOKUP($A82,'[1]24-8-24 DATA ENTRY'!$A$1:$BR$258,15,FALSE)</f>
        <v>1</v>
      </c>
      <c r="Q82" s="9">
        <f>VLOOKUP($A82,'[1]24-8-24 DATA ENTRY'!$A$1:$BR$258,16,FALSE)</f>
        <v>2</v>
      </c>
      <c r="R82" s="9">
        <f>VLOOKUP($A82,'[1]24-8-24 DATA ENTRY'!$A$1:$BR$258,17,FALSE)</f>
        <v>2</v>
      </c>
      <c r="S82" s="9">
        <f>VLOOKUP($A82,'[1]24-8-24 DATA ENTRY'!$A$1:$BR$258,18,FALSE)</f>
        <v>2</v>
      </c>
      <c r="T82" s="9">
        <f>VLOOKUP($A82,'[1]24-8-24 DATA ENTRY'!$A$1:$BR$258,19,FALSE)</f>
        <v>2</v>
      </c>
      <c r="U82" s="9">
        <f>VLOOKUP($A82,'[1]24-8-24 DATA ENTRY'!$A$1:$BR$258,20,FALSE)</f>
        <v>2</v>
      </c>
      <c r="V82" s="9">
        <f>VLOOKUP($A82,'[1]24-8-24 DATA ENTRY'!$A$1:$BR$258,21,FALSE)</f>
        <v>2</v>
      </c>
      <c r="W82" s="9" t="str">
        <f>VLOOKUP($A82,'[1]24-8-24 DATA ENTRY'!$A$1:$BR$258,22,FALSE)</f>
        <v>rheumatoid arthritis, obese</v>
      </c>
      <c r="X82" s="9">
        <f>VLOOKUP($A82,'[1]24-8-24 DATA ENTRY'!$A$1:$BR$258,23,FALSE)</f>
        <v>10.4</v>
      </c>
      <c r="Y82" s="9">
        <f>VLOOKUP($A82,'[1]24-8-24 DATA ENTRY'!$A$1:$BR$258,24,FALSE)</f>
        <v>32.700000000000003</v>
      </c>
      <c r="Z82" s="9">
        <f>VLOOKUP($A82,'[1]24-8-24 DATA ENTRY'!$A$1:$BR$258,25,FALSE)</f>
        <v>75.900000000000006</v>
      </c>
      <c r="AA82" s="9">
        <f>VLOOKUP($A82,'[1]24-8-24 DATA ENTRY'!$A$1:$BR$258,26,FALSE)</f>
        <v>9.31</v>
      </c>
      <c r="AB82" s="9">
        <f>VLOOKUP($A82,'[1]24-8-24 DATA ENTRY'!$A$1:$BR$258,27,FALSE)</f>
        <v>0</v>
      </c>
      <c r="AC82" s="9">
        <f>VLOOKUP($A82,'[1]24-8-24 DATA ENTRY'!$A$1:$BR$258,28,FALSE)</f>
        <v>277</v>
      </c>
      <c r="AD82" s="9">
        <f>VLOOKUP($A82,'[1]24-8-24 DATA ENTRY'!$A$1:$BR$258,29,FALSE)</f>
        <v>0</v>
      </c>
      <c r="AE82" s="9">
        <f>VLOOKUP($A82,'[1]24-8-24 DATA ENTRY'!$A$1:$BR$258,30,FALSE)</f>
        <v>38</v>
      </c>
      <c r="AF82" s="9">
        <f>VLOOKUP($A82,'[1]24-8-24 DATA ENTRY'!$A$1:$BR$258,31,FALSE)</f>
        <v>0</v>
      </c>
      <c r="AG82" s="9">
        <f>VLOOKUP($A82,'[1]24-8-24 DATA ENTRY'!$A$1:$BR$258,32,FALSE)</f>
        <v>627</v>
      </c>
      <c r="AH82" s="9">
        <f>VLOOKUP($A82,'[1]24-8-24 DATA ENTRY'!$A$1:$BR$258,33,FALSE)</f>
        <v>497</v>
      </c>
      <c r="AI82" s="9">
        <f>VLOOKUP($A82,'[1]24-8-24 DATA ENTRY'!$A$1:$BR$258,34,FALSE)</f>
        <v>0</v>
      </c>
      <c r="AJ82" s="9">
        <f>VLOOKUP($A82,'[1]24-8-24 DATA ENTRY'!$A$1:$BR$258,35,FALSE)</f>
        <v>0</v>
      </c>
      <c r="AK82" s="9" t="str">
        <f>VLOOKUP($A82,'[1]24-8-24 DATA ENTRY'!$A$1:$BR$258,36,FALSE)</f>
        <v>left corona radiata and posterior limb of internal capsule infarct</v>
      </c>
      <c r="AL82" s="9" t="str">
        <f>VLOOKUP($A82,'[1]24-8-24 DATA ENTRY'!$A$1:$BR$258,37,FALSE)</f>
        <v xml:space="preserve">Rt ICA plaque &lt;50% stenosis </v>
      </c>
      <c r="AM82" s="9">
        <f>VLOOKUP($A82,'[1]24-8-24 DATA ENTRY'!$A$1:$BR$258,38,FALSE)</f>
        <v>0</v>
      </c>
      <c r="AN82" s="9">
        <f>VLOOKUP($A82,'[1]24-8-24 DATA ENTRY'!$A$1:$BR$258,39,FALSE)</f>
        <v>9</v>
      </c>
      <c r="AO82" s="9">
        <f>VLOOKUP($A82,'[1]24-8-24 DATA ENTRY'!$A$1:$BR$258,40,FALSE)</f>
        <v>1</v>
      </c>
      <c r="AP82" s="9">
        <f>VLOOKUP($A82,'[1]24-8-24 DATA ENTRY'!$A$1:$BR$258,41,FALSE)</f>
        <v>3</v>
      </c>
      <c r="AQ82" s="9">
        <f>VLOOKUP($A82,'[1]24-8-24 DATA ENTRY'!$A$1:$BR$258,42,FALSE)</f>
        <v>3</v>
      </c>
      <c r="AR82" s="9">
        <f>VLOOKUP($A82,'[1]24-8-24 DATA ENTRY'!$A$1:$BR$258,43,FALSE)</f>
        <v>5</v>
      </c>
      <c r="AS82" s="9">
        <f>VLOOKUP($A82,'[1]24-8-24 DATA ENTRY'!$A$1:$BR$258,44,FALSE)</f>
        <v>0</v>
      </c>
      <c r="AT82" s="9">
        <f>VLOOKUP($A82,'[1]24-8-24 DATA ENTRY'!$A$1:$BR$258,45,FALSE)</f>
        <v>1</v>
      </c>
      <c r="AU82" s="9">
        <f>VLOOKUP($A82,'[1]24-8-24 DATA ENTRY'!$A$1:$BR$258,46,FALSE)</f>
        <v>1</v>
      </c>
      <c r="AV82" s="9">
        <f>VLOOKUP($A82,'[1]24-8-24 DATA ENTRY'!$A$1:$BR$258,47,FALSE)</f>
        <v>2</v>
      </c>
      <c r="AW82" s="9">
        <f>VLOOKUP($A82,'[1]24-8-24 DATA ENTRY'!$A$1:$BR$258,48,FALSE)</f>
        <v>0</v>
      </c>
      <c r="AX82" s="9">
        <f>VLOOKUP($A82,'[1]24-8-24 DATA ENTRY'!$A$1:$BR$258,49,FALSE)</f>
        <v>0</v>
      </c>
      <c r="AY82" s="9">
        <f>VLOOKUP($A82,'[1]24-8-24 DATA ENTRY'!$A$1:$BR$258,50,FALSE)</f>
        <v>0</v>
      </c>
      <c r="AZ82" s="9">
        <f>VLOOKUP($A82,'[1]24-8-24 DATA ENTRY'!$A$1:$BR$258,51,FALSE)</f>
        <v>0</v>
      </c>
      <c r="BA82" s="9">
        <f>VLOOKUP($A82,'[1]24-8-24 DATA ENTRY'!$A$1:$BR$258,52,FALSE)</f>
        <v>1</v>
      </c>
      <c r="BB82" s="5">
        <v>1</v>
      </c>
      <c r="BC82" s="9">
        <f>VLOOKUP($A82,'[1]24-8-24 DATA ENTRY'!$A$1:$BR$258,53,FALSE)</f>
        <v>90</v>
      </c>
      <c r="BD82" s="8">
        <v>0</v>
      </c>
      <c r="BE82" s="8">
        <v>2</v>
      </c>
      <c r="BF82" s="8">
        <v>2</v>
      </c>
      <c r="BG82" s="8">
        <v>2</v>
      </c>
      <c r="BH82" s="8">
        <v>1</v>
      </c>
      <c r="BI82" s="8">
        <v>1</v>
      </c>
      <c r="BJ82" s="8">
        <v>1</v>
      </c>
      <c r="BK82" s="8">
        <v>0</v>
      </c>
      <c r="BL82" s="8">
        <v>2</v>
      </c>
      <c r="BM82" s="8">
        <v>2</v>
      </c>
      <c r="BN82" s="8">
        <v>2</v>
      </c>
      <c r="BO82" s="8">
        <v>1</v>
      </c>
      <c r="BP82" s="8">
        <v>1</v>
      </c>
      <c r="BQ82" s="8">
        <v>1</v>
      </c>
      <c r="BR82" s="8">
        <v>18</v>
      </c>
      <c r="BS82" s="8">
        <v>1</v>
      </c>
      <c r="BT82" s="8">
        <v>1</v>
      </c>
      <c r="BU82" s="8"/>
    </row>
    <row r="83" spans="1:73" x14ac:dyDescent="0.25">
      <c r="A83" s="12" t="s">
        <v>230</v>
      </c>
      <c r="B83" s="5">
        <v>1</v>
      </c>
      <c r="C83" s="12">
        <v>4.5234899999999998</v>
      </c>
      <c r="D83" s="13">
        <v>220700250</v>
      </c>
      <c r="E83" s="12">
        <v>65</v>
      </c>
      <c r="F83" s="12">
        <v>1</v>
      </c>
      <c r="G83" s="14"/>
      <c r="H83" s="12"/>
      <c r="I83" s="14">
        <v>44745</v>
      </c>
      <c r="J83" s="14">
        <v>44748</v>
      </c>
      <c r="K83" s="12">
        <v>8329592331</v>
      </c>
      <c r="L83" s="12"/>
      <c r="M83" s="12">
        <v>9</v>
      </c>
      <c r="N83" s="12">
        <v>1</v>
      </c>
      <c r="O83" s="12">
        <v>1</v>
      </c>
      <c r="P83" s="12">
        <v>2</v>
      </c>
      <c r="Q83" s="12">
        <v>2</v>
      </c>
      <c r="R83" s="12">
        <v>2</v>
      </c>
      <c r="S83" s="12">
        <v>2</v>
      </c>
      <c r="T83" s="12">
        <v>2</v>
      </c>
      <c r="U83" s="12">
        <v>2</v>
      </c>
      <c r="V83" s="12">
        <v>2</v>
      </c>
      <c r="W83" s="12" t="s">
        <v>231</v>
      </c>
      <c r="X83" s="12">
        <v>13</v>
      </c>
      <c r="Y83" s="12">
        <v>39.1</v>
      </c>
      <c r="Z83" s="12"/>
      <c r="AA83" s="12">
        <v>20.04</v>
      </c>
      <c r="AB83" s="12">
        <v>6</v>
      </c>
      <c r="AC83" s="12">
        <v>117</v>
      </c>
      <c r="AD83" s="12">
        <v>61</v>
      </c>
      <c r="AE83" s="12">
        <v>38</v>
      </c>
      <c r="AF83" s="12"/>
      <c r="AG83" s="12">
        <v>89</v>
      </c>
      <c r="AH83" s="12"/>
      <c r="AI83" s="12" t="s">
        <v>232</v>
      </c>
      <c r="AJ83" s="12"/>
      <c r="AK83" s="12" t="s">
        <v>233</v>
      </c>
      <c r="AL83" s="12" t="s">
        <v>234</v>
      </c>
      <c r="AM83" s="12"/>
      <c r="AN83" s="12">
        <v>9</v>
      </c>
      <c r="AO83" s="12">
        <v>1</v>
      </c>
      <c r="AP83" s="12">
        <v>4</v>
      </c>
      <c r="AQ83" s="12">
        <v>3</v>
      </c>
      <c r="AR83" s="12">
        <v>5</v>
      </c>
      <c r="AS83" s="12"/>
      <c r="AT83" s="12">
        <v>1</v>
      </c>
      <c r="AU83" s="12">
        <v>1</v>
      </c>
      <c r="AV83" s="12">
        <v>2</v>
      </c>
      <c r="AW83" s="12"/>
      <c r="AX83" s="12"/>
      <c r="AY83" s="12"/>
      <c r="AZ83" s="12"/>
      <c r="BA83" s="12">
        <v>1</v>
      </c>
      <c r="BB83" s="5">
        <v>1</v>
      </c>
      <c r="BC83" s="12">
        <v>90</v>
      </c>
      <c r="BD83" s="12">
        <v>1</v>
      </c>
      <c r="BE83" s="12">
        <v>1</v>
      </c>
      <c r="BF83" s="12">
        <v>2</v>
      </c>
      <c r="BG83" s="12">
        <v>2</v>
      </c>
      <c r="BH83" s="12">
        <v>1</v>
      </c>
      <c r="BI83" s="12">
        <v>1</v>
      </c>
      <c r="BJ83" s="12">
        <v>1</v>
      </c>
      <c r="BK83" s="12">
        <v>1</v>
      </c>
      <c r="BL83" s="12">
        <v>1</v>
      </c>
      <c r="BM83" s="12">
        <v>2</v>
      </c>
      <c r="BN83" s="12">
        <v>2</v>
      </c>
      <c r="BO83" s="12">
        <v>1</v>
      </c>
      <c r="BP83" s="12">
        <v>1</v>
      </c>
      <c r="BQ83" s="12">
        <v>1</v>
      </c>
      <c r="BR83" s="12">
        <v>18</v>
      </c>
      <c r="BS83" s="12">
        <v>1</v>
      </c>
      <c r="BT83" s="12">
        <v>0</v>
      </c>
      <c r="BU83" s="12"/>
    </row>
    <row r="84" spans="1:73" x14ac:dyDescent="0.25">
      <c r="A84" s="12" t="s">
        <v>235</v>
      </c>
      <c r="B84" s="5">
        <v>1</v>
      </c>
      <c r="C84" s="12">
        <v>11.7882</v>
      </c>
      <c r="D84" s="13">
        <v>201001242</v>
      </c>
      <c r="E84" s="12">
        <v>56</v>
      </c>
      <c r="F84" s="12">
        <v>1</v>
      </c>
      <c r="G84" s="14"/>
      <c r="H84" s="12"/>
      <c r="I84" s="14">
        <v>44978</v>
      </c>
      <c r="J84" s="14"/>
      <c r="K84" s="12">
        <v>8975275847</v>
      </c>
      <c r="L84" s="12"/>
      <c r="M84" s="12">
        <v>2</v>
      </c>
      <c r="N84" s="12"/>
      <c r="O84" s="12">
        <v>1</v>
      </c>
      <c r="P84" s="12">
        <v>2</v>
      </c>
      <c r="Q84" s="12">
        <v>2</v>
      </c>
      <c r="R84" s="12">
        <v>2</v>
      </c>
      <c r="S84" s="12">
        <v>2</v>
      </c>
      <c r="T84" s="12">
        <v>2</v>
      </c>
      <c r="U84" s="12">
        <v>2</v>
      </c>
      <c r="V84" s="12">
        <v>2</v>
      </c>
      <c r="W84" s="12"/>
      <c r="X84" s="12">
        <v>15.1</v>
      </c>
      <c r="Y84" s="12"/>
      <c r="Z84" s="12"/>
      <c r="AA84" s="12">
        <v>30</v>
      </c>
      <c r="AB84" s="12">
        <v>17.100000000000001</v>
      </c>
      <c r="AC84" s="12"/>
      <c r="AD84" s="12"/>
      <c r="AE84" s="12"/>
      <c r="AF84" s="12"/>
      <c r="AG84" s="12"/>
      <c r="AH84" s="12">
        <v>183</v>
      </c>
      <c r="AI84" s="12"/>
      <c r="AJ84" s="12"/>
      <c r="AK84" s="12" t="s">
        <v>236</v>
      </c>
      <c r="AL84" s="12"/>
      <c r="AM84" s="12"/>
      <c r="AN84" s="12">
        <v>9</v>
      </c>
      <c r="AO84" s="12">
        <v>1</v>
      </c>
      <c r="AP84" s="12">
        <v>3</v>
      </c>
      <c r="AQ84" s="12">
        <v>3</v>
      </c>
      <c r="AR84" s="12">
        <v>5</v>
      </c>
      <c r="AS84" s="12"/>
      <c r="AT84" s="12">
        <v>1</v>
      </c>
      <c r="AU84" s="12">
        <v>1</v>
      </c>
      <c r="AV84" s="12">
        <v>2</v>
      </c>
      <c r="AW84" s="12"/>
      <c r="AX84" s="12"/>
      <c r="AY84" s="12"/>
      <c r="AZ84" s="12"/>
      <c r="BA84" s="12">
        <v>1</v>
      </c>
      <c r="BB84" s="5">
        <v>1</v>
      </c>
      <c r="BC84" s="12">
        <v>100</v>
      </c>
      <c r="BD84" s="12">
        <v>0</v>
      </c>
      <c r="BE84" s="12">
        <v>2</v>
      </c>
      <c r="BF84" s="12">
        <v>2</v>
      </c>
      <c r="BG84" s="12">
        <v>2</v>
      </c>
      <c r="BH84" s="12">
        <v>1</v>
      </c>
      <c r="BI84" s="12">
        <v>1</v>
      </c>
      <c r="BJ84" s="12">
        <v>1</v>
      </c>
      <c r="BK84" s="12">
        <v>1</v>
      </c>
      <c r="BL84" s="12">
        <v>1</v>
      </c>
      <c r="BM84" s="12">
        <v>2</v>
      </c>
      <c r="BN84" s="12">
        <v>2</v>
      </c>
      <c r="BO84" s="12">
        <v>1</v>
      </c>
      <c r="BP84" s="12">
        <v>1</v>
      </c>
      <c r="BQ84" s="12">
        <v>1</v>
      </c>
      <c r="BR84" s="12">
        <v>18</v>
      </c>
      <c r="BS84" s="12">
        <v>1</v>
      </c>
      <c r="BT84" s="12">
        <v>1</v>
      </c>
      <c r="BU84" s="12"/>
    </row>
    <row r="85" spans="1:73" x14ac:dyDescent="0.25">
      <c r="A85" s="5" t="s">
        <v>401</v>
      </c>
      <c r="B85" s="5">
        <v>1</v>
      </c>
      <c r="C85" s="5">
        <v>6.6254099999999996</v>
      </c>
      <c r="D85" s="6">
        <v>160602949</v>
      </c>
      <c r="E85" s="5">
        <v>72</v>
      </c>
      <c r="F85" s="5">
        <v>2</v>
      </c>
      <c r="G85" s="7"/>
      <c r="H85" s="5"/>
      <c r="I85" s="7">
        <v>44939</v>
      </c>
      <c r="J85" s="7">
        <v>44943</v>
      </c>
      <c r="K85" s="5"/>
      <c r="L85" s="5"/>
      <c r="M85" s="5">
        <v>7</v>
      </c>
      <c r="N85" s="5">
        <v>1</v>
      </c>
      <c r="O85" s="5">
        <v>2</v>
      </c>
      <c r="P85" s="5">
        <v>2</v>
      </c>
      <c r="Q85" s="5">
        <v>2</v>
      </c>
      <c r="R85" s="5">
        <v>2</v>
      </c>
      <c r="S85" s="5">
        <v>2</v>
      </c>
      <c r="T85" s="5">
        <v>2</v>
      </c>
      <c r="U85" s="5">
        <v>2</v>
      </c>
      <c r="V85" s="5">
        <v>2</v>
      </c>
      <c r="W85" s="5" t="s">
        <v>402</v>
      </c>
      <c r="X85" s="5">
        <v>11.5</v>
      </c>
      <c r="Y85" s="5">
        <v>32.799999999999997</v>
      </c>
      <c r="Z85" s="5"/>
      <c r="AA85" s="5">
        <v>25</v>
      </c>
      <c r="AB85" s="5">
        <v>5.5</v>
      </c>
      <c r="AC85" s="5"/>
      <c r="AD85" s="5"/>
      <c r="AE85" s="5"/>
      <c r="AF85" s="5"/>
      <c r="AG85" s="5"/>
      <c r="AH85" s="5">
        <v>148</v>
      </c>
      <c r="AI85" s="5" t="s">
        <v>403</v>
      </c>
      <c r="AJ85" s="5"/>
      <c r="AK85" s="5" t="s">
        <v>404</v>
      </c>
      <c r="AL85" s="5" t="s">
        <v>405</v>
      </c>
      <c r="AM85" s="5"/>
      <c r="AN85" s="5">
        <v>9</v>
      </c>
      <c r="AO85" s="5">
        <v>1</v>
      </c>
      <c r="AP85" s="5">
        <v>3</v>
      </c>
      <c r="AQ85" s="5">
        <v>3</v>
      </c>
      <c r="AR85" s="5">
        <v>5</v>
      </c>
      <c r="AS85" s="5"/>
      <c r="AT85" s="5">
        <v>1</v>
      </c>
      <c r="AU85" s="5">
        <v>1</v>
      </c>
      <c r="AV85" s="5">
        <v>2</v>
      </c>
      <c r="AW85" s="5">
        <v>4</v>
      </c>
      <c r="AX85" s="5">
        <v>8</v>
      </c>
      <c r="AY85" s="5">
        <v>2</v>
      </c>
      <c r="AZ85" s="5">
        <v>2</v>
      </c>
      <c r="BA85" s="5">
        <v>1</v>
      </c>
      <c r="BB85" s="5">
        <v>1</v>
      </c>
      <c r="BC85" s="5">
        <v>95</v>
      </c>
      <c r="BD85" s="5">
        <v>1</v>
      </c>
      <c r="BE85" s="5">
        <v>2</v>
      </c>
      <c r="BF85" s="5">
        <v>2</v>
      </c>
      <c r="BG85" s="5">
        <v>2</v>
      </c>
      <c r="BH85" s="5">
        <v>1</v>
      </c>
      <c r="BI85" s="5">
        <v>1</v>
      </c>
      <c r="BJ85" s="5">
        <v>1</v>
      </c>
      <c r="BK85" s="5">
        <v>1</v>
      </c>
      <c r="BL85" s="5">
        <v>2</v>
      </c>
      <c r="BM85" s="5">
        <v>2</v>
      </c>
      <c r="BN85" s="5">
        <v>2</v>
      </c>
      <c r="BO85" s="5">
        <v>1</v>
      </c>
      <c r="BP85" s="5">
        <v>1</v>
      </c>
      <c r="BQ85" s="5">
        <v>1</v>
      </c>
      <c r="BR85" s="5">
        <v>20</v>
      </c>
      <c r="BS85" s="5">
        <v>1</v>
      </c>
      <c r="BT85" s="5">
        <v>1</v>
      </c>
      <c r="BU85" s="5"/>
    </row>
    <row r="86" spans="1:73" x14ac:dyDescent="0.25">
      <c r="A86" s="5" t="s">
        <v>513</v>
      </c>
      <c r="B86" s="5">
        <v>0</v>
      </c>
      <c r="C86" s="5">
        <v>3.0802399999999999</v>
      </c>
      <c r="D86" s="6">
        <v>230000000000</v>
      </c>
      <c r="E86" s="5">
        <v>76</v>
      </c>
      <c r="F86" s="5">
        <v>1</v>
      </c>
      <c r="G86" s="7">
        <v>45288</v>
      </c>
      <c r="H86" s="11">
        <v>0.625</v>
      </c>
      <c r="I86" s="7">
        <v>45288</v>
      </c>
      <c r="J86" s="7">
        <v>45297</v>
      </c>
      <c r="K86" s="5">
        <v>9552288085</v>
      </c>
      <c r="L86" s="5"/>
      <c r="M86" s="5">
        <v>9</v>
      </c>
      <c r="N86" s="5">
        <v>2</v>
      </c>
      <c r="O86" s="5">
        <v>2</v>
      </c>
      <c r="P86" s="5">
        <v>2</v>
      </c>
      <c r="Q86" s="5">
        <v>2</v>
      </c>
      <c r="R86" s="5">
        <v>1</v>
      </c>
      <c r="S86" s="5">
        <v>2</v>
      </c>
      <c r="T86" s="5">
        <v>2</v>
      </c>
      <c r="U86" s="5">
        <v>2</v>
      </c>
      <c r="V86" s="5">
        <v>2</v>
      </c>
      <c r="W86" s="5"/>
      <c r="X86" s="5">
        <v>13.3</v>
      </c>
      <c r="Y86" s="5">
        <v>38.200000000000003</v>
      </c>
      <c r="Z86" s="5">
        <v>100.5</v>
      </c>
      <c r="AA86" s="5">
        <v>10</v>
      </c>
      <c r="AB86" s="5">
        <v>5.3</v>
      </c>
      <c r="AC86" s="5">
        <v>127</v>
      </c>
      <c r="AD86" s="5">
        <v>72.400000000000006</v>
      </c>
      <c r="AE86" s="5">
        <v>38</v>
      </c>
      <c r="AF86" s="5">
        <v>16.600000000000001</v>
      </c>
      <c r="AG86" s="5">
        <v>83</v>
      </c>
      <c r="AH86" s="5">
        <v>2000</v>
      </c>
      <c r="AI86" s="5"/>
      <c r="AJ86" s="5"/>
      <c r="AK86" s="5" t="s">
        <v>514</v>
      </c>
      <c r="AL86" s="5" t="s">
        <v>326</v>
      </c>
      <c r="AM86" s="5"/>
      <c r="AN86" s="5">
        <v>9</v>
      </c>
      <c r="AO86" s="5">
        <v>1</v>
      </c>
      <c r="AP86" s="5">
        <v>3</v>
      </c>
      <c r="AQ86" s="5">
        <v>3</v>
      </c>
      <c r="AR86" s="5">
        <v>5</v>
      </c>
      <c r="AS86" s="5"/>
      <c r="AT86" s="5">
        <v>1</v>
      </c>
      <c r="AU86" s="5">
        <v>2</v>
      </c>
      <c r="AV86" s="5">
        <v>1</v>
      </c>
      <c r="AW86" s="5">
        <v>1</v>
      </c>
      <c r="AX86" s="5">
        <v>8</v>
      </c>
      <c r="AY86" s="5">
        <v>2</v>
      </c>
      <c r="AZ86" s="5">
        <v>2</v>
      </c>
      <c r="BA86" s="5">
        <v>1</v>
      </c>
      <c r="BB86" s="5">
        <v>1</v>
      </c>
      <c r="BC86" s="5">
        <v>85</v>
      </c>
      <c r="BD86" s="5">
        <v>0</v>
      </c>
      <c r="BE86" s="5">
        <v>2</v>
      </c>
      <c r="BF86" s="5">
        <v>2</v>
      </c>
      <c r="BG86" s="5">
        <v>2</v>
      </c>
      <c r="BH86" s="5">
        <v>1</v>
      </c>
      <c r="BI86" s="5">
        <v>1</v>
      </c>
      <c r="BJ86" s="5">
        <v>1</v>
      </c>
      <c r="BK86" s="5">
        <v>1</v>
      </c>
      <c r="BL86" s="5">
        <v>2</v>
      </c>
      <c r="BM86" s="5">
        <v>2</v>
      </c>
      <c r="BN86" s="5">
        <v>2</v>
      </c>
      <c r="BO86" s="5">
        <v>1</v>
      </c>
      <c r="BP86" s="5">
        <v>1</v>
      </c>
      <c r="BQ86" s="5">
        <v>1</v>
      </c>
      <c r="BR86" s="5">
        <v>19</v>
      </c>
      <c r="BS86" s="5">
        <v>1</v>
      </c>
      <c r="BT86" s="5">
        <v>1</v>
      </c>
      <c r="BU86" s="5"/>
    </row>
    <row r="87" spans="1:73" x14ac:dyDescent="0.25">
      <c r="A87" s="5" t="s">
        <v>519</v>
      </c>
      <c r="B87" s="5">
        <v>0</v>
      </c>
      <c r="C87" s="5">
        <v>22.627199999999998</v>
      </c>
      <c r="D87" s="9">
        <f>VLOOKUP($A87,'[1]24-8-24 DATA ENTRY'!$A$1:$BR$303,3,FALSE)</f>
        <v>240000052028</v>
      </c>
      <c r="E87" s="9">
        <f>VLOOKUP($A87,'[1]24-8-24 DATA ENTRY'!$A$1:$BR$303,4,FALSE)</f>
        <v>72</v>
      </c>
      <c r="F87" s="9">
        <f>VLOOKUP($A87,'[1]24-8-24 DATA ENTRY'!$A$1:$BR$303,5,FALSE)</f>
        <v>1</v>
      </c>
      <c r="G87" s="10">
        <f>VLOOKUP($A87,'[1]24-8-24 DATA ENTRY'!$A$1:$BR$303,6,FALSE)</f>
        <v>45456</v>
      </c>
      <c r="H87" s="9">
        <f>VLOOKUP($A87,'[1]24-8-24 DATA ENTRY'!$A$1:$BR$303,7,FALSE)</f>
        <v>0.70833333333333337</v>
      </c>
      <c r="I87" s="10">
        <f>VLOOKUP($A87,'[1]24-8-24 DATA ENTRY'!$A$1:$BR$303,8,FALSE)</f>
        <v>45456</v>
      </c>
      <c r="J87" s="10">
        <f>VLOOKUP($A87,'[1]24-8-24 DATA ENTRY'!$A$1:$BR$303,9,FALSE)</f>
        <v>45468</v>
      </c>
      <c r="K87" s="9">
        <f>VLOOKUP($A87,'[1]24-8-24 DATA ENTRY'!$A$1:$BR$303,10,FALSE)</f>
        <v>976684207</v>
      </c>
      <c r="L87" s="9">
        <f>VLOOKUP($A87,'[1]24-8-24 DATA ENTRY'!$A$1:$BR$303,11,FALSE)</f>
        <v>0</v>
      </c>
      <c r="M87" s="9">
        <f>VLOOKUP($A87,'[1]24-8-24 DATA ENTRY'!$A$1:$BR$303,12,FALSE)</f>
        <v>22</v>
      </c>
      <c r="N87" s="9">
        <f>VLOOKUP($A87,'[1]24-8-24 DATA ENTRY'!$A$1:$BR$303,13,FALSE)</f>
        <v>1</v>
      </c>
      <c r="O87" s="9">
        <f>VLOOKUP($A87,'[1]24-8-24 DATA ENTRY'!$A$1:$BR$303,14,FALSE)</f>
        <v>1</v>
      </c>
      <c r="P87" s="9">
        <f>VLOOKUP($A87,'[1]24-8-24 DATA ENTRY'!$A$1:$BR$303,15,FALSE)</f>
        <v>2</v>
      </c>
      <c r="Q87" s="9">
        <f>VLOOKUP($A87,'[1]24-8-24 DATA ENTRY'!$A$1:$BR$303,16,FALSE)</f>
        <v>2</v>
      </c>
      <c r="R87" s="9">
        <f>VLOOKUP($A87,'[1]24-8-24 DATA ENTRY'!$A$1:$BR$303,17,FALSE)</f>
        <v>2</v>
      </c>
      <c r="S87" s="9">
        <f>VLOOKUP($A87,'[1]24-8-24 DATA ENTRY'!$A$1:$BR$303,18,FALSE)</f>
        <v>2</v>
      </c>
      <c r="T87" s="9">
        <f>VLOOKUP($A87,'[1]24-8-24 DATA ENTRY'!$A$1:$BR$303,19,FALSE)</f>
        <v>2</v>
      </c>
      <c r="U87" s="9">
        <v>2</v>
      </c>
      <c r="V87" s="9">
        <f>VLOOKUP($A87,'[1]24-8-24 DATA ENTRY'!$A$1:$BR$303,21,FALSE)</f>
        <v>2</v>
      </c>
      <c r="W87" s="9" t="str">
        <f>VLOOKUP($A87,'[1]24-8-24 DATA ENTRY'!$A$1:$BR$303,22,FALSE)</f>
        <v>old stroke 2018</v>
      </c>
      <c r="X87" s="9">
        <f>VLOOKUP($A87,'[1]24-8-24 DATA ENTRY'!$A$1:$BR$303,23,FALSE)</f>
        <v>14.5</v>
      </c>
      <c r="Y87" s="9">
        <f>VLOOKUP($A87,'[1]24-8-24 DATA ENTRY'!$A$1:$BR$303,24,FALSE)</f>
        <v>43.1</v>
      </c>
      <c r="Z87" s="9">
        <f>VLOOKUP($A87,'[1]24-8-24 DATA ENTRY'!$A$1:$BR$303,25,FALSE)</f>
        <v>87.6</v>
      </c>
      <c r="AA87" s="9">
        <f>VLOOKUP($A87,'[1]24-8-24 DATA ENTRY'!$A$1:$BR$303,26,FALSE)</f>
        <v>19.559999999999999</v>
      </c>
      <c r="AB87" s="9">
        <f>VLOOKUP($A87,'[1]24-8-24 DATA ENTRY'!$A$1:$BR$303,27,FALSE)</f>
        <v>5.9</v>
      </c>
      <c r="AC87" s="9">
        <f>VLOOKUP($A87,'[1]24-8-24 DATA ENTRY'!$A$1:$BR$303,28,FALSE)</f>
        <v>0</v>
      </c>
      <c r="AD87" s="9">
        <f>VLOOKUP($A87,'[1]24-8-24 DATA ENTRY'!$A$1:$BR$303,29,FALSE)</f>
        <v>0</v>
      </c>
      <c r="AE87" s="9">
        <f>VLOOKUP($A87,'[1]24-8-24 DATA ENTRY'!$A$1:$BR$2303,30,FALSE)</f>
        <v>0</v>
      </c>
      <c r="AF87" s="9">
        <f>VLOOKUP($A87,'[1]24-8-24 DATA ENTRY'!$A$1:$BR$303,31,FALSE)</f>
        <v>0</v>
      </c>
      <c r="AG87" s="9">
        <f>VLOOKUP($A87,'[1]24-8-24 DATA ENTRY'!$A$1:$BR$303,32,FALSE)</f>
        <v>0</v>
      </c>
      <c r="AH87" s="9">
        <f>VLOOKUP($A87,'[1]24-8-24 DATA ENTRY'!$A$1:$BR$303,33,FALSE)</f>
        <v>186</v>
      </c>
      <c r="AI87" s="9">
        <f>VLOOKUP($A87,'[1]24-8-24 DATA ENTRY'!$A$1:$BR$303,34,FALSE)</f>
        <v>0</v>
      </c>
      <c r="AJ87" s="9">
        <f>VLOOKUP($A87,'[1]24-8-24 DATA ENTRY'!$A$1:$BR$303,35,FALSE)</f>
        <v>0</v>
      </c>
      <c r="AK87" s="9" t="str">
        <f>VLOOKUP($A87,'[1]24-8-24 DATA ENTRY'!$A$1:$BR$303,36,FALSE)</f>
        <v>left mca infarct</v>
      </c>
      <c r="AL87" s="9" t="str">
        <f>VLOOKUP($A87,'[1]24-8-24 DATA ENTRY'!$A$1:$BR$303,37,FALSE)</f>
        <v>left ICA and MCA m1 occlusion paucity of cortical branches of left mca. Mild peripheral opacification of m2 segment &amp; superior devision of MCA</v>
      </c>
      <c r="AM87" s="9">
        <f>VLOOKUP($A87,'[1]24-8-24 DATA ENTRY'!$A$1:$BR$303,38,FALSE)</f>
        <v>0</v>
      </c>
      <c r="AN87" s="9">
        <f>VLOOKUP($A87,'[1]24-8-24 DATA ENTRY'!$A$1:$BR$303,39,FALSE)</f>
        <v>9</v>
      </c>
      <c r="AO87" s="9">
        <f>VLOOKUP($A87,'[1]24-8-24 DATA ENTRY'!$A$1:$BR$303,40,FALSE)</f>
        <v>2</v>
      </c>
      <c r="AP87" s="9">
        <f>VLOOKUP($A87,'[1]24-8-24 DATA ENTRY'!$A$1:$BR$303,41,FALSE)</f>
        <v>1</v>
      </c>
      <c r="AQ87" s="9">
        <f>VLOOKUP($A87,'[1]24-8-24 DATA ENTRY'!$A$1:$BR$303,42,FALSE)</f>
        <v>1</v>
      </c>
      <c r="AR87" s="9">
        <f>VLOOKUP($A87,'[1]24-8-24 DATA ENTRY'!$A$1:$BR$303,43,FALSE)</f>
        <v>4</v>
      </c>
      <c r="AS87" s="9">
        <f>VLOOKUP($A87,'[1]24-8-24 DATA ENTRY'!$A$1:$BR$303,44,FALSE)</f>
        <v>0</v>
      </c>
      <c r="AT87" s="9">
        <f>VLOOKUP($A87,'[1]24-8-24 DATA ENTRY'!$A$1:$BR$303,45,FALSE)</f>
        <v>1</v>
      </c>
      <c r="AU87" s="9">
        <f>VLOOKUP($A87,'[1]24-8-24 DATA ENTRY'!$A$1:$BR$303,46,FALSE)</f>
        <v>2</v>
      </c>
      <c r="AV87" s="9">
        <f>VLOOKUP($A87,'[1]24-8-24 DATA ENTRY'!$A$1:$BR$303,47,FALSE)</f>
        <v>1</v>
      </c>
      <c r="AW87" s="9">
        <f>VLOOKUP($A87,'[1]24-8-24 DATA ENTRY'!$A$1:$BR$303,48,FALSE)</f>
        <v>2</v>
      </c>
      <c r="AX87" s="9">
        <f>VLOOKUP($A87,'[1]24-8-24 DATA ENTRY'!$A$1:$BR$303,49,FALSE)</f>
        <v>0</v>
      </c>
      <c r="AY87" s="9">
        <f>VLOOKUP($A87,'[1]24-8-24 DATA ENTRY'!$A$1:$BR$303,50,FALSE)</f>
        <v>1</v>
      </c>
      <c r="AZ87" s="9">
        <f>VLOOKUP($A87,'[1]24-8-24 DATA ENTRY'!$A$1:$BR$303,51,FALSE)</f>
        <v>0</v>
      </c>
      <c r="BA87" s="9">
        <f>VLOOKUP($A87,'[1]24-8-24 DATA ENTRY'!$A$1:$BR$303,52,FALSE)</f>
        <v>1</v>
      </c>
      <c r="BB87" s="5">
        <v>1</v>
      </c>
      <c r="BC87" s="9">
        <f>VLOOKUP($A87,'[1]24-8-24 DATA ENTRY'!$A$1:$BR$303,53,FALSE)</f>
        <v>85</v>
      </c>
      <c r="BD87" s="5">
        <v>1</v>
      </c>
      <c r="BE87" s="5">
        <v>2</v>
      </c>
      <c r="BF87" s="5">
        <v>2</v>
      </c>
      <c r="BG87" s="5">
        <v>2</v>
      </c>
      <c r="BH87" s="5">
        <v>1</v>
      </c>
      <c r="BI87" s="5">
        <v>1</v>
      </c>
      <c r="BJ87" s="5">
        <v>1</v>
      </c>
      <c r="BK87" s="5">
        <v>0</v>
      </c>
      <c r="BL87" s="5">
        <v>0</v>
      </c>
      <c r="BM87" s="5">
        <v>0</v>
      </c>
      <c r="BN87" s="5">
        <v>0</v>
      </c>
      <c r="BO87" s="5">
        <v>0</v>
      </c>
      <c r="BP87" s="5">
        <v>0</v>
      </c>
      <c r="BQ87" s="5">
        <v>1</v>
      </c>
      <c r="BR87" s="5">
        <v>11</v>
      </c>
      <c r="BS87" s="5">
        <v>0</v>
      </c>
      <c r="BT87" s="5">
        <v>1</v>
      </c>
      <c r="BU87" s="5" t="s">
        <v>373</v>
      </c>
    </row>
    <row r="88" spans="1:73" x14ac:dyDescent="0.25">
      <c r="A88" s="5" t="s">
        <v>542</v>
      </c>
      <c r="B88" s="5">
        <v>0</v>
      </c>
      <c r="C88" s="5">
        <v>3.2642699999999998</v>
      </c>
      <c r="D88" s="6">
        <v>221101249</v>
      </c>
      <c r="E88" s="5"/>
      <c r="F88" s="5">
        <v>2</v>
      </c>
      <c r="G88" s="7"/>
      <c r="H88" s="5"/>
      <c r="I88" s="7"/>
      <c r="J88" s="7"/>
      <c r="K88" s="5">
        <v>9762449220</v>
      </c>
      <c r="L88" s="5"/>
      <c r="M88" s="5">
        <v>2</v>
      </c>
      <c r="N88" s="5">
        <v>1</v>
      </c>
      <c r="O88" s="5">
        <v>2</v>
      </c>
      <c r="P88" s="5">
        <v>2</v>
      </c>
      <c r="Q88" s="5">
        <v>2</v>
      </c>
      <c r="R88" s="5">
        <v>2</v>
      </c>
      <c r="S88" s="5">
        <v>2</v>
      </c>
      <c r="T88" s="5">
        <v>2</v>
      </c>
      <c r="U88" s="5">
        <v>2</v>
      </c>
      <c r="V88" s="5">
        <v>2</v>
      </c>
      <c r="W88" s="5"/>
      <c r="X88" s="5"/>
      <c r="Y88" s="5"/>
      <c r="Z88" s="5"/>
      <c r="AA88" s="5"/>
      <c r="AB88" s="5"/>
      <c r="AC88" s="5"/>
      <c r="AD88" s="5"/>
      <c r="AE88" s="5"/>
      <c r="AF88" s="5"/>
      <c r="AG88" s="5"/>
      <c r="AH88" s="5"/>
      <c r="AI88" s="5"/>
      <c r="AJ88" s="5"/>
      <c r="AK88" s="5" t="s">
        <v>543</v>
      </c>
      <c r="AL88" s="5" t="s">
        <v>435</v>
      </c>
      <c r="AM88" s="5"/>
      <c r="AN88" s="5">
        <v>9</v>
      </c>
      <c r="AO88" s="5">
        <v>3</v>
      </c>
      <c r="AP88" s="5">
        <v>4</v>
      </c>
      <c r="AQ88" s="5">
        <v>2</v>
      </c>
      <c r="AR88" s="5">
        <v>5</v>
      </c>
      <c r="AS88" s="5"/>
      <c r="AT88" s="5">
        <v>1</v>
      </c>
      <c r="AU88" s="5">
        <v>1</v>
      </c>
      <c r="AV88" s="5">
        <v>1</v>
      </c>
      <c r="AW88" s="5">
        <v>1</v>
      </c>
      <c r="AX88" s="5"/>
      <c r="AY88" s="5"/>
      <c r="AZ88" s="5"/>
      <c r="BA88" s="5">
        <v>1</v>
      </c>
      <c r="BB88" s="5">
        <v>1</v>
      </c>
      <c r="BC88" s="5">
        <v>85</v>
      </c>
      <c r="BD88" s="5">
        <v>1</v>
      </c>
      <c r="BE88" s="5">
        <v>2</v>
      </c>
      <c r="BF88" s="5">
        <v>2</v>
      </c>
      <c r="BG88" s="5">
        <v>2</v>
      </c>
      <c r="BH88" s="5">
        <v>1</v>
      </c>
      <c r="BI88" s="5">
        <v>1</v>
      </c>
      <c r="BJ88" s="5">
        <v>1</v>
      </c>
      <c r="BK88" s="5">
        <v>1</v>
      </c>
      <c r="BL88" s="5">
        <v>2</v>
      </c>
      <c r="BM88" s="5">
        <v>2</v>
      </c>
      <c r="BN88" s="5">
        <v>2</v>
      </c>
      <c r="BO88" s="5">
        <v>1</v>
      </c>
      <c r="BP88" s="5">
        <v>1</v>
      </c>
      <c r="BQ88" s="5">
        <v>1</v>
      </c>
      <c r="BR88" s="5">
        <v>20</v>
      </c>
      <c r="BS88" s="5">
        <v>1</v>
      </c>
      <c r="BT88" s="5">
        <v>1</v>
      </c>
      <c r="BU88" s="5"/>
    </row>
    <row r="89" spans="1:73" x14ac:dyDescent="0.25">
      <c r="A89" s="5" t="s">
        <v>566</v>
      </c>
      <c r="B89" s="5">
        <v>0</v>
      </c>
      <c r="C89" s="5">
        <v>11.856</v>
      </c>
      <c r="D89" s="6">
        <v>230402759</v>
      </c>
      <c r="E89" s="5">
        <v>54</v>
      </c>
      <c r="F89" s="5">
        <v>1</v>
      </c>
      <c r="G89" s="7">
        <v>45034</v>
      </c>
      <c r="H89" s="11">
        <v>0.375</v>
      </c>
      <c r="I89" s="7">
        <v>45034</v>
      </c>
      <c r="J89" s="7">
        <v>45035</v>
      </c>
      <c r="K89" s="5">
        <v>8999744447</v>
      </c>
      <c r="L89" s="5"/>
      <c r="M89" s="5">
        <v>3</v>
      </c>
      <c r="N89" s="5">
        <v>2</v>
      </c>
      <c r="O89" s="5">
        <v>1</v>
      </c>
      <c r="P89" s="5">
        <v>2</v>
      </c>
      <c r="Q89" s="5">
        <v>2</v>
      </c>
      <c r="R89" s="5">
        <v>2</v>
      </c>
      <c r="S89" s="5">
        <v>2</v>
      </c>
      <c r="T89" s="5">
        <v>2</v>
      </c>
      <c r="U89" s="5">
        <v>2</v>
      </c>
      <c r="V89" s="5">
        <v>2</v>
      </c>
      <c r="W89" s="5"/>
      <c r="X89" s="5">
        <v>15.5</v>
      </c>
      <c r="Y89" s="5">
        <v>45.7</v>
      </c>
      <c r="Z89" s="5"/>
      <c r="AA89" s="5">
        <v>13</v>
      </c>
      <c r="AB89" s="5">
        <v>7.6</v>
      </c>
      <c r="AC89" s="5">
        <v>197</v>
      </c>
      <c r="AD89" s="5">
        <v>140</v>
      </c>
      <c r="AE89" s="5">
        <v>26</v>
      </c>
      <c r="AF89" s="5">
        <v>31</v>
      </c>
      <c r="AG89" s="5">
        <v>155</v>
      </c>
      <c r="AH89" s="5">
        <v>213</v>
      </c>
      <c r="AI89" s="5" t="s">
        <v>567</v>
      </c>
      <c r="AJ89" s="5"/>
      <c r="AK89" s="5" t="s">
        <v>568</v>
      </c>
      <c r="AL89" s="5" t="s">
        <v>569</v>
      </c>
      <c r="AM89" s="5"/>
      <c r="AN89" s="5">
        <v>9</v>
      </c>
      <c r="AO89" s="5">
        <v>3</v>
      </c>
      <c r="AP89" s="5">
        <v>5</v>
      </c>
      <c r="AQ89" s="5">
        <v>3</v>
      </c>
      <c r="AR89" s="5">
        <v>5</v>
      </c>
      <c r="AS89" s="5"/>
      <c r="AT89" s="5">
        <v>1</v>
      </c>
      <c r="AU89" s="5">
        <v>1</v>
      </c>
      <c r="AV89" s="5">
        <v>2</v>
      </c>
      <c r="AW89" s="5"/>
      <c r="AX89" s="5"/>
      <c r="AY89" s="5"/>
      <c r="AZ89" s="5"/>
      <c r="BA89" s="5">
        <v>1</v>
      </c>
      <c r="BB89" s="5">
        <v>1</v>
      </c>
      <c r="BC89" s="5">
        <v>100</v>
      </c>
      <c r="BD89" s="5">
        <v>0</v>
      </c>
      <c r="BE89" s="5">
        <v>1</v>
      </c>
      <c r="BF89" s="5">
        <v>2</v>
      </c>
      <c r="BG89" s="5">
        <v>2</v>
      </c>
      <c r="BH89" s="5">
        <v>1</v>
      </c>
      <c r="BI89" s="5">
        <v>1</v>
      </c>
      <c r="BJ89" s="5">
        <v>1</v>
      </c>
      <c r="BK89" s="5">
        <v>1</v>
      </c>
      <c r="BL89" s="5">
        <v>2</v>
      </c>
      <c r="BM89" s="5">
        <v>2</v>
      </c>
      <c r="BN89" s="5">
        <v>2</v>
      </c>
      <c r="BO89" s="5">
        <v>1</v>
      </c>
      <c r="BP89" s="5">
        <v>1</v>
      </c>
      <c r="BQ89" s="5">
        <v>1</v>
      </c>
      <c r="BR89" s="5">
        <v>18</v>
      </c>
      <c r="BS89" s="5">
        <v>1</v>
      </c>
      <c r="BT89" s="5">
        <v>0</v>
      </c>
      <c r="BU89" s="5"/>
    </row>
    <row r="90" spans="1:73" x14ac:dyDescent="0.25">
      <c r="A90" s="5" t="s">
        <v>625</v>
      </c>
      <c r="B90" s="5">
        <v>0</v>
      </c>
      <c r="C90" s="5">
        <v>2.8380800000000002</v>
      </c>
      <c r="D90" s="6">
        <v>230000000000</v>
      </c>
      <c r="E90" s="5">
        <v>60</v>
      </c>
      <c r="F90" s="5">
        <v>2</v>
      </c>
      <c r="G90" s="7">
        <v>45195</v>
      </c>
      <c r="H90" s="11">
        <v>0.875</v>
      </c>
      <c r="I90" s="7">
        <v>45196</v>
      </c>
      <c r="J90" s="7">
        <v>45197</v>
      </c>
      <c r="K90" s="5"/>
      <c r="L90" s="5"/>
      <c r="M90" s="5">
        <v>8</v>
      </c>
      <c r="N90" s="5">
        <v>1</v>
      </c>
      <c r="O90" s="5">
        <v>1</v>
      </c>
      <c r="P90" s="5">
        <v>2</v>
      </c>
      <c r="Q90" s="5">
        <v>2</v>
      </c>
      <c r="R90" s="5">
        <v>1</v>
      </c>
      <c r="S90" s="5">
        <v>2</v>
      </c>
      <c r="T90" s="5">
        <v>2</v>
      </c>
      <c r="U90" s="5">
        <v>2</v>
      </c>
      <c r="V90" s="5">
        <v>2</v>
      </c>
      <c r="W90" s="5"/>
      <c r="X90" s="5">
        <v>10.1</v>
      </c>
      <c r="Y90" s="5"/>
      <c r="Z90" s="5"/>
      <c r="AA90" s="5"/>
      <c r="AB90" s="5">
        <v>8.1999999999999993</v>
      </c>
      <c r="AC90" s="5">
        <v>176</v>
      </c>
      <c r="AD90" s="5">
        <v>112.6</v>
      </c>
      <c r="AE90" s="5">
        <v>41</v>
      </c>
      <c r="AF90" s="5">
        <v>22.4</v>
      </c>
      <c r="AG90" s="5">
        <v>112</v>
      </c>
      <c r="AH90" s="5">
        <v>148</v>
      </c>
      <c r="AI90" s="5"/>
      <c r="AJ90" s="5"/>
      <c r="AK90" s="5" t="s">
        <v>626</v>
      </c>
      <c r="AL90" s="5"/>
      <c r="AM90" s="5"/>
      <c r="AN90" s="5">
        <v>9</v>
      </c>
      <c r="AO90" s="5">
        <v>1</v>
      </c>
      <c r="AP90" s="5">
        <v>3</v>
      </c>
      <c r="AQ90" s="5">
        <v>3</v>
      </c>
      <c r="AR90" s="5">
        <v>5</v>
      </c>
      <c r="AS90" s="5"/>
      <c r="AT90" s="5">
        <v>1</v>
      </c>
      <c r="AU90" s="5">
        <v>1</v>
      </c>
      <c r="AV90" s="5">
        <v>2</v>
      </c>
      <c r="AW90" s="5"/>
      <c r="AX90" s="5"/>
      <c r="AY90" s="5"/>
      <c r="AZ90" s="5"/>
      <c r="BA90" s="5">
        <v>1</v>
      </c>
      <c r="BB90" s="5">
        <v>1</v>
      </c>
      <c r="BC90" s="5">
        <v>80</v>
      </c>
      <c r="BD90" s="5"/>
      <c r="BE90" s="5"/>
      <c r="BF90" s="5"/>
      <c r="BG90" s="5"/>
      <c r="BH90" s="5"/>
      <c r="BI90" s="5"/>
      <c r="BJ90" s="5"/>
      <c r="BK90" s="5"/>
      <c r="BL90" s="5"/>
      <c r="BM90" s="5"/>
      <c r="BN90" s="5"/>
      <c r="BO90" s="5"/>
      <c r="BP90" s="5"/>
      <c r="BQ90" s="5"/>
      <c r="BR90" s="5"/>
      <c r="BS90" s="5"/>
      <c r="BT90" s="5"/>
      <c r="BU90" s="5" t="s">
        <v>578</v>
      </c>
    </row>
    <row r="91" spans="1:73" x14ac:dyDescent="0.25">
      <c r="A91" s="5" t="s">
        <v>627</v>
      </c>
      <c r="B91" s="5">
        <v>0</v>
      </c>
      <c r="C91" s="5">
        <v>3.0608599999999999</v>
      </c>
      <c r="D91" s="6">
        <v>230401650</v>
      </c>
      <c r="E91" s="5">
        <v>65</v>
      </c>
      <c r="F91" s="5">
        <v>1</v>
      </c>
      <c r="G91" s="7"/>
      <c r="H91" s="5"/>
      <c r="I91" s="7">
        <v>45026</v>
      </c>
      <c r="J91" s="7"/>
      <c r="K91" s="5">
        <v>9975258692</v>
      </c>
      <c r="L91" s="5">
        <v>8082197685</v>
      </c>
      <c r="M91" s="5">
        <v>9</v>
      </c>
      <c r="N91" s="5">
        <v>2</v>
      </c>
      <c r="O91" s="5">
        <v>1</v>
      </c>
      <c r="P91" s="5">
        <v>2</v>
      </c>
      <c r="Q91" s="5">
        <v>2</v>
      </c>
      <c r="R91" s="5">
        <v>2</v>
      </c>
      <c r="S91" s="5">
        <v>2</v>
      </c>
      <c r="T91" s="5">
        <v>2</v>
      </c>
      <c r="U91" s="5">
        <v>1</v>
      </c>
      <c r="V91" s="5">
        <v>2</v>
      </c>
      <c r="W91" s="5"/>
      <c r="X91" s="5">
        <v>15</v>
      </c>
      <c r="Y91" s="5">
        <v>43.8</v>
      </c>
      <c r="Z91" s="5"/>
      <c r="AA91" s="5"/>
      <c r="AB91" s="5">
        <v>10.199999999999999</v>
      </c>
      <c r="AC91" s="5"/>
      <c r="AD91" s="5"/>
      <c r="AE91" s="5"/>
      <c r="AF91" s="5"/>
      <c r="AG91" s="5"/>
      <c r="AH91" s="5"/>
      <c r="AI91" s="5" t="s">
        <v>628</v>
      </c>
      <c r="AJ91" s="5"/>
      <c r="AK91" s="5" t="s">
        <v>629</v>
      </c>
      <c r="AL91" s="5"/>
      <c r="AM91" s="5"/>
      <c r="AN91" s="5">
        <v>9</v>
      </c>
      <c r="AO91" s="5"/>
      <c r="AP91" s="5"/>
      <c r="AQ91" s="5"/>
      <c r="AR91" s="5"/>
      <c r="AS91" s="5"/>
      <c r="AT91" s="5">
        <v>1</v>
      </c>
      <c r="AU91" s="5">
        <v>1</v>
      </c>
      <c r="AV91" s="5">
        <v>2</v>
      </c>
      <c r="AW91" s="5">
        <v>4</v>
      </c>
      <c r="AX91" s="5">
        <v>8</v>
      </c>
      <c r="AY91" s="5"/>
      <c r="AZ91" s="5"/>
      <c r="BA91" s="5">
        <v>1</v>
      </c>
      <c r="BB91" s="5">
        <v>1</v>
      </c>
      <c r="BC91" s="5">
        <v>85</v>
      </c>
      <c r="BD91" s="5"/>
      <c r="BE91" s="5"/>
      <c r="BF91" s="5"/>
      <c r="BG91" s="5"/>
      <c r="BH91" s="5"/>
      <c r="BI91" s="5"/>
      <c r="BJ91" s="5"/>
      <c r="BK91" s="5"/>
      <c r="BL91" s="5"/>
      <c r="BM91" s="5"/>
      <c r="BN91" s="5"/>
      <c r="BO91" s="5"/>
      <c r="BP91" s="5"/>
      <c r="BQ91" s="5"/>
      <c r="BR91" s="5"/>
      <c r="BS91" s="5"/>
      <c r="BT91" s="5"/>
      <c r="BU91" s="5"/>
    </row>
    <row r="92" spans="1:73" x14ac:dyDescent="0.25">
      <c r="A92" s="12" t="s">
        <v>206</v>
      </c>
      <c r="B92" s="5">
        <v>1</v>
      </c>
      <c r="C92" s="12">
        <v>8.4464299999999994</v>
      </c>
      <c r="D92" s="13">
        <v>230400708</v>
      </c>
      <c r="E92" s="12">
        <v>77</v>
      </c>
      <c r="F92" s="12">
        <v>1</v>
      </c>
      <c r="G92" s="14"/>
      <c r="H92" s="12"/>
      <c r="I92" s="14">
        <v>45020</v>
      </c>
      <c r="J92" s="14">
        <v>45022</v>
      </c>
      <c r="K92" s="12">
        <v>9881475548</v>
      </c>
      <c r="L92" s="12"/>
      <c r="M92" s="12">
        <v>6</v>
      </c>
      <c r="N92" s="12">
        <v>2</v>
      </c>
      <c r="O92" s="12">
        <v>2</v>
      </c>
      <c r="P92" s="12">
        <v>2</v>
      </c>
      <c r="Q92" s="12">
        <v>1</v>
      </c>
      <c r="R92" s="12">
        <v>2</v>
      </c>
      <c r="S92" s="12">
        <v>2</v>
      </c>
      <c r="T92" s="12">
        <v>2</v>
      </c>
      <c r="U92" s="12">
        <v>2</v>
      </c>
      <c r="V92" s="12">
        <v>2</v>
      </c>
      <c r="W92" s="12"/>
      <c r="X92" s="12">
        <v>11.5</v>
      </c>
      <c r="Y92" s="12">
        <v>36.1</v>
      </c>
      <c r="Z92" s="12"/>
      <c r="AA92" s="12">
        <v>19</v>
      </c>
      <c r="AB92" s="12">
        <v>5.9</v>
      </c>
      <c r="AC92" s="12">
        <v>160</v>
      </c>
      <c r="AD92" s="12">
        <v>109</v>
      </c>
      <c r="AE92" s="12">
        <v>37</v>
      </c>
      <c r="AF92" s="12">
        <v>13</v>
      </c>
      <c r="AG92" s="12">
        <v>68</v>
      </c>
      <c r="AH92" s="12">
        <v>179</v>
      </c>
      <c r="AI92" s="12" t="s">
        <v>251</v>
      </c>
      <c r="AJ92" s="12"/>
      <c r="AK92" s="12" t="s">
        <v>252</v>
      </c>
      <c r="AL92" s="12" t="s">
        <v>253</v>
      </c>
      <c r="AM92" s="12"/>
      <c r="AN92" s="12">
        <v>9</v>
      </c>
      <c r="AO92" s="12">
        <v>1</v>
      </c>
      <c r="AP92" s="12">
        <v>3</v>
      </c>
      <c r="AQ92" s="12">
        <v>3</v>
      </c>
      <c r="AR92" s="12">
        <v>5</v>
      </c>
      <c r="AS92" s="12"/>
      <c r="AT92" s="12">
        <v>1</v>
      </c>
      <c r="AU92" s="12">
        <v>1</v>
      </c>
      <c r="AV92" s="12">
        <v>2</v>
      </c>
      <c r="AW92" s="12">
        <v>4</v>
      </c>
      <c r="AX92" s="12">
        <v>8</v>
      </c>
      <c r="AY92" s="12">
        <v>2</v>
      </c>
      <c r="AZ92" s="12">
        <v>2</v>
      </c>
      <c r="BA92" s="12">
        <v>2</v>
      </c>
      <c r="BB92" s="5">
        <v>1</v>
      </c>
      <c r="BC92" s="12">
        <v>95</v>
      </c>
      <c r="BD92" s="12">
        <v>1</v>
      </c>
      <c r="BE92" s="12">
        <v>2</v>
      </c>
      <c r="BF92" s="12">
        <v>2</v>
      </c>
      <c r="BG92" s="12">
        <v>2</v>
      </c>
      <c r="BH92" s="12">
        <v>1</v>
      </c>
      <c r="BI92" s="12">
        <v>1</v>
      </c>
      <c r="BJ92" s="12">
        <v>0</v>
      </c>
      <c r="BK92" s="12">
        <v>1</v>
      </c>
      <c r="BL92" s="12">
        <v>1</v>
      </c>
      <c r="BM92" s="12">
        <v>2</v>
      </c>
      <c r="BN92" s="12">
        <v>2</v>
      </c>
      <c r="BO92" s="12">
        <v>1</v>
      </c>
      <c r="BP92" s="12">
        <v>1</v>
      </c>
      <c r="BQ92" s="12">
        <v>1</v>
      </c>
      <c r="BR92" s="12">
        <v>18</v>
      </c>
      <c r="BS92" s="12">
        <v>1</v>
      </c>
      <c r="BT92" s="12">
        <v>1</v>
      </c>
      <c r="BU92" s="12"/>
    </row>
    <row r="93" spans="1:73" x14ac:dyDescent="0.25">
      <c r="A93" s="12" t="s">
        <v>353</v>
      </c>
      <c r="B93" s="5">
        <v>1</v>
      </c>
      <c r="C93" s="12">
        <v>2.0583399999999998</v>
      </c>
      <c r="D93" s="13">
        <v>130904484</v>
      </c>
      <c r="E93" s="12">
        <v>74</v>
      </c>
      <c r="F93" s="12">
        <v>2</v>
      </c>
      <c r="G93" s="14">
        <v>45151</v>
      </c>
      <c r="H93" s="16">
        <v>0.89583333333333337</v>
      </c>
      <c r="I93" s="14">
        <v>45152</v>
      </c>
      <c r="J93" s="14">
        <v>45163</v>
      </c>
      <c r="K93" s="12">
        <v>8275694855</v>
      </c>
      <c r="L93" s="12"/>
      <c r="M93" s="12">
        <v>20</v>
      </c>
      <c r="N93" s="12">
        <v>1</v>
      </c>
      <c r="O93" s="12">
        <v>1</v>
      </c>
      <c r="P93" s="12">
        <v>2</v>
      </c>
      <c r="Q93" s="12">
        <v>2</v>
      </c>
      <c r="R93" s="12">
        <v>1</v>
      </c>
      <c r="S93" s="12">
        <v>2</v>
      </c>
      <c r="T93" s="12">
        <v>2</v>
      </c>
      <c r="U93" s="12">
        <v>2</v>
      </c>
      <c r="V93" s="12">
        <v>2</v>
      </c>
      <c r="W93" s="12" t="s">
        <v>354</v>
      </c>
      <c r="X93" s="12">
        <v>9.8000000000000007</v>
      </c>
      <c r="Y93" s="12">
        <v>85</v>
      </c>
      <c r="Z93" s="12">
        <v>29.7</v>
      </c>
      <c r="AA93" s="12">
        <v>10.99</v>
      </c>
      <c r="AB93" s="12">
        <v>6.6</v>
      </c>
      <c r="AC93" s="12">
        <v>153</v>
      </c>
      <c r="AD93" s="12">
        <v>93</v>
      </c>
      <c r="AE93" s="12">
        <v>42</v>
      </c>
      <c r="AF93" s="12">
        <v>17.8</v>
      </c>
      <c r="AG93" s="12">
        <v>89</v>
      </c>
      <c r="AH93" s="12">
        <v>2000</v>
      </c>
      <c r="AI93" s="12"/>
      <c r="AJ93" s="12"/>
      <c r="AK93" s="12" t="s">
        <v>355</v>
      </c>
      <c r="AL93" s="12" t="s">
        <v>356</v>
      </c>
      <c r="AM93" s="12"/>
      <c r="AN93" s="12">
        <v>9</v>
      </c>
      <c r="AO93" s="12">
        <v>1</v>
      </c>
      <c r="AP93" s="12">
        <v>5</v>
      </c>
      <c r="AQ93" s="12">
        <v>3</v>
      </c>
      <c r="AR93" s="12">
        <v>5</v>
      </c>
      <c r="AS93" s="12"/>
      <c r="AT93" s="12"/>
      <c r="AU93" s="12"/>
      <c r="AV93" s="12"/>
      <c r="AW93" s="12"/>
      <c r="AX93" s="12"/>
      <c r="AY93" s="12"/>
      <c r="AZ93" s="12"/>
      <c r="BA93" s="12">
        <v>2</v>
      </c>
      <c r="BB93" s="5">
        <v>1</v>
      </c>
      <c r="BC93" s="12">
        <v>65</v>
      </c>
      <c r="BD93" s="12">
        <v>1</v>
      </c>
      <c r="BE93" s="12">
        <v>2</v>
      </c>
      <c r="BF93" s="12">
        <v>2</v>
      </c>
      <c r="BG93" s="12">
        <v>2</v>
      </c>
      <c r="BH93" s="12">
        <v>1</v>
      </c>
      <c r="BI93" s="12">
        <v>1</v>
      </c>
      <c r="BJ93" s="12">
        <v>1</v>
      </c>
      <c r="BK93" s="12">
        <v>1</v>
      </c>
      <c r="BL93" s="12">
        <v>2</v>
      </c>
      <c r="BM93" s="12">
        <v>2</v>
      </c>
      <c r="BN93" s="12">
        <v>2</v>
      </c>
      <c r="BO93" s="12">
        <v>0</v>
      </c>
      <c r="BP93" s="12">
        <v>1</v>
      </c>
      <c r="BQ93" s="12">
        <v>1</v>
      </c>
      <c r="BR93" s="12">
        <v>19</v>
      </c>
      <c r="BS93" s="12">
        <v>1</v>
      </c>
      <c r="BT93" s="12">
        <v>1</v>
      </c>
      <c r="BU93" s="12"/>
    </row>
    <row r="94" spans="1:73" x14ac:dyDescent="0.25">
      <c r="A94" s="5" t="s">
        <v>357</v>
      </c>
      <c r="B94" s="5">
        <v>1</v>
      </c>
      <c r="C94" s="5">
        <v>3.9471599999999998</v>
      </c>
      <c r="D94" s="6">
        <v>231001662</v>
      </c>
      <c r="E94" s="5">
        <v>70</v>
      </c>
      <c r="F94" s="5">
        <v>2</v>
      </c>
      <c r="G94" s="7">
        <v>45211</v>
      </c>
      <c r="H94" s="11">
        <v>0.9375</v>
      </c>
      <c r="I94" s="7">
        <v>45212</v>
      </c>
      <c r="J94" s="7">
        <v>45213</v>
      </c>
      <c r="K94" s="5">
        <v>9766525627</v>
      </c>
      <c r="L94" s="5"/>
      <c r="M94" s="5">
        <v>2</v>
      </c>
      <c r="N94" s="5">
        <v>2</v>
      </c>
      <c r="O94" s="5">
        <v>2</v>
      </c>
      <c r="P94" s="5">
        <v>2</v>
      </c>
      <c r="Q94" s="5">
        <v>2</v>
      </c>
      <c r="R94" s="5">
        <v>2</v>
      </c>
      <c r="S94" s="5">
        <v>2</v>
      </c>
      <c r="T94" s="5">
        <v>1</v>
      </c>
      <c r="U94" s="5">
        <v>1</v>
      </c>
      <c r="V94" s="5">
        <v>2</v>
      </c>
      <c r="W94" s="5"/>
      <c r="X94" s="5">
        <v>15.3</v>
      </c>
      <c r="Y94" s="5"/>
      <c r="Z94" s="5"/>
      <c r="AA94" s="5"/>
      <c r="AB94" s="5"/>
      <c r="AC94" s="5">
        <v>209</v>
      </c>
      <c r="AD94" s="5">
        <v>134</v>
      </c>
      <c r="AE94" s="5">
        <v>53</v>
      </c>
      <c r="AF94" s="5"/>
      <c r="AG94" s="5"/>
      <c r="AH94" s="5"/>
      <c r="AI94" s="5"/>
      <c r="AJ94" s="5"/>
      <c r="AK94" s="5" t="s">
        <v>358</v>
      </c>
      <c r="AL94" s="5" t="s">
        <v>359</v>
      </c>
      <c r="AM94" s="5"/>
      <c r="AN94" s="5">
        <v>9</v>
      </c>
      <c r="AO94" s="5">
        <v>1</v>
      </c>
      <c r="AP94" s="5">
        <v>3</v>
      </c>
      <c r="AQ94" s="5">
        <v>3</v>
      </c>
      <c r="AR94" s="5">
        <v>5</v>
      </c>
      <c r="AS94" s="5"/>
      <c r="AT94" s="5">
        <v>1</v>
      </c>
      <c r="AU94" s="5"/>
      <c r="AV94" s="5"/>
      <c r="AW94" s="5"/>
      <c r="AX94" s="5"/>
      <c r="AY94" s="5"/>
      <c r="AZ94" s="5"/>
      <c r="BA94" s="5">
        <v>2</v>
      </c>
      <c r="BB94" s="5">
        <v>1</v>
      </c>
      <c r="BC94" s="5">
        <v>85</v>
      </c>
      <c r="BD94" s="5">
        <v>0</v>
      </c>
      <c r="BE94" s="5">
        <v>2</v>
      </c>
      <c r="BF94" s="5">
        <v>2</v>
      </c>
      <c r="BG94" s="5">
        <v>2</v>
      </c>
      <c r="BH94" s="5">
        <v>1</v>
      </c>
      <c r="BI94" s="5">
        <v>1</v>
      </c>
      <c r="BJ94" s="5">
        <v>1</v>
      </c>
      <c r="BK94" s="5">
        <v>1</v>
      </c>
      <c r="BL94" s="5">
        <v>2</v>
      </c>
      <c r="BM94" s="5">
        <v>2</v>
      </c>
      <c r="BN94" s="5">
        <v>2</v>
      </c>
      <c r="BO94" s="5">
        <v>1</v>
      </c>
      <c r="BP94" s="5">
        <v>1</v>
      </c>
      <c r="BQ94" s="5">
        <v>1</v>
      </c>
      <c r="BR94" s="5">
        <v>19</v>
      </c>
      <c r="BS94" s="5">
        <v>0</v>
      </c>
      <c r="BT94" s="5">
        <v>1</v>
      </c>
      <c r="BU94" s="5" t="s">
        <v>360</v>
      </c>
    </row>
    <row r="95" spans="1:73" x14ac:dyDescent="0.25">
      <c r="A95" s="5" t="s">
        <v>644</v>
      </c>
      <c r="B95" s="5">
        <v>0</v>
      </c>
      <c r="C95" s="5">
        <v>4.0972999999999997</v>
      </c>
      <c r="D95" s="6">
        <v>230000000000</v>
      </c>
      <c r="E95" s="5">
        <v>61</v>
      </c>
      <c r="F95" s="5">
        <v>1</v>
      </c>
      <c r="G95" s="7">
        <v>45215</v>
      </c>
      <c r="H95" s="11">
        <v>0.9375</v>
      </c>
      <c r="I95" s="7">
        <v>45216</v>
      </c>
      <c r="J95" s="7">
        <v>45217</v>
      </c>
      <c r="K95" s="5">
        <v>8999331312</v>
      </c>
      <c r="L95" s="5"/>
      <c r="M95" s="5">
        <v>1</v>
      </c>
      <c r="N95" s="5">
        <v>1</v>
      </c>
      <c r="O95" s="5">
        <v>2</v>
      </c>
      <c r="P95" s="5">
        <v>1</v>
      </c>
      <c r="Q95" s="5">
        <v>1</v>
      </c>
      <c r="R95" s="5">
        <v>2</v>
      </c>
      <c r="S95" s="5">
        <v>2</v>
      </c>
      <c r="T95" s="5">
        <v>2</v>
      </c>
      <c r="U95" s="5">
        <v>1</v>
      </c>
      <c r="V95" s="5">
        <v>2</v>
      </c>
      <c r="W95" s="5" t="s">
        <v>645</v>
      </c>
      <c r="X95" s="5">
        <v>10.7</v>
      </c>
      <c r="Y95" s="5">
        <v>33</v>
      </c>
      <c r="Z95" s="5">
        <v>81.7</v>
      </c>
      <c r="AA95" s="5">
        <v>11.65</v>
      </c>
      <c r="AB95" s="5">
        <v>11.1</v>
      </c>
      <c r="AC95" s="5">
        <v>133</v>
      </c>
      <c r="AD95" s="5">
        <v>75.599999999999994</v>
      </c>
      <c r="AE95" s="5">
        <v>36</v>
      </c>
      <c r="AF95" s="5">
        <v>21.4</v>
      </c>
      <c r="AG95" s="5">
        <v>107</v>
      </c>
      <c r="AH95" s="5">
        <v>406</v>
      </c>
      <c r="AI95" s="5"/>
      <c r="AJ95" s="5"/>
      <c r="AK95" s="5" t="s">
        <v>646</v>
      </c>
      <c r="AL95" s="5" t="s">
        <v>647</v>
      </c>
      <c r="AM95" s="5"/>
      <c r="AN95" s="5">
        <v>9</v>
      </c>
      <c r="AO95" s="5">
        <v>1</v>
      </c>
      <c r="AP95" s="5">
        <v>5</v>
      </c>
      <c r="AQ95" s="5">
        <v>3</v>
      </c>
      <c r="AR95" s="5">
        <v>5</v>
      </c>
      <c r="AS95" s="5"/>
      <c r="AT95" s="5">
        <v>1</v>
      </c>
      <c r="AU95" s="5">
        <v>1</v>
      </c>
      <c r="AV95" s="5">
        <v>2</v>
      </c>
      <c r="AW95" s="5"/>
      <c r="AX95" s="5"/>
      <c r="AY95" s="5"/>
      <c r="AZ95" s="5"/>
      <c r="BA95" s="5">
        <v>2</v>
      </c>
      <c r="BB95" s="5">
        <v>1</v>
      </c>
      <c r="BC95" s="5">
        <v>85</v>
      </c>
      <c r="BD95" s="5"/>
      <c r="BE95" s="5"/>
      <c r="BF95" s="5"/>
      <c r="BG95" s="5"/>
      <c r="BH95" s="5"/>
      <c r="BI95" s="5"/>
      <c r="BJ95" s="5"/>
      <c r="BK95" s="5"/>
      <c r="BL95" s="5"/>
      <c r="BM95" s="5"/>
      <c r="BN95" s="5"/>
      <c r="BO95" s="5"/>
      <c r="BP95" s="5"/>
      <c r="BQ95" s="5"/>
      <c r="BR95" s="5"/>
      <c r="BS95" s="5"/>
      <c r="BT95" s="5"/>
      <c r="BU95" s="5" t="s">
        <v>578</v>
      </c>
    </row>
    <row r="96" spans="1:73" x14ac:dyDescent="0.25">
      <c r="A96" s="5" t="s">
        <v>254</v>
      </c>
      <c r="B96" s="5">
        <v>1</v>
      </c>
      <c r="C96" s="5">
        <v>2.0625599999999999</v>
      </c>
      <c r="D96" s="6">
        <v>221004402</v>
      </c>
      <c r="E96" s="5">
        <v>55</v>
      </c>
      <c r="F96" s="5">
        <v>2</v>
      </c>
      <c r="G96" s="7"/>
      <c r="H96" s="5"/>
      <c r="I96" s="7">
        <v>44861</v>
      </c>
      <c r="J96" s="7">
        <v>44862</v>
      </c>
      <c r="K96" s="5">
        <v>9730042462</v>
      </c>
      <c r="L96" s="5"/>
      <c r="M96" s="5">
        <v>3</v>
      </c>
      <c r="N96" s="5">
        <v>1</v>
      </c>
      <c r="O96" s="5">
        <v>1</v>
      </c>
      <c r="P96" s="5">
        <v>2</v>
      </c>
      <c r="Q96" s="5">
        <v>2</v>
      </c>
      <c r="R96" s="5">
        <v>2</v>
      </c>
      <c r="S96" s="5">
        <v>2</v>
      </c>
      <c r="T96" s="5">
        <v>2</v>
      </c>
      <c r="U96" s="5">
        <v>2</v>
      </c>
      <c r="V96" s="5">
        <v>2</v>
      </c>
      <c r="W96" s="5" t="s">
        <v>255</v>
      </c>
      <c r="X96" s="5">
        <v>10</v>
      </c>
      <c r="Y96" s="5">
        <v>32.1</v>
      </c>
      <c r="Z96" s="5"/>
      <c r="AA96" s="5">
        <v>19.98</v>
      </c>
      <c r="AB96" s="5">
        <v>10.9</v>
      </c>
      <c r="AC96" s="5"/>
      <c r="AD96" s="5"/>
      <c r="AE96" s="5"/>
      <c r="AF96" s="5"/>
      <c r="AG96" s="5"/>
      <c r="AH96" s="5">
        <v>271</v>
      </c>
      <c r="AI96" s="5" t="s">
        <v>256</v>
      </c>
      <c r="AJ96" s="5"/>
      <c r="AK96" s="5" t="s">
        <v>257</v>
      </c>
      <c r="AL96" s="5"/>
      <c r="AM96" s="5"/>
      <c r="AN96" s="5">
        <v>9</v>
      </c>
      <c r="AO96" s="5">
        <v>1</v>
      </c>
      <c r="AP96" s="5">
        <v>3</v>
      </c>
      <c r="AQ96" s="5">
        <v>3</v>
      </c>
      <c r="AR96" s="5">
        <v>5</v>
      </c>
      <c r="AS96" s="5"/>
      <c r="AT96" s="5">
        <v>1</v>
      </c>
      <c r="AU96" s="5">
        <v>1</v>
      </c>
      <c r="AV96" s="5">
        <v>2</v>
      </c>
      <c r="AW96" s="5">
        <v>4</v>
      </c>
      <c r="AX96" s="5">
        <v>8</v>
      </c>
      <c r="AY96" s="5">
        <v>2</v>
      </c>
      <c r="AZ96" s="5">
        <v>2</v>
      </c>
      <c r="BA96" s="5">
        <v>3</v>
      </c>
      <c r="BB96" s="5">
        <v>2</v>
      </c>
      <c r="BC96" s="5">
        <v>65</v>
      </c>
      <c r="BD96" s="5">
        <v>1</v>
      </c>
      <c r="BE96" s="5">
        <v>2</v>
      </c>
      <c r="BF96" s="5">
        <v>2</v>
      </c>
      <c r="BG96" s="5">
        <v>2</v>
      </c>
      <c r="BH96" s="5">
        <v>1</v>
      </c>
      <c r="BI96" s="5">
        <v>1</v>
      </c>
      <c r="BJ96" s="5">
        <v>1</v>
      </c>
      <c r="BK96" s="5">
        <v>0</v>
      </c>
      <c r="BL96" s="5">
        <v>1</v>
      </c>
      <c r="BM96" s="5">
        <v>2</v>
      </c>
      <c r="BN96" s="5">
        <v>2</v>
      </c>
      <c r="BO96" s="5">
        <v>1</v>
      </c>
      <c r="BP96" s="5">
        <v>1</v>
      </c>
      <c r="BQ96" s="5">
        <v>1</v>
      </c>
      <c r="BR96" s="5">
        <v>18</v>
      </c>
      <c r="BS96" s="5">
        <v>1</v>
      </c>
      <c r="BT96" s="5">
        <v>1</v>
      </c>
      <c r="BU96" s="5"/>
    </row>
    <row r="97" spans="1:73" x14ac:dyDescent="0.25">
      <c r="A97" s="12" t="s">
        <v>431</v>
      </c>
      <c r="B97" s="5">
        <v>1</v>
      </c>
      <c r="C97" s="12">
        <v>2.4990600000000001</v>
      </c>
      <c r="D97" s="13">
        <v>231002099</v>
      </c>
      <c r="E97" s="12">
        <v>57</v>
      </c>
      <c r="F97" s="12">
        <v>1</v>
      </c>
      <c r="G97" s="14">
        <v>45216</v>
      </c>
      <c r="H97" s="16">
        <v>0.27083333333333331</v>
      </c>
      <c r="I97" s="14">
        <v>45216</v>
      </c>
      <c r="J97" s="14"/>
      <c r="K97" s="12">
        <v>9767246428</v>
      </c>
      <c r="L97" s="12"/>
      <c r="M97" s="12">
        <v>6</v>
      </c>
      <c r="N97" s="12">
        <v>2</v>
      </c>
      <c r="O97" s="12">
        <v>2</v>
      </c>
      <c r="P97" s="12">
        <v>1</v>
      </c>
      <c r="Q97" s="12">
        <v>1</v>
      </c>
      <c r="R97" s="12">
        <v>1</v>
      </c>
      <c r="S97" s="12">
        <v>2</v>
      </c>
      <c r="T97" s="12">
        <v>2</v>
      </c>
      <c r="U97" s="12">
        <v>2</v>
      </c>
      <c r="V97" s="12">
        <v>2</v>
      </c>
      <c r="W97" s="12"/>
      <c r="X97" s="12">
        <v>10.7</v>
      </c>
      <c r="Y97" s="12">
        <v>35.299999999999997</v>
      </c>
      <c r="Z97" s="12">
        <v>75.2</v>
      </c>
      <c r="AA97" s="12">
        <v>36.47</v>
      </c>
      <c r="AB97" s="12">
        <v>6.4</v>
      </c>
      <c r="AC97" s="12">
        <v>146</v>
      </c>
      <c r="AD97" s="12">
        <v>88</v>
      </c>
      <c r="AE97" s="12">
        <v>38</v>
      </c>
      <c r="AF97" s="12">
        <v>20</v>
      </c>
      <c r="AG97" s="12">
        <v>100</v>
      </c>
      <c r="AH97" s="12">
        <v>220</v>
      </c>
      <c r="AI97" s="12"/>
      <c r="AJ97" s="12"/>
      <c r="AK97" s="12" t="s">
        <v>432</v>
      </c>
      <c r="AL97" s="12" t="s">
        <v>326</v>
      </c>
      <c r="AM97" s="12"/>
      <c r="AN97" s="12">
        <v>9</v>
      </c>
      <c r="AO97" s="12">
        <v>1</v>
      </c>
      <c r="AP97" s="12">
        <v>3</v>
      </c>
      <c r="AQ97" s="12">
        <v>3</v>
      </c>
      <c r="AR97" s="12">
        <v>5</v>
      </c>
      <c r="AS97" s="12"/>
      <c r="AT97" s="12">
        <v>1</v>
      </c>
      <c r="AU97" s="12">
        <v>1</v>
      </c>
      <c r="AV97" s="12">
        <v>2</v>
      </c>
      <c r="AW97" s="12">
        <v>4</v>
      </c>
      <c r="AX97" s="12">
        <v>1</v>
      </c>
      <c r="AY97" s="12">
        <v>2</v>
      </c>
      <c r="AZ97" s="12">
        <v>1</v>
      </c>
      <c r="BA97" s="12">
        <v>3</v>
      </c>
      <c r="BB97" s="5">
        <v>2</v>
      </c>
      <c r="BC97" s="12">
        <v>70</v>
      </c>
      <c r="BD97" s="12">
        <v>1</v>
      </c>
      <c r="BE97" s="12">
        <v>2</v>
      </c>
      <c r="BF97" s="12">
        <v>2</v>
      </c>
      <c r="BG97" s="12">
        <v>2</v>
      </c>
      <c r="BH97" s="12">
        <v>1</v>
      </c>
      <c r="BI97" s="12">
        <v>1</v>
      </c>
      <c r="BJ97" s="12">
        <v>1</v>
      </c>
      <c r="BK97" s="12">
        <v>1</v>
      </c>
      <c r="BL97" s="12">
        <v>2</v>
      </c>
      <c r="BM97" s="12">
        <v>2</v>
      </c>
      <c r="BN97" s="12">
        <v>2</v>
      </c>
      <c r="BO97" s="12">
        <v>1</v>
      </c>
      <c r="BP97" s="12">
        <v>1</v>
      </c>
      <c r="BQ97" s="12">
        <v>1</v>
      </c>
      <c r="BR97" s="12">
        <v>20</v>
      </c>
      <c r="BS97" s="12">
        <v>1</v>
      </c>
      <c r="BT97" s="12">
        <v>1</v>
      </c>
      <c r="BU97" s="12"/>
    </row>
    <row r="98" spans="1:73" x14ac:dyDescent="0.25">
      <c r="A98" s="5" t="s">
        <v>559</v>
      </c>
      <c r="B98" s="5">
        <v>0</v>
      </c>
      <c r="C98" s="5">
        <v>1.7725900000000001</v>
      </c>
      <c r="D98" s="6">
        <v>171000107</v>
      </c>
      <c r="E98" s="5">
        <v>56</v>
      </c>
      <c r="F98" s="5">
        <v>1</v>
      </c>
      <c r="G98" s="7">
        <v>44989</v>
      </c>
      <c r="H98" s="5"/>
      <c r="I98" s="7">
        <v>44989</v>
      </c>
      <c r="J98" s="7">
        <v>44993</v>
      </c>
      <c r="K98" s="5">
        <v>9011496111</v>
      </c>
      <c r="L98" s="5"/>
      <c r="M98" s="5">
        <v>13</v>
      </c>
      <c r="N98" s="5">
        <v>1</v>
      </c>
      <c r="O98" s="5">
        <v>1</v>
      </c>
      <c r="P98" s="5">
        <v>1</v>
      </c>
      <c r="Q98" s="5">
        <v>2</v>
      </c>
      <c r="R98" s="5">
        <v>1</v>
      </c>
      <c r="S98" s="5">
        <v>2</v>
      </c>
      <c r="T98" s="5">
        <v>2</v>
      </c>
      <c r="U98" s="5">
        <v>2</v>
      </c>
      <c r="V98" s="5">
        <v>2</v>
      </c>
      <c r="W98" s="5"/>
      <c r="X98" s="5">
        <v>16.399999999999999</v>
      </c>
      <c r="Y98" s="5">
        <v>48.7</v>
      </c>
      <c r="Z98" s="5"/>
      <c r="AA98" s="5">
        <v>23.15</v>
      </c>
      <c r="AB98" s="5">
        <v>7.9</v>
      </c>
      <c r="AC98" s="5"/>
      <c r="AD98" s="5"/>
      <c r="AE98" s="5"/>
      <c r="AF98" s="5"/>
      <c r="AG98" s="5"/>
      <c r="AH98" s="5">
        <v>182</v>
      </c>
      <c r="AI98" s="5" t="s">
        <v>560</v>
      </c>
      <c r="AJ98" s="5"/>
      <c r="AK98" s="5" t="s">
        <v>561</v>
      </c>
      <c r="AL98" s="5" t="s">
        <v>562</v>
      </c>
      <c r="AM98" s="5"/>
      <c r="AN98" s="5">
        <v>9</v>
      </c>
      <c r="AO98" s="5">
        <v>3</v>
      </c>
      <c r="AP98" s="5">
        <v>3</v>
      </c>
      <c r="AQ98" s="5">
        <v>2</v>
      </c>
      <c r="AR98" s="5">
        <v>5</v>
      </c>
      <c r="AS98" s="5"/>
      <c r="AT98" s="5">
        <v>1</v>
      </c>
      <c r="AU98" s="5">
        <v>1</v>
      </c>
      <c r="AV98" s="5">
        <v>1</v>
      </c>
      <c r="AW98" s="5">
        <v>1</v>
      </c>
      <c r="AX98" s="5">
        <v>8</v>
      </c>
      <c r="AY98" s="5">
        <v>2</v>
      </c>
      <c r="AZ98" s="5">
        <v>2</v>
      </c>
      <c r="BA98" s="5">
        <v>3</v>
      </c>
      <c r="BB98" s="5">
        <v>2</v>
      </c>
      <c r="BC98" s="5">
        <v>60</v>
      </c>
      <c r="BD98" s="5">
        <v>1</v>
      </c>
      <c r="BE98" s="5">
        <v>2</v>
      </c>
      <c r="BF98" s="5">
        <v>2</v>
      </c>
      <c r="BG98" s="5">
        <v>2</v>
      </c>
      <c r="BH98" s="5">
        <v>1</v>
      </c>
      <c r="BI98" s="5">
        <v>1</v>
      </c>
      <c r="BJ98" s="5">
        <v>1</v>
      </c>
      <c r="BK98" s="5">
        <v>1</v>
      </c>
      <c r="BL98" s="5">
        <v>2</v>
      </c>
      <c r="BM98" s="5">
        <v>2</v>
      </c>
      <c r="BN98" s="5">
        <v>2</v>
      </c>
      <c r="BO98" s="5">
        <v>1</v>
      </c>
      <c r="BP98" s="5">
        <v>1</v>
      </c>
      <c r="BQ98" s="5">
        <v>1</v>
      </c>
      <c r="BR98" s="5">
        <v>20</v>
      </c>
      <c r="BS98" s="5">
        <v>1</v>
      </c>
      <c r="BT98" s="5">
        <v>1</v>
      </c>
      <c r="BU98" s="5"/>
    </row>
    <row r="99" spans="1:73" x14ac:dyDescent="0.25">
      <c r="A99" s="5" t="s">
        <v>563</v>
      </c>
      <c r="B99" s="5">
        <v>0</v>
      </c>
      <c r="C99" s="5">
        <v>2.7170000000000001</v>
      </c>
      <c r="D99" s="6">
        <v>24000012347</v>
      </c>
      <c r="E99" s="5">
        <v>70</v>
      </c>
      <c r="F99" s="5">
        <v>2</v>
      </c>
      <c r="G99" s="7">
        <v>45326</v>
      </c>
      <c r="H99" s="20">
        <v>0.41666666666666669</v>
      </c>
      <c r="I99" s="7">
        <v>45326</v>
      </c>
      <c r="J99" s="7"/>
      <c r="K99" s="5">
        <v>9922968148</v>
      </c>
      <c r="L99" s="5"/>
      <c r="M99" s="5">
        <v>10</v>
      </c>
      <c r="N99" s="5">
        <v>2</v>
      </c>
      <c r="O99" s="5">
        <v>2</v>
      </c>
      <c r="P99" s="5">
        <v>2</v>
      </c>
      <c r="Q99" s="5">
        <v>2</v>
      </c>
      <c r="R99" s="5">
        <v>2</v>
      </c>
      <c r="S99" s="5">
        <v>2</v>
      </c>
      <c r="T99" s="5">
        <v>2</v>
      </c>
      <c r="U99" s="5">
        <v>2</v>
      </c>
      <c r="V99" s="5">
        <v>2</v>
      </c>
      <c r="W99" s="5"/>
      <c r="X99" s="5">
        <v>6.9</v>
      </c>
      <c r="Y99" s="5">
        <v>22.8</v>
      </c>
      <c r="Z99" s="5">
        <v>66.7</v>
      </c>
      <c r="AA99" s="5">
        <v>18.5</v>
      </c>
      <c r="AB99" s="5">
        <v>5.8</v>
      </c>
      <c r="AC99" s="5">
        <v>295</v>
      </c>
      <c r="AD99" s="5">
        <v>223</v>
      </c>
      <c r="AE99" s="5">
        <v>57</v>
      </c>
      <c r="AF99" s="5">
        <v>74</v>
      </c>
      <c r="AG99" s="5">
        <v>14</v>
      </c>
      <c r="AH99" s="5">
        <v>247</v>
      </c>
      <c r="AI99" s="5"/>
      <c r="AJ99" s="5"/>
      <c r="AK99" s="5" t="s">
        <v>564</v>
      </c>
      <c r="AL99" s="5" t="s">
        <v>565</v>
      </c>
      <c r="AM99" s="5"/>
      <c r="AN99" s="5">
        <v>9</v>
      </c>
      <c r="AO99" s="5">
        <v>3</v>
      </c>
      <c r="AP99" s="5">
        <v>4</v>
      </c>
      <c r="AQ99" s="5">
        <v>2</v>
      </c>
      <c r="AR99" s="5">
        <v>5</v>
      </c>
      <c r="AS99" s="5"/>
      <c r="AT99" s="5">
        <v>1</v>
      </c>
      <c r="AU99" s="5">
        <v>1</v>
      </c>
      <c r="AV99" s="5">
        <v>2</v>
      </c>
      <c r="AW99" s="5"/>
      <c r="AX99" s="5"/>
      <c r="AY99" s="5"/>
      <c r="AZ99" s="5"/>
      <c r="BA99" s="5">
        <v>3</v>
      </c>
      <c r="BB99" s="5">
        <v>2</v>
      </c>
      <c r="BC99" s="5">
        <v>75</v>
      </c>
      <c r="BD99" s="5">
        <v>0</v>
      </c>
      <c r="BE99" s="5">
        <v>2</v>
      </c>
      <c r="BF99" s="5">
        <v>2</v>
      </c>
      <c r="BG99" s="5">
        <v>2</v>
      </c>
      <c r="BH99" s="5">
        <v>1</v>
      </c>
      <c r="BI99" s="5">
        <v>1</v>
      </c>
      <c r="BJ99" s="5">
        <v>1</v>
      </c>
      <c r="BK99" s="5">
        <v>0</v>
      </c>
      <c r="BL99" s="5">
        <v>2</v>
      </c>
      <c r="BM99" s="5">
        <v>2</v>
      </c>
      <c r="BN99" s="5">
        <v>2</v>
      </c>
      <c r="BO99" s="5">
        <v>1</v>
      </c>
      <c r="BP99" s="5">
        <v>1</v>
      </c>
      <c r="BQ99" s="5">
        <v>1</v>
      </c>
      <c r="BR99" s="5">
        <v>18</v>
      </c>
      <c r="BS99" s="5">
        <v>1</v>
      </c>
      <c r="BT99" s="5">
        <v>1</v>
      </c>
      <c r="BU99" s="5" t="s">
        <v>87</v>
      </c>
    </row>
    <row r="100" spans="1:73" x14ac:dyDescent="0.25">
      <c r="A100" s="5" t="s">
        <v>184</v>
      </c>
      <c r="B100" s="5">
        <v>1</v>
      </c>
      <c r="C100" s="5">
        <v>1.44326</v>
      </c>
      <c r="D100" s="6">
        <v>240000000000</v>
      </c>
      <c r="E100" s="5">
        <v>77</v>
      </c>
      <c r="F100" s="5">
        <v>1</v>
      </c>
      <c r="G100" s="7">
        <v>45292</v>
      </c>
      <c r="H100" s="11">
        <v>0.5</v>
      </c>
      <c r="I100" s="7">
        <v>45292</v>
      </c>
      <c r="J100" s="7">
        <v>45294</v>
      </c>
      <c r="K100" s="5">
        <v>9403662700</v>
      </c>
      <c r="L100" s="5"/>
      <c r="M100" s="5"/>
      <c r="N100" s="5">
        <v>2</v>
      </c>
      <c r="O100" s="5">
        <v>2</v>
      </c>
      <c r="P100" s="5">
        <v>2</v>
      </c>
      <c r="Q100" s="5">
        <v>2</v>
      </c>
      <c r="R100" s="5">
        <v>2</v>
      </c>
      <c r="S100" s="5">
        <v>2</v>
      </c>
      <c r="T100" s="5">
        <v>1</v>
      </c>
      <c r="U100" s="5">
        <v>1</v>
      </c>
      <c r="V100" s="5">
        <v>2</v>
      </c>
      <c r="W100" s="5"/>
      <c r="X100" s="5">
        <v>9.6</v>
      </c>
      <c r="Y100" s="5">
        <v>31.9</v>
      </c>
      <c r="Z100" s="5">
        <v>69.8</v>
      </c>
      <c r="AA100" s="5">
        <v>15.55</v>
      </c>
      <c r="AB100" s="5">
        <v>5.6</v>
      </c>
      <c r="AC100" s="5">
        <v>124</v>
      </c>
      <c r="AD100" s="5">
        <v>70.400000000000006</v>
      </c>
      <c r="AE100" s="5">
        <v>35</v>
      </c>
      <c r="AF100" s="5">
        <v>18.600000000000001</v>
      </c>
      <c r="AG100" s="5">
        <v>93</v>
      </c>
      <c r="AH100" s="5">
        <v>191</v>
      </c>
      <c r="AI100" s="5"/>
      <c r="AJ100" s="5"/>
      <c r="AK100" s="5" t="s">
        <v>185</v>
      </c>
      <c r="AL100" s="5"/>
      <c r="AM100" s="5"/>
      <c r="AN100" s="5">
        <v>9</v>
      </c>
      <c r="AO100" s="5">
        <v>1</v>
      </c>
      <c r="AP100" s="5">
        <v>3</v>
      </c>
      <c r="AQ100" s="5">
        <v>3</v>
      </c>
      <c r="AR100" s="5">
        <v>5</v>
      </c>
      <c r="AS100" s="5"/>
      <c r="AT100" s="5">
        <v>1</v>
      </c>
      <c r="AU100" s="5">
        <v>1</v>
      </c>
      <c r="AV100" s="5"/>
      <c r="AW100" s="5"/>
      <c r="AX100" s="5"/>
      <c r="AY100" s="5"/>
      <c r="AZ100" s="5"/>
      <c r="BA100" s="5">
        <v>4</v>
      </c>
      <c r="BB100" s="5">
        <v>2</v>
      </c>
      <c r="BC100" s="5">
        <v>40</v>
      </c>
      <c r="BD100" s="5">
        <v>0</v>
      </c>
      <c r="BE100" s="5">
        <v>1</v>
      </c>
      <c r="BF100" s="5">
        <v>2</v>
      </c>
      <c r="BG100" s="5">
        <v>2</v>
      </c>
      <c r="BH100" s="5">
        <v>1</v>
      </c>
      <c r="BI100" s="5">
        <v>1</v>
      </c>
      <c r="BJ100" s="5">
        <v>1</v>
      </c>
      <c r="BK100" s="5">
        <v>1</v>
      </c>
      <c r="BL100" s="5">
        <v>1</v>
      </c>
      <c r="BM100" s="5">
        <v>2</v>
      </c>
      <c r="BN100" s="5">
        <v>2</v>
      </c>
      <c r="BO100" s="5">
        <v>1</v>
      </c>
      <c r="BP100" s="5">
        <v>1</v>
      </c>
      <c r="BQ100" s="5">
        <v>1</v>
      </c>
      <c r="BR100" s="5">
        <v>17</v>
      </c>
      <c r="BS100" s="5">
        <v>0</v>
      </c>
      <c r="BT100" s="5">
        <v>0</v>
      </c>
      <c r="BU100" s="5"/>
    </row>
    <row r="101" spans="1:73" x14ac:dyDescent="0.25">
      <c r="A101" s="5" t="s">
        <v>436</v>
      </c>
      <c r="B101" s="5">
        <v>1</v>
      </c>
      <c r="C101" s="5">
        <v>0.93472599999999995</v>
      </c>
      <c r="D101" s="6">
        <v>240000000000</v>
      </c>
      <c r="E101" s="5">
        <v>59</v>
      </c>
      <c r="F101" s="5">
        <v>1</v>
      </c>
      <c r="G101" s="7">
        <v>45298</v>
      </c>
      <c r="H101" s="11">
        <v>0.58333333333333337</v>
      </c>
      <c r="I101" s="7">
        <v>45298</v>
      </c>
      <c r="J101" s="7">
        <v>45300</v>
      </c>
      <c r="K101" s="5">
        <v>8390060098</v>
      </c>
      <c r="L101" s="5">
        <v>7350544384</v>
      </c>
      <c r="M101" s="5">
        <v>2</v>
      </c>
      <c r="N101" s="5">
        <v>1</v>
      </c>
      <c r="O101" s="5">
        <v>2</v>
      </c>
      <c r="P101" s="5">
        <v>2</v>
      </c>
      <c r="Q101" s="5">
        <v>2</v>
      </c>
      <c r="R101" s="5">
        <v>2</v>
      </c>
      <c r="S101" s="5">
        <v>2</v>
      </c>
      <c r="T101" s="5">
        <v>2</v>
      </c>
      <c r="U101" s="5">
        <v>2</v>
      </c>
      <c r="V101" s="5">
        <v>2</v>
      </c>
      <c r="W101" s="5" t="s">
        <v>437</v>
      </c>
      <c r="X101" s="5">
        <v>13.2</v>
      </c>
      <c r="Y101" s="5">
        <v>39.299999999999997</v>
      </c>
      <c r="Z101" s="5">
        <v>82.9</v>
      </c>
      <c r="AA101" s="5">
        <v>48.66</v>
      </c>
      <c r="AB101" s="5"/>
      <c r="AC101" s="5">
        <v>145</v>
      </c>
      <c r="AD101" s="5">
        <v>94.6</v>
      </c>
      <c r="AE101" s="5">
        <v>43</v>
      </c>
      <c r="AF101" s="5">
        <v>7.4</v>
      </c>
      <c r="AG101" s="5">
        <v>37</v>
      </c>
      <c r="AH101" s="5">
        <v>148</v>
      </c>
      <c r="AI101" s="5"/>
      <c r="AJ101" s="5"/>
      <c r="AK101" s="5" t="s">
        <v>438</v>
      </c>
      <c r="AL101" s="5" t="s">
        <v>326</v>
      </c>
      <c r="AM101" s="5"/>
      <c r="AN101" s="5">
        <v>9</v>
      </c>
      <c r="AO101" s="5">
        <v>1</v>
      </c>
      <c r="AP101" s="5">
        <v>3</v>
      </c>
      <c r="AQ101" s="5">
        <v>3</v>
      </c>
      <c r="AR101" s="5">
        <v>5</v>
      </c>
      <c r="AS101" s="5"/>
      <c r="AT101" s="5">
        <v>1</v>
      </c>
      <c r="AU101" s="5"/>
      <c r="AV101" s="5">
        <v>2</v>
      </c>
      <c r="AW101" s="5"/>
      <c r="AX101" s="5"/>
      <c r="AY101" s="5"/>
      <c r="AZ101" s="5">
        <v>1</v>
      </c>
      <c r="BA101" s="5">
        <v>4</v>
      </c>
      <c r="BB101" s="5">
        <v>2</v>
      </c>
      <c r="BC101" s="5">
        <v>15</v>
      </c>
      <c r="BD101" s="5">
        <v>1</v>
      </c>
      <c r="BE101" s="5">
        <v>2</v>
      </c>
      <c r="BF101" s="5">
        <v>2</v>
      </c>
      <c r="BG101" s="5">
        <v>2</v>
      </c>
      <c r="BH101" s="5">
        <v>1</v>
      </c>
      <c r="BI101" s="5">
        <v>1</v>
      </c>
      <c r="BJ101" s="5">
        <v>1</v>
      </c>
      <c r="BK101" s="5">
        <v>1</v>
      </c>
      <c r="BL101" s="5">
        <v>2</v>
      </c>
      <c r="BM101" s="5">
        <v>2</v>
      </c>
      <c r="BN101" s="5">
        <v>2</v>
      </c>
      <c r="BO101" s="5">
        <v>1</v>
      </c>
      <c r="BP101" s="5">
        <v>1</v>
      </c>
      <c r="BQ101" s="5">
        <v>1</v>
      </c>
      <c r="BR101" s="5">
        <v>20</v>
      </c>
      <c r="BS101" s="5">
        <v>1</v>
      </c>
      <c r="BT101" s="5">
        <v>1</v>
      </c>
      <c r="BU101" s="5"/>
    </row>
    <row r="102" spans="1:73" x14ac:dyDescent="0.25">
      <c r="A102" s="5" t="s">
        <v>450</v>
      </c>
      <c r="B102" s="5">
        <v>1</v>
      </c>
      <c r="C102" s="5">
        <v>1.74837</v>
      </c>
      <c r="D102" s="6">
        <v>230000000000</v>
      </c>
      <c r="E102" s="5">
        <v>50</v>
      </c>
      <c r="F102" s="5">
        <v>1</v>
      </c>
      <c r="G102" s="7">
        <v>45271</v>
      </c>
      <c r="H102" s="11">
        <v>0.58333333333333337</v>
      </c>
      <c r="I102" s="7">
        <v>45272</v>
      </c>
      <c r="J102" s="7">
        <v>45272</v>
      </c>
      <c r="K102" s="5">
        <v>9764791613</v>
      </c>
      <c r="L102" s="5">
        <v>7385001613</v>
      </c>
      <c r="M102" s="5">
        <v>4</v>
      </c>
      <c r="N102" s="5">
        <v>2</v>
      </c>
      <c r="O102" s="5">
        <v>1</v>
      </c>
      <c r="P102" s="5">
        <v>2</v>
      </c>
      <c r="Q102" s="5">
        <v>2</v>
      </c>
      <c r="R102" s="5">
        <v>1</v>
      </c>
      <c r="S102" s="5">
        <v>2</v>
      </c>
      <c r="T102" s="5">
        <v>2</v>
      </c>
      <c r="U102" s="5">
        <v>2</v>
      </c>
      <c r="V102" s="5">
        <v>2</v>
      </c>
      <c r="W102" s="5"/>
      <c r="X102" s="5">
        <v>10.5</v>
      </c>
      <c r="Y102" s="5">
        <v>33.9</v>
      </c>
      <c r="Z102" s="5">
        <v>75.900000000000006</v>
      </c>
      <c r="AA102" s="5"/>
      <c r="AB102" s="5"/>
      <c r="AC102" s="5">
        <v>293</v>
      </c>
      <c r="AD102" s="5">
        <v>207.4</v>
      </c>
      <c r="AE102" s="5">
        <v>73</v>
      </c>
      <c r="AF102" s="5">
        <v>12.6</v>
      </c>
      <c r="AG102" s="5">
        <v>63</v>
      </c>
      <c r="AH102" s="5">
        <v>194</v>
      </c>
      <c r="AI102" s="5"/>
      <c r="AJ102" s="5"/>
      <c r="AK102" s="5" t="s">
        <v>451</v>
      </c>
      <c r="AL102" s="5"/>
      <c r="AM102" s="5"/>
      <c r="AN102" s="5">
        <v>9</v>
      </c>
      <c r="AO102" s="5">
        <v>1</v>
      </c>
      <c r="AP102" s="5">
        <v>3</v>
      </c>
      <c r="AQ102" s="5">
        <v>3</v>
      </c>
      <c r="AR102" s="5">
        <v>5</v>
      </c>
      <c r="AS102" s="5"/>
      <c r="AT102" s="5">
        <v>1</v>
      </c>
      <c r="AU102" s="5">
        <v>1</v>
      </c>
      <c r="AV102" s="5">
        <v>2</v>
      </c>
      <c r="AW102" s="5">
        <v>4</v>
      </c>
      <c r="AX102" s="5">
        <v>4</v>
      </c>
      <c r="AY102" s="5">
        <v>2</v>
      </c>
      <c r="AZ102" s="5">
        <v>2</v>
      </c>
      <c r="BA102" s="5">
        <v>4</v>
      </c>
      <c r="BB102" s="5">
        <v>2</v>
      </c>
      <c r="BC102" s="5">
        <v>50</v>
      </c>
      <c r="BD102" s="5">
        <v>1</v>
      </c>
      <c r="BE102" s="5">
        <v>2</v>
      </c>
      <c r="BF102" s="5">
        <v>2</v>
      </c>
      <c r="BG102" s="5">
        <v>2</v>
      </c>
      <c r="BH102" s="5">
        <v>1</v>
      </c>
      <c r="BI102" s="5">
        <v>1</v>
      </c>
      <c r="BJ102" s="5">
        <v>1</v>
      </c>
      <c r="BK102" s="5">
        <v>1</v>
      </c>
      <c r="BL102" s="5">
        <v>2</v>
      </c>
      <c r="BM102" s="5">
        <v>2</v>
      </c>
      <c r="BN102" s="5">
        <v>2</v>
      </c>
      <c r="BO102" s="5">
        <v>1</v>
      </c>
      <c r="BP102" s="5">
        <v>1</v>
      </c>
      <c r="BQ102" s="5">
        <v>1</v>
      </c>
      <c r="BR102" s="5">
        <v>20</v>
      </c>
      <c r="BS102" s="5">
        <v>1</v>
      </c>
      <c r="BT102" s="5">
        <v>1</v>
      </c>
      <c r="BU102" s="5"/>
    </row>
    <row r="103" spans="1:73" x14ac:dyDescent="0.25">
      <c r="A103" s="12" t="s">
        <v>457</v>
      </c>
      <c r="B103" s="5">
        <v>1</v>
      </c>
      <c r="C103" s="12">
        <v>2.3634499999999998</v>
      </c>
      <c r="D103" s="13">
        <v>170800526</v>
      </c>
      <c r="E103" s="12">
        <v>59</v>
      </c>
      <c r="F103" s="12">
        <v>1</v>
      </c>
      <c r="G103" s="14"/>
      <c r="H103" s="12"/>
      <c r="I103" s="14">
        <v>44904</v>
      </c>
      <c r="J103" s="14">
        <v>44905</v>
      </c>
      <c r="K103" s="12"/>
      <c r="L103" s="12"/>
      <c r="M103" s="12">
        <v>3</v>
      </c>
      <c r="N103" s="12">
        <v>2</v>
      </c>
      <c r="O103" s="12">
        <v>1</v>
      </c>
      <c r="P103" s="12">
        <v>1</v>
      </c>
      <c r="Q103" s="12">
        <v>1</v>
      </c>
      <c r="R103" s="12">
        <v>1</v>
      </c>
      <c r="S103" s="12">
        <v>2</v>
      </c>
      <c r="T103" s="12">
        <v>2</v>
      </c>
      <c r="U103" s="12">
        <v>2</v>
      </c>
      <c r="V103" s="12">
        <v>2</v>
      </c>
      <c r="W103" s="12"/>
      <c r="X103" s="12">
        <v>14.4</v>
      </c>
      <c r="Y103" s="12"/>
      <c r="Z103" s="12"/>
      <c r="AA103" s="12">
        <v>11.3</v>
      </c>
      <c r="AB103" s="12">
        <v>10.9</v>
      </c>
      <c r="AC103" s="12">
        <v>153</v>
      </c>
      <c r="AD103" s="12">
        <v>88.8</v>
      </c>
      <c r="AE103" s="12">
        <v>47</v>
      </c>
      <c r="AF103" s="12"/>
      <c r="AG103" s="12">
        <v>86</v>
      </c>
      <c r="AH103" s="12"/>
      <c r="AI103" s="12"/>
      <c r="AJ103" s="12"/>
      <c r="AK103" s="12" t="s">
        <v>458</v>
      </c>
      <c r="AL103" s="12" t="s">
        <v>435</v>
      </c>
      <c r="AM103" s="12"/>
      <c r="AN103" s="12">
        <v>9</v>
      </c>
      <c r="AO103" s="12">
        <v>1</v>
      </c>
      <c r="AP103" s="12">
        <v>3</v>
      </c>
      <c r="AQ103" s="12">
        <v>3</v>
      </c>
      <c r="AR103" s="12">
        <v>5</v>
      </c>
      <c r="AS103" s="12"/>
      <c r="AT103" s="12">
        <v>1</v>
      </c>
      <c r="AU103" s="12">
        <v>1</v>
      </c>
      <c r="AV103" s="12">
        <v>2</v>
      </c>
      <c r="AW103" s="12"/>
      <c r="AX103" s="12"/>
      <c r="AY103" s="12"/>
      <c r="AZ103" s="12"/>
      <c r="BA103" s="12">
        <v>4</v>
      </c>
      <c r="BB103" s="5">
        <v>2</v>
      </c>
      <c r="BC103" s="12">
        <v>65</v>
      </c>
      <c r="BD103" s="12">
        <v>1</v>
      </c>
      <c r="BE103" s="12">
        <v>2</v>
      </c>
      <c r="BF103" s="12">
        <v>2</v>
      </c>
      <c r="BG103" s="12">
        <v>2</v>
      </c>
      <c r="BH103" s="12">
        <v>1</v>
      </c>
      <c r="BI103" s="12">
        <v>1</v>
      </c>
      <c r="BJ103" s="12">
        <v>1</v>
      </c>
      <c r="BK103" s="12">
        <v>1</v>
      </c>
      <c r="BL103" s="12">
        <v>2</v>
      </c>
      <c r="BM103" s="12">
        <v>2</v>
      </c>
      <c r="BN103" s="12">
        <v>2</v>
      </c>
      <c r="BO103" s="12">
        <v>1</v>
      </c>
      <c r="BP103" s="12">
        <v>1</v>
      </c>
      <c r="BQ103" s="12">
        <v>1</v>
      </c>
      <c r="BR103" s="12">
        <v>20</v>
      </c>
      <c r="BS103" s="12">
        <v>1</v>
      </c>
      <c r="BT103" s="12">
        <v>1</v>
      </c>
      <c r="BU103" s="12"/>
    </row>
    <row r="104" spans="1:73" x14ac:dyDescent="0.25">
      <c r="A104" s="5" t="s">
        <v>536</v>
      </c>
      <c r="B104" s="5">
        <v>0</v>
      </c>
      <c r="C104" s="5">
        <v>1.2015800000000001</v>
      </c>
      <c r="D104" s="6">
        <v>120805543</v>
      </c>
      <c r="E104" s="5">
        <v>63</v>
      </c>
      <c r="F104" s="5">
        <v>2</v>
      </c>
      <c r="G104" s="7">
        <v>45208</v>
      </c>
      <c r="H104" s="11">
        <v>0.6875</v>
      </c>
      <c r="I104" s="7">
        <v>45209</v>
      </c>
      <c r="J104" s="7">
        <v>45210</v>
      </c>
      <c r="K104" s="5">
        <v>7083569288</v>
      </c>
      <c r="L104" s="5">
        <v>8483834992</v>
      </c>
      <c r="M104" s="5">
        <v>5</v>
      </c>
      <c r="N104" s="5">
        <v>1</v>
      </c>
      <c r="O104" s="5">
        <v>2</v>
      </c>
      <c r="P104" s="5">
        <v>2</v>
      </c>
      <c r="Q104" s="5">
        <v>2</v>
      </c>
      <c r="R104" s="5">
        <v>2</v>
      </c>
      <c r="S104" s="5">
        <v>2</v>
      </c>
      <c r="T104" s="5">
        <v>2</v>
      </c>
      <c r="U104" s="5">
        <v>2</v>
      </c>
      <c r="V104" s="5">
        <v>2</v>
      </c>
      <c r="W104" s="5"/>
      <c r="X104" s="5">
        <v>12.2</v>
      </c>
      <c r="Y104" s="5">
        <v>38.5</v>
      </c>
      <c r="Z104" s="5">
        <v>91.3</v>
      </c>
      <c r="AA104" s="5">
        <v>12.37</v>
      </c>
      <c r="AB104" s="5">
        <v>6.1</v>
      </c>
      <c r="AC104" s="5">
        <v>221</v>
      </c>
      <c r="AD104" s="5">
        <v>115.4</v>
      </c>
      <c r="AE104" s="5">
        <v>41</v>
      </c>
      <c r="AF104" s="5">
        <v>54.6</v>
      </c>
      <c r="AG104" s="5">
        <v>273</v>
      </c>
      <c r="AH104" s="5"/>
      <c r="AI104" s="5"/>
      <c r="AJ104" s="5"/>
      <c r="AK104" s="5" t="s">
        <v>537</v>
      </c>
      <c r="AL104" s="5" t="s">
        <v>326</v>
      </c>
      <c r="AM104" s="5"/>
      <c r="AN104" s="5">
        <v>9</v>
      </c>
      <c r="AO104" s="5">
        <v>3</v>
      </c>
      <c r="AP104" s="5">
        <v>3</v>
      </c>
      <c r="AQ104" s="5">
        <v>2</v>
      </c>
      <c r="AR104" s="5">
        <v>5</v>
      </c>
      <c r="AS104" s="5"/>
      <c r="AT104" s="5">
        <v>1</v>
      </c>
      <c r="AU104" s="5">
        <v>1</v>
      </c>
      <c r="AV104" s="5">
        <v>2</v>
      </c>
      <c r="AW104" s="5"/>
      <c r="AX104" s="5"/>
      <c r="AY104" s="5"/>
      <c r="AZ104" s="5"/>
      <c r="BA104" s="5">
        <v>4</v>
      </c>
      <c r="BB104" s="5">
        <v>2</v>
      </c>
      <c r="BC104" s="5">
        <v>40</v>
      </c>
      <c r="BD104" s="5">
        <v>1</v>
      </c>
      <c r="BE104" s="5">
        <v>2</v>
      </c>
      <c r="BF104" s="5">
        <v>2</v>
      </c>
      <c r="BG104" s="5">
        <v>2</v>
      </c>
      <c r="BH104" s="5">
        <v>1</v>
      </c>
      <c r="BI104" s="5">
        <v>1</v>
      </c>
      <c r="BJ104" s="5">
        <v>1</v>
      </c>
      <c r="BK104" s="5">
        <v>1</v>
      </c>
      <c r="BL104" s="5">
        <v>2</v>
      </c>
      <c r="BM104" s="5">
        <v>2</v>
      </c>
      <c r="BN104" s="5">
        <v>2</v>
      </c>
      <c r="BO104" s="5">
        <v>1</v>
      </c>
      <c r="BP104" s="5">
        <v>1</v>
      </c>
      <c r="BQ104" s="5">
        <v>1</v>
      </c>
      <c r="BR104" s="5">
        <v>20</v>
      </c>
      <c r="BS104" s="5">
        <v>1</v>
      </c>
      <c r="BT104" s="5">
        <v>1</v>
      </c>
      <c r="BU104" s="5"/>
    </row>
    <row r="105" spans="1:73" x14ac:dyDescent="0.25">
      <c r="A105" s="5" t="s">
        <v>361</v>
      </c>
      <c r="B105" s="5">
        <v>1</v>
      </c>
      <c r="C105" s="5">
        <v>1.0848599999999999</v>
      </c>
      <c r="D105" s="6">
        <v>230402472</v>
      </c>
      <c r="E105" s="5">
        <v>46</v>
      </c>
      <c r="F105" s="5">
        <v>2</v>
      </c>
      <c r="G105" s="7"/>
      <c r="H105" s="5"/>
      <c r="I105" s="7">
        <v>45032</v>
      </c>
      <c r="J105" s="7"/>
      <c r="K105" s="5">
        <v>9028922641</v>
      </c>
      <c r="L105" s="5"/>
      <c r="M105" s="5">
        <v>4</v>
      </c>
      <c r="N105" s="5">
        <v>1</v>
      </c>
      <c r="O105" s="5">
        <v>1</v>
      </c>
      <c r="P105" s="5">
        <v>2</v>
      </c>
      <c r="Q105" s="5">
        <v>2</v>
      </c>
      <c r="R105" s="5">
        <v>2</v>
      </c>
      <c r="S105" s="5">
        <v>2</v>
      </c>
      <c r="T105" s="5">
        <v>2</v>
      </c>
      <c r="U105" s="5">
        <v>2</v>
      </c>
      <c r="V105" s="5">
        <v>2</v>
      </c>
      <c r="W105" s="5"/>
      <c r="X105" s="5">
        <v>13.9</v>
      </c>
      <c r="Y105" s="5">
        <v>41.6</v>
      </c>
      <c r="Z105" s="5"/>
      <c r="AA105" s="5">
        <v>7.47</v>
      </c>
      <c r="AB105" s="5">
        <v>13.4</v>
      </c>
      <c r="AC105" s="5">
        <v>296</v>
      </c>
      <c r="AD105" s="5">
        <v>193.6</v>
      </c>
      <c r="AE105" s="5">
        <v>47</v>
      </c>
      <c r="AF105" s="5"/>
      <c r="AG105" s="5">
        <v>277</v>
      </c>
      <c r="AH105" s="5">
        <v>282</v>
      </c>
      <c r="AI105" s="5" t="s">
        <v>362</v>
      </c>
      <c r="AJ105" s="5"/>
      <c r="AK105" s="5" t="s">
        <v>363</v>
      </c>
      <c r="AL105" s="5" t="s">
        <v>364</v>
      </c>
      <c r="AM105" s="5"/>
      <c r="AN105" s="5">
        <v>9</v>
      </c>
      <c r="AO105" s="5">
        <v>1</v>
      </c>
      <c r="AP105" s="5">
        <v>3</v>
      </c>
      <c r="AQ105" s="5">
        <v>3</v>
      </c>
      <c r="AR105" s="5">
        <v>5</v>
      </c>
      <c r="AS105" s="5"/>
      <c r="AT105" s="5">
        <v>1</v>
      </c>
      <c r="AU105" s="5">
        <v>2</v>
      </c>
      <c r="AV105" s="5">
        <v>2</v>
      </c>
      <c r="AW105" s="5">
        <v>4</v>
      </c>
      <c r="AX105" s="5">
        <v>8</v>
      </c>
      <c r="AY105" s="5">
        <v>2</v>
      </c>
      <c r="AZ105" s="5">
        <v>2</v>
      </c>
      <c r="BA105" s="5">
        <v>5</v>
      </c>
      <c r="BB105" s="5">
        <v>2</v>
      </c>
      <c r="BC105" s="5">
        <v>25</v>
      </c>
      <c r="BD105" s="5">
        <v>1</v>
      </c>
      <c r="BE105" s="5">
        <v>2</v>
      </c>
      <c r="BF105" s="5">
        <v>2</v>
      </c>
      <c r="BG105" s="5">
        <v>2</v>
      </c>
      <c r="BH105" s="5">
        <v>1</v>
      </c>
      <c r="BI105" s="5">
        <v>1</v>
      </c>
      <c r="BJ105" s="5">
        <v>1</v>
      </c>
      <c r="BK105" s="5">
        <v>0</v>
      </c>
      <c r="BL105" s="5">
        <v>2</v>
      </c>
      <c r="BM105" s="5">
        <v>2</v>
      </c>
      <c r="BN105" s="5">
        <v>2</v>
      </c>
      <c r="BO105" s="5">
        <v>1</v>
      </c>
      <c r="BP105" s="5">
        <v>1</v>
      </c>
      <c r="BQ105" s="5">
        <v>1</v>
      </c>
      <c r="BR105" s="5">
        <v>19</v>
      </c>
      <c r="BS105" s="5">
        <v>1</v>
      </c>
      <c r="BT105" s="5">
        <v>0</v>
      </c>
      <c r="BU105" s="5"/>
    </row>
    <row r="106" spans="1:73" x14ac:dyDescent="0.25">
      <c r="A106" s="5" t="s">
        <v>466</v>
      </c>
      <c r="B106" s="5">
        <v>1</v>
      </c>
      <c r="C106" s="5">
        <v>1.06549</v>
      </c>
      <c r="D106" s="6">
        <v>180100273</v>
      </c>
      <c r="E106" s="5">
        <v>38</v>
      </c>
      <c r="F106" s="5">
        <v>1</v>
      </c>
      <c r="G106" s="7"/>
      <c r="H106" s="5"/>
      <c r="I106" s="7">
        <v>44789</v>
      </c>
      <c r="J106" s="7">
        <v>44791</v>
      </c>
      <c r="K106" s="5">
        <v>8022554869</v>
      </c>
      <c r="L106" s="5"/>
      <c r="M106" s="5">
        <v>3</v>
      </c>
      <c r="N106" s="5">
        <v>1</v>
      </c>
      <c r="O106" s="5">
        <v>2</v>
      </c>
      <c r="P106" s="5">
        <v>2</v>
      </c>
      <c r="Q106" s="5">
        <v>2</v>
      </c>
      <c r="R106" s="5">
        <v>2</v>
      </c>
      <c r="S106" s="5">
        <v>2</v>
      </c>
      <c r="T106" s="5">
        <v>2</v>
      </c>
      <c r="U106" s="5">
        <v>2</v>
      </c>
      <c r="V106" s="5">
        <v>2</v>
      </c>
      <c r="W106" s="5"/>
      <c r="X106" s="5">
        <v>15.1</v>
      </c>
      <c r="Y106" s="5"/>
      <c r="Z106" s="5"/>
      <c r="AA106" s="5">
        <v>18.440000000000001</v>
      </c>
      <c r="AB106" s="5">
        <v>5.9</v>
      </c>
      <c r="AC106" s="5">
        <v>168</v>
      </c>
      <c r="AD106" s="5">
        <v>111.2</v>
      </c>
      <c r="AE106" s="5">
        <v>33</v>
      </c>
      <c r="AF106" s="5"/>
      <c r="AG106" s="5">
        <v>119</v>
      </c>
      <c r="AH106" s="5">
        <v>163</v>
      </c>
      <c r="AI106" s="5"/>
      <c r="AJ106" s="5"/>
      <c r="AK106" s="5"/>
      <c r="AL106" s="5" t="s">
        <v>467</v>
      </c>
      <c r="AM106" s="5"/>
      <c r="AN106" s="5">
        <v>9</v>
      </c>
      <c r="AO106" s="5">
        <v>1</v>
      </c>
      <c r="AP106" s="5">
        <v>3</v>
      </c>
      <c r="AQ106" s="5">
        <v>3</v>
      </c>
      <c r="AR106" s="5">
        <v>5</v>
      </c>
      <c r="AS106" s="5"/>
      <c r="AT106" s="5">
        <v>1</v>
      </c>
      <c r="AU106" s="5">
        <v>1</v>
      </c>
      <c r="AV106" s="5">
        <v>2</v>
      </c>
      <c r="AW106" s="5"/>
      <c r="AX106" s="5"/>
      <c r="AY106" s="5"/>
      <c r="AZ106" s="5"/>
      <c r="BA106" s="5">
        <v>5</v>
      </c>
      <c r="BB106" s="5">
        <v>2</v>
      </c>
      <c r="BC106" s="5">
        <v>25</v>
      </c>
      <c r="BD106" s="5">
        <v>1</v>
      </c>
      <c r="BE106" s="5">
        <v>2</v>
      </c>
      <c r="BF106" s="5">
        <v>2</v>
      </c>
      <c r="BG106" s="5">
        <v>2</v>
      </c>
      <c r="BH106" s="5">
        <v>1</v>
      </c>
      <c r="BI106" s="5">
        <v>1</v>
      </c>
      <c r="BJ106" s="5">
        <v>1</v>
      </c>
      <c r="BK106" s="5">
        <v>1</v>
      </c>
      <c r="BL106" s="5">
        <v>2</v>
      </c>
      <c r="BM106" s="5">
        <v>2</v>
      </c>
      <c r="BN106" s="5">
        <v>2</v>
      </c>
      <c r="BO106" s="5">
        <v>1</v>
      </c>
      <c r="BP106" s="5">
        <v>1</v>
      </c>
      <c r="BQ106" s="5">
        <v>1</v>
      </c>
      <c r="BR106" s="5">
        <v>20</v>
      </c>
      <c r="BS106" s="5">
        <v>1</v>
      </c>
      <c r="BT106" s="5">
        <v>0</v>
      </c>
      <c r="BU106" s="5"/>
    </row>
    <row r="107" spans="1:73" x14ac:dyDescent="0.25">
      <c r="A107" s="5" t="s">
        <v>468</v>
      </c>
      <c r="B107" s="5">
        <v>1</v>
      </c>
      <c r="C107" s="5">
        <v>0.13076499999999999</v>
      </c>
      <c r="D107" s="6">
        <v>230402432</v>
      </c>
      <c r="E107" s="5">
        <v>70</v>
      </c>
      <c r="F107" s="5">
        <v>1</v>
      </c>
      <c r="G107" s="7"/>
      <c r="H107" s="5"/>
      <c r="I107" s="7">
        <v>45032</v>
      </c>
      <c r="J107" s="7">
        <v>45036</v>
      </c>
      <c r="K107" s="5">
        <v>9405432189</v>
      </c>
      <c r="L107" s="5"/>
      <c r="M107" s="5">
        <v>2</v>
      </c>
      <c r="N107" s="5">
        <v>1</v>
      </c>
      <c r="O107" s="5">
        <v>1</v>
      </c>
      <c r="P107" s="5">
        <v>1</v>
      </c>
      <c r="Q107" s="5">
        <v>1</v>
      </c>
      <c r="R107" s="5">
        <v>1</v>
      </c>
      <c r="S107" s="5">
        <v>2</v>
      </c>
      <c r="T107" s="5">
        <v>2</v>
      </c>
      <c r="U107" s="5">
        <v>2</v>
      </c>
      <c r="V107" s="5">
        <v>2</v>
      </c>
      <c r="W107" s="5"/>
      <c r="X107" s="5">
        <v>11.2</v>
      </c>
      <c r="Y107" s="5">
        <v>34.9</v>
      </c>
      <c r="Z107" s="5"/>
      <c r="AA107" s="5">
        <v>71</v>
      </c>
      <c r="AB107" s="5">
        <v>44</v>
      </c>
      <c r="AC107" s="5">
        <v>5.8</v>
      </c>
      <c r="AD107" s="5">
        <v>80.2</v>
      </c>
      <c r="AE107" s="5">
        <v>32</v>
      </c>
      <c r="AF107" s="5">
        <v>12.8</v>
      </c>
      <c r="AG107" s="5">
        <v>64</v>
      </c>
      <c r="AH107" s="5">
        <v>148</v>
      </c>
      <c r="AI107" s="5"/>
      <c r="AJ107" s="5"/>
      <c r="AK107" s="5" t="s">
        <v>469</v>
      </c>
      <c r="AL107" s="5"/>
      <c r="AM107" s="5"/>
      <c r="AN107" s="5">
        <v>9</v>
      </c>
      <c r="AO107" s="5">
        <v>1</v>
      </c>
      <c r="AP107" s="5">
        <v>3</v>
      </c>
      <c r="AQ107" s="5">
        <v>3</v>
      </c>
      <c r="AR107" s="5">
        <v>5</v>
      </c>
      <c r="AS107" s="5"/>
      <c r="AT107" s="5">
        <v>1</v>
      </c>
      <c r="AU107" s="5">
        <v>1</v>
      </c>
      <c r="AV107" s="5">
        <v>2</v>
      </c>
      <c r="AW107" s="5">
        <v>4</v>
      </c>
      <c r="AX107" s="5">
        <v>8</v>
      </c>
      <c r="AY107" s="5">
        <v>2</v>
      </c>
      <c r="AZ107" s="5">
        <v>2</v>
      </c>
      <c r="BA107" s="5">
        <v>6</v>
      </c>
      <c r="BB107" s="5">
        <v>2</v>
      </c>
      <c r="BC107" s="5">
        <v>0</v>
      </c>
      <c r="BD107" s="5">
        <v>1</v>
      </c>
      <c r="BE107" s="5">
        <v>2</v>
      </c>
      <c r="BF107" s="5">
        <v>2</v>
      </c>
      <c r="BG107" s="5">
        <v>2</v>
      </c>
      <c r="BH107" s="5">
        <v>1</v>
      </c>
      <c r="BI107" s="5">
        <v>1</v>
      </c>
      <c r="BJ107" s="5">
        <v>1</v>
      </c>
      <c r="BK107" s="5">
        <v>1</v>
      </c>
      <c r="BL107" s="5">
        <v>2</v>
      </c>
      <c r="BM107" s="5">
        <v>2</v>
      </c>
      <c r="BN107" s="5">
        <v>2</v>
      </c>
      <c r="BO107" s="5">
        <v>1</v>
      </c>
      <c r="BP107" s="5">
        <v>1</v>
      </c>
      <c r="BQ107" s="5">
        <v>1</v>
      </c>
      <c r="BR107" s="5">
        <v>20</v>
      </c>
      <c r="BS107" s="5">
        <v>1</v>
      </c>
      <c r="BT107" s="5">
        <v>1</v>
      </c>
      <c r="BU107" s="5" t="s">
        <v>373</v>
      </c>
    </row>
    <row r="108" spans="1:73" x14ac:dyDescent="0.25">
      <c r="A108" s="5" t="s">
        <v>470</v>
      </c>
      <c r="B108" s="5">
        <v>1</v>
      </c>
      <c r="C108" s="5">
        <v>0.26637300000000003</v>
      </c>
      <c r="D108" s="6">
        <v>230305267</v>
      </c>
      <c r="E108" s="5">
        <v>80</v>
      </c>
      <c r="F108" s="5">
        <v>1</v>
      </c>
      <c r="G108" s="7"/>
      <c r="H108" s="5"/>
      <c r="I108" s="7">
        <v>45012</v>
      </c>
      <c r="J108" s="7"/>
      <c r="K108" s="5">
        <v>9850833398</v>
      </c>
      <c r="L108" s="5"/>
      <c r="M108" s="5">
        <v>24</v>
      </c>
      <c r="N108" s="5">
        <v>2</v>
      </c>
      <c r="O108" s="5">
        <v>2</v>
      </c>
      <c r="P108" s="5">
        <v>2</v>
      </c>
      <c r="Q108" s="5">
        <v>1</v>
      </c>
      <c r="R108" s="5">
        <v>2</v>
      </c>
      <c r="S108" s="5">
        <v>2</v>
      </c>
      <c r="T108" s="5">
        <v>2</v>
      </c>
      <c r="U108" s="5">
        <v>2</v>
      </c>
      <c r="V108" s="5">
        <v>2</v>
      </c>
      <c r="W108" s="5"/>
      <c r="X108" s="5">
        <v>12.6</v>
      </c>
      <c r="Y108" s="5">
        <v>36.299999999999997</v>
      </c>
      <c r="Z108" s="5"/>
      <c r="AA108" s="5">
        <v>14.5</v>
      </c>
      <c r="AB108" s="5">
        <v>5.0999999999999996</v>
      </c>
      <c r="AC108" s="5"/>
      <c r="AD108" s="5"/>
      <c r="AE108" s="5"/>
      <c r="AF108" s="5"/>
      <c r="AG108" s="5"/>
      <c r="AH108" s="5">
        <v>197</v>
      </c>
      <c r="AI108" s="5" t="s">
        <v>471</v>
      </c>
      <c r="AJ108" s="5"/>
      <c r="AK108" s="5" t="s">
        <v>472</v>
      </c>
      <c r="AL108" s="5" t="s">
        <v>326</v>
      </c>
      <c r="AM108" s="5"/>
      <c r="AN108" s="5">
        <v>9</v>
      </c>
      <c r="AO108" s="5">
        <v>1</v>
      </c>
      <c r="AP108" s="5">
        <v>3</v>
      </c>
      <c r="AQ108" s="5">
        <v>3</v>
      </c>
      <c r="AR108" s="5">
        <v>5</v>
      </c>
      <c r="AS108" s="5"/>
      <c r="AT108" s="5">
        <v>1</v>
      </c>
      <c r="AU108" s="5">
        <v>1</v>
      </c>
      <c r="AV108" s="5">
        <v>2</v>
      </c>
      <c r="AW108" s="5"/>
      <c r="AX108" s="5"/>
      <c r="AY108" s="5"/>
      <c r="AZ108" s="5"/>
      <c r="BA108" s="5">
        <v>6</v>
      </c>
      <c r="BB108" s="5">
        <v>2</v>
      </c>
      <c r="BC108" s="5">
        <v>0</v>
      </c>
      <c r="BD108" s="5">
        <v>1</v>
      </c>
      <c r="BE108" s="5">
        <v>2</v>
      </c>
      <c r="BF108" s="5">
        <v>2</v>
      </c>
      <c r="BG108" s="5">
        <v>2</v>
      </c>
      <c r="BH108" s="5">
        <v>1</v>
      </c>
      <c r="BI108" s="5">
        <v>1</v>
      </c>
      <c r="BJ108" s="5">
        <v>1</v>
      </c>
      <c r="BK108" s="5">
        <v>1</v>
      </c>
      <c r="BL108" s="5">
        <v>2</v>
      </c>
      <c r="BM108" s="5">
        <v>2</v>
      </c>
      <c r="BN108" s="5">
        <v>2</v>
      </c>
      <c r="BO108" s="5">
        <v>1</v>
      </c>
      <c r="BP108" s="5">
        <v>1</v>
      </c>
      <c r="BQ108" s="5">
        <v>1</v>
      </c>
      <c r="BR108" s="5">
        <v>20</v>
      </c>
      <c r="BS108" s="5">
        <v>1</v>
      </c>
      <c r="BT108" s="5">
        <v>1</v>
      </c>
      <c r="BU108" s="5"/>
    </row>
    <row r="109" spans="1:73" x14ac:dyDescent="0.25">
      <c r="A109" s="5" t="s">
        <v>485</v>
      </c>
      <c r="B109" s="5">
        <v>1</v>
      </c>
      <c r="C109" s="5">
        <v>0.72162800000000005</v>
      </c>
      <c r="D109" s="6">
        <v>240000000000</v>
      </c>
      <c r="E109" s="5">
        <v>30</v>
      </c>
      <c r="F109" s="5">
        <v>1</v>
      </c>
      <c r="G109" s="7">
        <v>45296</v>
      </c>
      <c r="H109" s="11">
        <v>0.91666666666666663</v>
      </c>
      <c r="I109" s="7">
        <v>45297</v>
      </c>
      <c r="J109" s="7">
        <v>45297</v>
      </c>
      <c r="K109" s="5">
        <v>9595462767</v>
      </c>
      <c r="L109" s="5">
        <v>9049331113</v>
      </c>
      <c r="M109" s="5">
        <v>1</v>
      </c>
      <c r="N109" s="5">
        <v>2</v>
      </c>
      <c r="O109" s="5">
        <v>2</v>
      </c>
      <c r="P109" s="5">
        <v>2</v>
      </c>
      <c r="Q109" s="5">
        <v>2</v>
      </c>
      <c r="R109" s="5">
        <v>2</v>
      </c>
      <c r="S109" s="5">
        <v>2</v>
      </c>
      <c r="T109" s="5">
        <v>2</v>
      </c>
      <c r="U109" s="5">
        <v>2</v>
      </c>
      <c r="V109" s="5">
        <v>2</v>
      </c>
      <c r="W109" s="5"/>
      <c r="X109" s="5">
        <v>15.4</v>
      </c>
      <c r="Y109" s="5">
        <v>46.4</v>
      </c>
      <c r="Z109" s="5">
        <v>85.9</v>
      </c>
      <c r="AA109" s="5"/>
      <c r="AB109" s="5"/>
      <c r="AC109" s="5">
        <v>144</v>
      </c>
      <c r="AD109" s="5">
        <v>96.6</v>
      </c>
      <c r="AE109" s="5">
        <v>32</v>
      </c>
      <c r="AF109" s="5">
        <v>15.4</v>
      </c>
      <c r="AG109" s="5">
        <v>77</v>
      </c>
      <c r="AH109" s="5">
        <v>184</v>
      </c>
      <c r="AI109" s="5"/>
      <c r="AJ109" s="5"/>
      <c r="AK109" s="5" t="s">
        <v>486</v>
      </c>
      <c r="AL109" s="5" t="s">
        <v>326</v>
      </c>
      <c r="AM109" s="5"/>
      <c r="AN109" s="5">
        <v>9</v>
      </c>
      <c r="AO109" s="5">
        <v>1</v>
      </c>
      <c r="AP109" s="5">
        <v>3</v>
      </c>
      <c r="AQ109" s="5">
        <v>3</v>
      </c>
      <c r="AR109" s="5">
        <v>5</v>
      </c>
      <c r="AS109" s="5"/>
      <c r="AT109" s="5">
        <v>1</v>
      </c>
      <c r="AU109" s="5">
        <v>1</v>
      </c>
      <c r="AV109" s="5">
        <v>2</v>
      </c>
      <c r="AW109" s="5"/>
      <c r="AX109" s="5"/>
      <c r="AY109" s="5"/>
      <c r="AZ109" s="5"/>
      <c r="BA109" s="5">
        <v>6</v>
      </c>
      <c r="BB109" s="5">
        <v>2</v>
      </c>
      <c r="BC109" s="5">
        <v>0</v>
      </c>
      <c r="BD109" s="5">
        <v>1</v>
      </c>
      <c r="BE109" s="5">
        <v>2</v>
      </c>
      <c r="BF109" s="5">
        <v>2</v>
      </c>
      <c r="BG109" s="5">
        <v>2</v>
      </c>
      <c r="BH109" s="5">
        <v>1</v>
      </c>
      <c r="BI109" s="5">
        <v>1</v>
      </c>
      <c r="BJ109" s="5">
        <v>1</v>
      </c>
      <c r="BK109" s="5">
        <v>1</v>
      </c>
      <c r="BL109" s="5">
        <v>2</v>
      </c>
      <c r="BM109" s="5">
        <v>2</v>
      </c>
      <c r="BN109" s="5">
        <v>2</v>
      </c>
      <c r="BO109" s="5">
        <v>1</v>
      </c>
      <c r="BP109" s="5">
        <v>1</v>
      </c>
      <c r="BQ109" s="5">
        <v>1</v>
      </c>
      <c r="BR109" s="5">
        <v>20</v>
      </c>
      <c r="BS109" s="5">
        <v>1</v>
      </c>
      <c r="BT109" s="5">
        <v>1</v>
      </c>
      <c r="BU109" s="5"/>
    </row>
    <row r="110" spans="1:73" x14ac:dyDescent="0.25">
      <c r="A110" s="5" t="s">
        <v>686</v>
      </c>
      <c r="B110" s="5">
        <v>0</v>
      </c>
      <c r="C110" s="5">
        <v>0.75644199999999995</v>
      </c>
      <c r="D110" s="6">
        <v>130405530</v>
      </c>
      <c r="E110" s="5">
        <v>84</v>
      </c>
      <c r="F110" s="5">
        <v>2</v>
      </c>
      <c r="G110" s="7"/>
      <c r="H110" s="5"/>
      <c r="I110" s="7">
        <v>44824</v>
      </c>
      <c r="J110" s="7">
        <v>44825</v>
      </c>
      <c r="K110" s="5">
        <v>9325082486</v>
      </c>
      <c r="L110" s="5"/>
      <c r="M110" s="5">
        <v>3</v>
      </c>
      <c r="N110" s="5">
        <v>1</v>
      </c>
      <c r="O110" s="5">
        <v>1</v>
      </c>
      <c r="P110" s="5">
        <v>2</v>
      </c>
      <c r="Q110" s="5">
        <v>2</v>
      </c>
      <c r="R110" s="5">
        <v>2</v>
      </c>
      <c r="S110" s="5">
        <v>2</v>
      </c>
      <c r="T110" s="5">
        <v>2</v>
      </c>
      <c r="U110" s="5">
        <v>2</v>
      </c>
      <c r="V110" s="5">
        <v>2</v>
      </c>
      <c r="W110" s="5" t="s">
        <v>687</v>
      </c>
      <c r="X110" s="5">
        <v>10.199999999999999</v>
      </c>
      <c r="Y110" s="5">
        <v>31.8</v>
      </c>
      <c r="Z110" s="5"/>
      <c r="AA110" s="5">
        <v>10.6</v>
      </c>
      <c r="AB110" s="5"/>
      <c r="AC110" s="5">
        <v>147</v>
      </c>
      <c r="AD110" s="5">
        <v>93.4</v>
      </c>
      <c r="AE110" s="5">
        <v>36</v>
      </c>
      <c r="AF110" s="5">
        <v>17.600000000000001</v>
      </c>
      <c r="AG110" s="5">
        <v>88</v>
      </c>
      <c r="AH110" s="5">
        <v>2000</v>
      </c>
      <c r="AI110" s="5"/>
      <c r="AJ110" s="5"/>
      <c r="AK110" s="5" t="s">
        <v>688</v>
      </c>
      <c r="AL110" s="5" t="s">
        <v>685</v>
      </c>
      <c r="AM110" s="5"/>
      <c r="AN110" s="5">
        <v>9</v>
      </c>
      <c r="AO110" s="5"/>
      <c r="AP110" s="5"/>
      <c r="AQ110" s="5"/>
      <c r="AR110" s="5"/>
      <c r="AS110" s="5"/>
      <c r="AT110" s="5">
        <v>1</v>
      </c>
      <c r="AU110" s="5">
        <v>2</v>
      </c>
      <c r="AV110" s="5">
        <v>2</v>
      </c>
      <c r="AW110" s="5">
        <v>4</v>
      </c>
      <c r="AX110" s="5">
        <v>8</v>
      </c>
      <c r="AY110" s="5">
        <v>2</v>
      </c>
      <c r="AZ110" s="5">
        <v>2</v>
      </c>
      <c r="BA110" s="5">
        <v>6</v>
      </c>
      <c r="BB110" s="5">
        <v>2</v>
      </c>
      <c r="BC110" s="5">
        <v>0</v>
      </c>
      <c r="BD110" s="5"/>
      <c r="BE110" s="5"/>
      <c r="BF110" s="5"/>
      <c r="BG110" s="5"/>
      <c r="BH110" s="5"/>
      <c r="BI110" s="5"/>
      <c r="BJ110" s="5"/>
      <c r="BK110" s="5"/>
      <c r="BL110" s="5"/>
      <c r="BM110" s="5"/>
      <c r="BN110" s="5"/>
      <c r="BO110" s="5"/>
      <c r="BP110" s="5"/>
      <c r="BQ110" s="5"/>
      <c r="BR110" s="5"/>
      <c r="BS110" s="5"/>
      <c r="BT110" s="5"/>
      <c r="BU110" s="5" t="s">
        <v>594</v>
      </c>
    </row>
    <row r="111" spans="1:73" x14ac:dyDescent="0.25">
      <c r="A111" s="12" t="s">
        <v>88</v>
      </c>
      <c r="B111" s="5">
        <v>1</v>
      </c>
      <c r="C111" s="12">
        <v>8.9549599999999998</v>
      </c>
      <c r="D111" s="13">
        <v>24000025576</v>
      </c>
      <c r="E111" s="12">
        <v>26</v>
      </c>
      <c r="F111" s="12">
        <v>2</v>
      </c>
      <c r="G111" s="14" t="s">
        <v>89</v>
      </c>
      <c r="H111" s="15">
        <v>0.54166666666666663</v>
      </c>
      <c r="I111" s="14" t="s">
        <v>89</v>
      </c>
      <c r="J111" s="14"/>
      <c r="K111" s="12">
        <v>9922687786</v>
      </c>
      <c r="L111" s="12">
        <v>8888660595</v>
      </c>
      <c r="M111" s="12">
        <v>11</v>
      </c>
      <c r="N111" s="12">
        <v>2</v>
      </c>
      <c r="O111" s="12">
        <v>2</v>
      </c>
      <c r="P111" s="12">
        <v>2</v>
      </c>
      <c r="Q111" s="12">
        <v>2</v>
      </c>
      <c r="R111" s="12">
        <v>2</v>
      </c>
      <c r="S111" s="12">
        <v>2</v>
      </c>
      <c r="T111" s="12">
        <v>2</v>
      </c>
      <c r="U111" s="12">
        <v>2</v>
      </c>
      <c r="V111" s="12">
        <v>2</v>
      </c>
      <c r="W111" s="12" t="s">
        <v>90</v>
      </c>
      <c r="X111" s="12">
        <v>8.8000000000000007</v>
      </c>
      <c r="Y111" s="12">
        <v>29.3</v>
      </c>
      <c r="Z111" s="12">
        <v>67.8</v>
      </c>
      <c r="AA111" s="12">
        <v>5</v>
      </c>
      <c r="AB111" s="12">
        <v>5.2</v>
      </c>
      <c r="AC111" s="12">
        <v>174</v>
      </c>
      <c r="AD111" s="12"/>
      <c r="AE111" s="12">
        <v>28</v>
      </c>
      <c r="AF111" s="12">
        <v>109</v>
      </c>
      <c r="AG111" s="12">
        <v>21</v>
      </c>
      <c r="AH111" s="12">
        <v>731</v>
      </c>
      <c r="AI111" s="12"/>
      <c r="AJ111" s="12"/>
      <c r="AK111" s="12" t="s">
        <v>91</v>
      </c>
      <c r="AL111" s="12" t="s">
        <v>92</v>
      </c>
      <c r="AM111" s="12"/>
      <c r="AN111" s="12">
        <v>10</v>
      </c>
      <c r="AO111" s="12">
        <v>3</v>
      </c>
      <c r="AP111" s="12">
        <v>5</v>
      </c>
      <c r="AQ111" s="12">
        <v>3</v>
      </c>
      <c r="AR111" s="12">
        <v>5</v>
      </c>
      <c r="AS111" s="12"/>
      <c r="AT111" s="12">
        <v>1</v>
      </c>
      <c r="AU111" s="12">
        <v>1</v>
      </c>
      <c r="AV111" s="12">
        <v>1</v>
      </c>
      <c r="AW111" s="12">
        <v>2</v>
      </c>
      <c r="AX111" s="12"/>
      <c r="AY111" s="12">
        <v>2</v>
      </c>
      <c r="AZ111" s="12">
        <v>2</v>
      </c>
      <c r="BA111" s="12">
        <v>0</v>
      </c>
      <c r="BB111" s="12">
        <v>1</v>
      </c>
      <c r="BC111" s="12">
        <v>100</v>
      </c>
      <c r="BD111" s="12">
        <v>1</v>
      </c>
      <c r="BE111" s="12">
        <v>2</v>
      </c>
      <c r="BF111" s="12">
        <v>2</v>
      </c>
      <c r="BG111" s="12">
        <v>2</v>
      </c>
      <c r="BH111" s="12">
        <v>1</v>
      </c>
      <c r="BI111" s="12">
        <v>1</v>
      </c>
      <c r="BJ111" s="12">
        <v>1</v>
      </c>
      <c r="BK111" s="12">
        <v>1</v>
      </c>
      <c r="BL111" s="12">
        <v>2</v>
      </c>
      <c r="BM111" s="12">
        <v>0</v>
      </c>
      <c r="BN111" s="12">
        <v>0</v>
      </c>
      <c r="BO111" s="12">
        <v>0</v>
      </c>
      <c r="BP111" s="12">
        <v>0</v>
      </c>
      <c r="BQ111" s="12">
        <v>1</v>
      </c>
      <c r="BR111" s="12">
        <v>14</v>
      </c>
      <c r="BS111" s="12">
        <v>0</v>
      </c>
      <c r="BT111" s="12">
        <v>1</v>
      </c>
      <c r="BU111" s="12" t="s">
        <v>93</v>
      </c>
    </row>
    <row r="112" spans="1:73" x14ac:dyDescent="0.25">
      <c r="A112" s="12" t="s">
        <v>108</v>
      </c>
      <c r="B112" s="5">
        <v>1</v>
      </c>
      <c r="C112" s="12">
        <v>12.7326</v>
      </c>
      <c r="D112" s="13">
        <v>230000000000</v>
      </c>
      <c r="E112" s="12">
        <v>70</v>
      </c>
      <c r="F112" s="12">
        <v>1</v>
      </c>
      <c r="G112" s="14">
        <v>45258</v>
      </c>
      <c r="H112" s="16">
        <v>0.21666666666666667</v>
      </c>
      <c r="I112" s="14">
        <v>45258</v>
      </c>
      <c r="J112" s="14">
        <v>45262</v>
      </c>
      <c r="K112" s="12">
        <v>9823290374</v>
      </c>
      <c r="L112" s="12">
        <v>9860937660</v>
      </c>
      <c r="M112" s="12">
        <v>4</v>
      </c>
      <c r="N112" s="12">
        <v>1</v>
      </c>
      <c r="O112" s="12">
        <v>1</v>
      </c>
      <c r="P112" s="12">
        <v>2</v>
      </c>
      <c r="Q112" s="12">
        <v>2</v>
      </c>
      <c r="R112" s="12">
        <v>2</v>
      </c>
      <c r="S112" s="12">
        <v>2</v>
      </c>
      <c r="T112" s="12">
        <v>2</v>
      </c>
      <c r="U112" s="12">
        <v>2</v>
      </c>
      <c r="V112" s="12">
        <v>2</v>
      </c>
      <c r="W112" s="12" t="s">
        <v>109</v>
      </c>
      <c r="X112" s="12">
        <v>13.5</v>
      </c>
      <c r="Y112" s="12">
        <v>40.6</v>
      </c>
      <c r="Z112" s="12"/>
      <c r="AA112" s="12">
        <v>18.600000000000001</v>
      </c>
      <c r="AB112" s="12">
        <v>6.3</v>
      </c>
      <c r="AC112" s="12"/>
      <c r="AD112" s="12"/>
      <c r="AE112" s="12"/>
      <c r="AF112" s="12"/>
      <c r="AG112" s="12"/>
      <c r="AH112" s="12">
        <v>162</v>
      </c>
      <c r="AI112" s="12"/>
      <c r="AJ112" s="12"/>
      <c r="AK112" s="12" t="s">
        <v>110</v>
      </c>
      <c r="AL112" s="12" t="s">
        <v>111</v>
      </c>
      <c r="AM112" s="12"/>
      <c r="AN112" s="12">
        <v>10</v>
      </c>
      <c r="AO112" s="12">
        <v>1</v>
      </c>
      <c r="AP112" s="12">
        <v>5</v>
      </c>
      <c r="AQ112" s="12">
        <v>3</v>
      </c>
      <c r="AR112" s="12">
        <v>5</v>
      </c>
      <c r="AS112" s="12"/>
      <c r="AT112" s="12">
        <v>1</v>
      </c>
      <c r="AU112" s="12">
        <v>2</v>
      </c>
      <c r="AV112" s="12">
        <v>2</v>
      </c>
      <c r="AW112" s="12"/>
      <c r="AX112" s="12">
        <v>3</v>
      </c>
      <c r="AY112" s="12"/>
      <c r="AZ112" s="12"/>
      <c r="BA112" s="12">
        <v>0</v>
      </c>
      <c r="BB112" s="5">
        <v>1</v>
      </c>
      <c r="BC112" s="12">
        <v>100</v>
      </c>
      <c r="BD112" s="12">
        <v>0</v>
      </c>
      <c r="BE112" s="12">
        <v>0</v>
      </c>
      <c r="BF112" s="12">
        <v>2</v>
      </c>
      <c r="BG112" s="12">
        <v>2</v>
      </c>
      <c r="BH112" s="12">
        <v>1</v>
      </c>
      <c r="BI112" s="12">
        <v>1</v>
      </c>
      <c r="BJ112" s="12">
        <v>1</v>
      </c>
      <c r="BK112" s="12">
        <v>0</v>
      </c>
      <c r="BL112" s="12">
        <v>1</v>
      </c>
      <c r="BM112" s="12">
        <v>2</v>
      </c>
      <c r="BN112" s="12">
        <v>2</v>
      </c>
      <c r="BO112" s="12">
        <v>1</v>
      </c>
      <c r="BP112" s="12">
        <v>1</v>
      </c>
      <c r="BQ112" s="12">
        <v>1</v>
      </c>
      <c r="BR112" s="12">
        <v>15</v>
      </c>
      <c r="BS112" s="12">
        <v>0</v>
      </c>
      <c r="BT112" s="12">
        <v>0</v>
      </c>
      <c r="BU112" s="12" t="s">
        <v>112</v>
      </c>
    </row>
    <row r="113" spans="1:73" x14ac:dyDescent="0.25">
      <c r="A113" s="12" t="s">
        <v>119</v>
      </c>
      <c r="B113" s="5">
        <v>1</v>
      </c>
      <c r="C113" s="12">
        <v>12.2628</v>
      </c>
      <c r="D113" s="13">
        <v>230000000000</v>
      </c>
      <c r="E113" s="12">
        <v>30</v>
      </c>
      <c r="F113" s="12">
        <v>1</v>
      </c>
      <c r="G113" s="14">
        <v>45220</v>
      </c>
      <c r="H113" s="16">
        <v>0.1875</v>
      </c>
      <c r="I113" s="14">
        <v>45220</v>
      </c>
      <c r="J113" s="14">
        <v>45220</v>
      </c>
      <c r="K113" s="12">
        <v>8805207125</v>
      </c>
      <c r="L113" s="12"/>
      <c r="M113" s="12">
        <v>9</v>
      </c>
      <c r="N113" s="12">
        <v>2</v>
      </c>
      <c r="O113" s="12">
        <v>2</v>
      </c>
      <c r="P113" s="12">
        <v>1</v>
      </c>
      <c r="Q113" s="12">
        <v>1</v>
      </c>
      <c r="R113" s="12">
        <v>2</v>
      </c>
      <c r="S113" s="12">
        <v>2</v>
      </c>
      <c r="T113" s="12">
        <v>2</v>
      </c>
      <c r="U113" s="12">
        <v>2</v>
      </c>
      <c r="V113" s="12">
        <v>2</v>
      </c>
      <c r="W113" s="12" t="s">
        <v>120</v>
      </c>
      <c r="X113" s="12"/>
      <c r="Y113" s="12"/>
      <c r="Z113" s="12"/>
      <c r="AA113" s="12"/>
      <c r="AB113" s="12"/>
      <c r="AC113" s="12"/>
      <c r="AD113" s="12"/>
      <c r="AE113" s="12"/>
      <c r="AF113" s="12"/>
      <c r="AG113" s="12"/>
      <c r="AH113" s="12"/>
      <c r="AI113" s="12"/>
      <c r="AJ113" s="12"/>
      <c r="AK113" s="12" t="s">
        <v>121</v>
      </c>
      <c r="AL113" s="12" t="s">
        <v>122</v>
      </c>
      <c r="AM113" s="12" t="s">
        <v>123</v>
      </c>
      <c r="AN113" s="12">
        <v>10</v>
      </c>
      <c r="AO113" s="12">
        <v>2</v>
      </c>
      <c r="AP113" s="12">
        <v>2</v>
      </c>
      <c r="AQ113" s="12">
        <v>2</v>
      </c>
      <c r="AR113" s="12">
        <v>4</v>
      </c>
      <c r="AS113" s="12"/>
      <c r="AT113" s="12"/>
      <c r="AU113" s="12"/>
      <c r="AV113" s="12"/>
      <c r="AW113" s="12"/>
      <c r="AX113" s="12"/>
      <c r="AY113" s="12"/>
      <c r="AZ113" s="12"/>
      <c r="BA113" s="12">
        <v>0</v>
      </c>
      <c r="BB113" s="5">
        <v>1</v>
      </c>
      <c r="BC113" s="12">
        <v>100</v>
      </c>
      <c r="BD113" s="12">
        <v>1</v>
      </c>
      <c r="BE113" s="12">
        <v>2</v>
      </c>
      <c r="BF113" s="12">
        <v>0</v>
      </c>
      <c r="BG113" s="12">
        <v>0</v>
      </c>
      <c r="BH113" s="12">
        <v>1</v>
      </c>
      <c r="BI113" s="12">
        <v>1</v>
      </c>
      <c r="BJ113" s="12">
        <v>1</v>
      </c>
      <c r="BK113" s="12">
        <v>1</v>
      </c>
      <c r="BL113" s="12">
        <v>2</v>
      </c>
      <c r="BM113" s="12">
        <v>2</v>
      </c>
      <c r="BN113" s="12">
        <v>2</v>
      </c>
      <c r="BO113" s="12">
        <v>1</v>
      </c>
      <c r="BP113" s="12">
        <v>1</v>
      </c>
      <c r="BQ113" s="12">
        <v>1</v>
      </c>
      <c r="BR113" s="12">
        <v>16</v>
      </c>
      <c r="BS113" s="12">
        <v>1</v>
      </c>
      <c r="BT113" s="12">
        <v>1</v>
      </c>
      <c r="BU113" s="12"/>
    </row>
    <row r="114" spans="1:73" x14ac:dyDescent="0.25">
      <c r="A114" s="12" t="s">
        <v>168</v>
      </c>
      <c r="B114" s="5">
        <v>1</v>
      </c>
      <c r="C114" s="12">
        <v>25.1892</v>
      </c>
      <c r="D114" s="13">
        <v>230000000000</v>
      </c>
      <c r="E114" s="12">
        <v>58</v>
      </c>
      <c r="F114" s="12">
        <v>1</v>
      </c>
      <c r="G114" s="14">
        <v>45285</v>
      </c>
      <c r="H114" s="16">
        <v>0.41666666666666669</v>
      </c>
      <c r="I114" s="14">
        <v>45285</v>
      </c>
      <c r="J114" s="14">
        <v>45292</v>
      </c>
      <c r="K114" s="12">
        <v>8320542903</v>
      </c>
      <c r="L114" s="12"/>
      <c r="M114" s="12">
        <v>10</v>
      </c>
      <c r="N114" s="12">
        <v>2</v>
      </c>
      <c r="O114" s="12">
        <v>1</v>
      </c>
      <c r="P114" s="12">
        <v>2</v>
      </c>
      <c r="Q114" s="12">
        <v>2</v>
      </c>
      <c r="R114" s="12">
        <v>2</v>
      </c>
      <c r="S114" s="12">
        <v>2</v>
      </c>
      <c r="T114" s="12">
        <v>2</v>
      </c>
      <c r="U114" s="12">
        <v>1</v>
      </c>
      <c r="V114" s="12">
        <v>2</v>
      </c>
      <c r="W114" s="12" t="s">
        <v>169</v>
      </c>
      <c r="X114" s="12">
        <v>15.4</v>
      </c>
      <c r="Y114" s="12">
        <v>48.5</v>
      </c>
      <c r="Z114" s="12">
        <v>89.1</v>
      </c>
      <c r="AA114" s="12">
        <v>39.299999999999997</v>
      </c>
      <c r="AB114" s="12">
        <v>6.2</v>
      </c>
      <c r="AC114" s="12">
        <v>186</v>
      </c>
      <c r="AD114" s="12">
        <v>111</v>
      </c>
      <c r="AE114" s="12">
        <v>32</v>
      </c>
      <c r="AF114" s="12">
        <v>42</v>
      </c>
      <c r="AG114" s="12">
        <v>212</v>
      </c>
      <c r="AH114" s="12">
        <v>148</v>
      </c>
      <c r="AI114" s="12"/>
      <c r="AJ114" s="12"/>
      <c r="AK114" s="12" t="s">
        <v>170</v>
      </c>
      <c r="AL114" s="12"/>
      <c r="AM114" s="12"/>
      <c r="AN114" s="12">
        <v>10</v>
      </c>
      <c r="AO114" s="12">
        <v>1</v>
      </c>
      <c r="AP114" s="12">
        <v>3</v>
      </c>
      <c r="AQ114" s="12">
        <v>3</v>
      </c>
      <c r="AR114" s="12">
        <v>5</v>
      </c>
      <c r="AS114" s="12"/>
      <c r="AT114" s="12">
        <v>1</v>
      </c>
      <c r="AU114" s="12">
        <v>1</v>
      </c>
      <c r="AV114" s="12">
        <v>2</v>
      </c>
      <c r="AW114" s="12">
        <v>4</v>
      </c>
      <c r="AX114" s="12">
        <v>8</v>
      </c>
      <c r="AY114" s="12">
        <v>2</v>
      </c>
      <c r="AZ114" s="12">
        <v>2</v>
      </c>
      <c r="BA114" s="12">
        <v>0</v>
      </c>
      <c r="BB114" s="5">
        <v>1</v>
      </c>
      <c r="BC114" s="12">
        <v>100</v>
      </c>
      <c r="BD114" s="12">
        <v>0</v>
      </c>
      <c r="BE114" s="12">
        <v>2</v>
      </c>
      <c r="BF114" s="12">
        <v>2</v>
      </c>
      <c r="BG114" s="12">
        <v>2</v>
      </c>
      <c r="BH114" s="12">
        <v>1</v>
      </c>
      <c r="BI114" s="12">
        <v>1</v>
      </c>
      <c r="BJ114" s="12">
        <v>1</v>
      </c>
      <c r="BK114" s="12">
        <v>1</v>
      </c>
      <c r="BL114" s="12">
        <v>2</v>
      </c>
      <c r="BM114" s="12">
        <v>2</v>
      </c>
      <c r="BN114" s="12">
        <v>2</v>
      </c>
      <c r="BO114" s="12">
        <v>0</v>
      </c>
      <c r="BP114" s="12">
        <v>0</v>
      </c>
      <c r="BQ114" s="12">
        <v>1</v>
      </c>
      <c r="BR114" s="12">
        <v>17</v>
      </c>
      <c r="BS114" s="12">
        <v>0</v>
      </c>
      <c r="BT114" s="12">
        <v>0</v>
      </c>
      <c r="BU114" s="12"/>
    </row>
    <row r="115" spans="1:73" x14ac:dyDescent="0.25">
      <c r="A115" s="12" t="s">
        <v>276</v>
      </c>
      <c r="B115" s="5">
        <v>1</v>
      </c>
      <c r="C115" s="12">
        <v>12.790699999999999</v>
      </c>
      <c r="D115" s="13">
        <v>230803603</v>
      </c>
      <c r="E115" s="12">
        <v>33</v>
      </c>
      <c r="F115" s="12">
        <v>1</v>
      </c>
      <c r="G115" s="14">
        <v>45161</v>
      </c>
      <c r="H115" s="16">
        <v>0.9375</v>
      </c>
      <c r="I115" s="14">
        <v>45161</v>
      </c>
      <c r="J115" s="14">
        <v>45167</v>
      </c>
      <c r="K115" s="12">
        <v>9637311461</v>
      </c>
      <c r="L115" s="12"/>
      <c r="M115" s="12">
        <v>9</v>
      </c>
      <c r="N115" s="12">
        <v>1</v>
      </c>
      <c r="O115" s="12">
        <v>2</v>
      </c>
      <c r="P115" s="12">
        <v>1</v>
      </c>
      <c r="Q115" s="12">
        <v>1</v>
      </c>
      <c r="R115" s="12">
        <v>2</v>
      </c>
      <c r="S115" s="12">
        <v>2</v>
      </c>
      <c r="T115" s="12">
        <v>2</v>
      </c>
      <c r="U115" s="12">
        <v>1</v>
      </c>
      <c r="V115" s="12">
        <v>2</v>
      </c>
      <c r="W115" s="12" t="s">
        <v>277</v>
      </c>
      <c r="X115" s="12">
        <v>15.9</v>
      </c>
      <c r="Y115" s="12">
        <v>49.5</v>
      </c>
      <c r="Z115" s="12">
        <v>90</v>
      </c>
      <c r="AA115" s="12">
        <v>39.44</v>
      </c>
      <c r="AB115" s="12">
        <v>5.9</v>
      </c>
      <c r="AC115" s="12">
        <v>167</v>
      </c>
      <c r="AD115" s="12">
        <v>107</v>
      </c>
      <c r="AE115" s="12">
        <v>31</v>
      </c>
      <c r="AF115" s="12"/>
      <c r="AG115" s="12">
        <v>142</v>
      </c>
      <c r="AH115" s="12">
        <v>207</v>
      </c>
      <c r="AI115" s="12"/>
      <c r="AJ115" s="12"/>
      <c r="AK115" s="12"/>
      <c r="AL115" s="12"/>
      <c r="AM115" s="12"/>
      <c r="AN115" s="12">
        <v>10</v>
      </c>
      <c r="AO115" s="12">
        <v>1</v>
      </c>
      <c r="AP115" s="12">
        <v>3</v>
      </c>
      <c r="AQ115" s="12">
        <v>3</v>
      </c>
      <c r="AR115" s="12">
        <v>4</v>
      </c>
      <c r="AS115" s="12"/>
      <c r="AT115" s="12">
        <v>1</v>
      </c>
      <c r="AU115" s="12">
        <v>2</v>
      </c>
      <c r="AV115" s="12">
        <v>1</v>
      </c>
      <c r="AW115" s="12">
        <v>1</v>
      </c>
      <c r="AX115" s="12"/>
      <c r="AY115" s="12"/>
      <c r="AZ115" s="12"/>
      <c r="BA115" s="12">
        <v>0</v>
      </c>
      <c r="BB115" s="5">
        <v>1</v>
      </c>
      <c r="BC115" s="12">
        <v>100</v>
      </c>
      <c r="BD115" s="12">
        <v>1</v>
      </c>
      <c r="BE115" s="12">
        <v>2</v>
      </c>
      <c r="BF115" s="12">
        <v>2</v>
      </c>
      <c r="BG115" s="12">
        <v>2</v>
      </c>
      <c r="BH115" s="12">
        <v>1</v>
      </c>
      <c r="BI115" s="12">
        <v>1</v>
      </c>
      <c r="BJ115" s="12">
        <v>1</v>
      </c>
      <c r="BK115" s="12">
        <v>1</v>
      </c>
      <c r="BL115" s="12">
        <v>2</v>
      </c>
      <c r="BM115" s="12">
        <v>2</v>
      </c>
      <c r="BN115" s="12">
        <v>2</v>
      </c>
      <c r="BO115" s="12">
        <v>1</v>
      </c>
      <c r="BP115" s="12">
        <v>0</v>
      </c>
      <c r="BQ115" s="12">
        <v>1</v>
      </c>
      <c r="BR115" s="12">
        <v>19</v>
      </c>
      <c r="BS115" s="12">
        <v>1</v>
      </c>
      <c r="BT115" s="12">
        <v>1</v>
      </c>
      <c r="BU115" s="12"/>
    </row>
    <row r="116" spans="1:73" x14ac:dyDescent="0.25">
      <c r="A116" s="5" t="s">
        <v>282</v>
      </c>
      <c r="B116" s="5">
        <v>1</v>
      </c>
      <c r="C116" s="5">
        <v>24.075199999999999</v>
      </c>
      <c r="D116" s="6">
        <v>160801663</v>
      </c>
      <c r="E116" s="5">
        <v>54</v>
      </c>
      <c r="F116" s="5">
        <v>1</v>
      </c>
      <c r="G116" s="7"/>
      <c r="H116" s="5"/>
      <c r="I116" s="7">
        <v>45022</v>
      </c>
      <c r="J116" s="7">
        <v>45040</v>
      </c>
      <c r="K116" s="5">
        <v>9011184310</v>
      </c>
      <c r="L116" s="5"/>
      <c r="M116" s="5">
        <v>11</v>
      </c>
      <c r="N116" s="5">
        <v>1</v>
      </c>
      <c r="O116" s="5">
        <v>2</v>
      </c>
      <c r="P116" s="5">
        <v>1</v>
      </c>
      <c r="Q116" s="5">
        <v>1</v>
      </c>
      <c r="R116" s="5">
        <v>2</v>
      </c>
      <c r="S116" s="5">
        <v>2</v>
      </c>
      <c r="T116" s="5">
        <v>2</v>
      </c>
      <c r="U116" s="5">
        <v>2</v>
      </c>
      <c r="V116" s="5">
        <v>2</v>
      </c>
      <c r="W116" s="5" t="s">
        <v>283</v>
      </c>
      <c r="X116" s="5">
        <v>11.9</v>
      </c>
      <c r="Y116" s="5">
        <v>40</v>
      </c>
      <c r="Z116" s="5"/>
      <c r="AA116" s="5">
        <v>86.69</v>
      </c>
      <c r="AB116" s="5">
        <v>5.6</v>
      </c>
      <c r="AC116" s="5">
        <v>144</v>
      </c>
      <c r="AD116" s="5">
        <v>70.599999999999994</v>
      </c>
      <c r="AE116" s="5">
        <v>27</v>
      </c>
      <c r="AF116" s="5"/>
      <c r="AG116" s="5">
        <v>232</v>
      </c>
      <c r="AH116" s="5">
        <v>148</v>
      </c>
      <c r="AI116" s="5"/>
      <c r="AJ116" s="5"/>
      <c r="AK116" s="5" t="s">
        <v>284</v>
      </c>
      <c r="AL116" s="5" t="s">
        <v>285</v>
      </c>
      <c r="AM116" s="5"/>
      <c r="AN116" s="5">
        <v>10</v>
      </c>
      <c r="AO116" s="5">
        <v>1</v>
      </c>
      <c r="AP116" s="5">
        <v>3</v>
      </c>
      <c r="AQ116" s="5">
        <v>3</v>
      </c>
      <c r="AR116" s="5">
        <v>5</v>
      </c>
      <c r="AS116" s="5"/>
      <c r="AT116" s="5">
        <v>1</v>
      </c>
      <c r="AU116" s="5">
        <v>1</v>
      </c>
      <c r="AV116" s="5">
        <v>2</v>
      </c>
      <c r="AW116" s="5"/>
      <c r="AX116" s="5"/>
      <c r="AY116" s="5"/>
      <c r="AZ116" s="5"/>
      <c r="BA116" s="5">
        <v>0</v>
      </c>
      <c r="BB116" s="5">
        <v>1</v>
      </c>
      <c r="BC116" s="5">
        <v>100</v>
      </c>
      <c r="BD116" s="5">
        <v>1</v>
      </c>
      <c r="BE116" s="5">
        <v>2</v>
      </c>
      <c r="BF116" s="5">
        <v>2</v>
      </c>
      <c r="BG116" s="5">
        <v>2</v>
      </c>
      <c r="BH116" s="5">
        <v>1</v>
      </c>
      <c r="BI116" s="5">
        <v>1</v>
      </c>
      <c r="BJ116" s="5">
        <v>1</v>
      </c>
      <c r="BK116" s="5">
        <v>1</v>
      </c>
      <c r="BL116" s="5">
        <v>2</v>
      </c>
      <c r="BM116" s="5">
        <v>1</v>
      </c>
      <c r="BN116" s="5">
        <v>2</v>
      </c>
      <c r="BO116" s="5">
        <v>1</v>
      </c>
      <c r="BP116" s="5">
        <v>1</v>
      </c>
      <c r="BQ116" s="5">
        <v>1</v>
      </c>
      <c r="BR116" s="5">
        <v>19</v>
      </c>
      <c r="BS116" s="5">
        <v>0</v>
      </c>
      <c r="BT116" s="5">
        <v>1</v>
      </c>
      <c r="BU116" s="5" t="s">
        <v>286</v>
      </c>
    </row>
    <row r="117" spans="1:73" x14ac:dyDescent="0.25">
      <c r="A117" s="12" t="s">
        <v>292</v>
      </c>
      <c r="B117" s="5">
        <v>1</v>
      </c>
      <c r="C117" s="12">
        <v>31.741900000000001</v>
      </c>
      <c r="D117" s="13">
        <v>230903211</v>
      </c>
      <c r="E117" s="12">
        <v>57</v>
      </c>
      <c r="F117" s="12">
        <v>1</v>
      </c>
      <c r="G117" s="14">
        <v>45189</v>
      </c>
      <c r="H117" s="16">
        <v>0.41666666666666669</v>
      </c>
      <c r="I117" s="14">
        <v>45189</v>
      </c>
      <c r="J117" s="14">
        <v>45198</v>
      </c>
      <c r="K117" s="12"/>
      <c r="L117" s="12"/>
      <c r="M117" s="12">
        <v>1</v>
      </c>
      <c r="N117" s="12">
        <v>1</v>
      </c>
      <c r="O117" s="12">
        <v>1</v>
      </c>
      <c r="P117" s="12">
        <v>2</v>
      </c>
      <c r="Q117" s="12">
        <v>2</v>
      </c>
      <c r="R117" s="12">
        <v>2</v>
      </c>
      <c r="S117" s="12">
        <v>2</v>
      </c>
      <c r="T117" s="12">
        <v>2</v>
      </c>
      <c r="U117" s="12">
        <v>2</v>
      </c>
      <c r="V117" s="12">
        <v>2</v>
      </c>
      <c r="W117" s="12"/>
      <c r="X117" s="12">
        <v>12.3</v>
      </c>
      <c r="Y117" s="12"/>
      <c r="Z117" s="12"/>
      <c r="AA117" s="12">
        <v>77.17</v>
      </c>
      <c r="AB117" s="12">
        <v>8.6</v>
      </c>
      <c r="AC117" s="12">
        <v>180</v>
      </c>
      <c r="AD117" s="12">
        <v>64.8</v>
      </c>
      <c r="AE117" s="12">
        <v>25</v>
      </c>
      <c r="AF117" s="12">
        <v>90.2</v>
      </c>
      <c r="AG117" s="12">
        <v>451</v>
      </c>
      <c r="AH117" s="12"/>
      <c r="AI117" s="12"/>
      <c r="AJ117" s="12"/>
      <c r="AK117" s="12" t="s">
        <v>293</v>
      </c>
      <c r="AL117" s="12" t="s">
        <v>294</v>
      </c>
      <c r="AM117" s="12"/>
      <c r="AN117" s="12">
        <v>10</v>
      </c>
      <c r="AO117" s="12">
        <v>1</v>
      </c>
      <c r="AP117" s="12">
        <v>4</v>
      </c>
      <c r="AQ117" s="12">
        <v>3</v>
      </c>
      <c r="AR117" s="12">
        <v>5</v>
      </c>
      <c r="AS117" s="12"/>
      <c r="AT117" s="12">
        <v>1</v>
      </c>
      <c r="AU117" s="12">
        <v>2</v>
      </c>
      <c r="AV117" s="12">
        <v>1</v>
      </c>
      <c r="AW117" s="12">
        <v>2</v>
      </c>
      <c r="AX117" s="12"/>
      <c r="AY117" s="12"/>
      <c r="AZ117" s="12"/>
      <c r="BA117" s="12">
        <v>0</v>
      </c>
      <c r="BB117" s="5">
        <v>1</v>
      </c>
      <c r="BC117" s="12">
        <v>100</v>
      </c>
      <c r="BD117" s="12">
        <v>1</v>
      </c>
      <c r="BE117" s="12">
        <v>2</v>
      </c>
      <c r="BF117" s="12">
        <v>2</v>
      </c>
      <c r="BG117" s="12">
        <v>2</v>
      </c>
      <c r="BH117" s="12">
        <v>1</v>
      </c>
      <c r="BI117" s="12">
        <v>1</v>
      </c>
      <c r="BJ117" s="12">
        <v>1</v>
      </c>
      <c r="BK117" s="12">
        <v>1</v>
      </c>
      <c r="BL117" s="12">
        <v>2</v>
      </c>
      <c r="BM117" s="12">
        <v>1</v>
      </c>
      <c r="BN117" s="12">
        <v>2</v>
      </c>
      <c r="BO117" s="12">
        <v>1</v>
      </c>
      <c r="BP117" s="12">
        <v>1</v>
      </c>
      <c r="BQ117" s="12">
        <v>1</v>
      </c>
      <c r="BR117" s="12">
        <v>19</v>
      </c>
      <c r="BS117" s="12">
        <v>1</v>
      </c>
      <c r="BT117" s="12">
        <v>1</v>
      </c>
      <c r="BU117" s="12" t="s">
        <v>295</v>
      </c>
    </row>
    <row r="118" spans="1:73" x14ac:dyDescent="0.25">
      <c r="A118" s="12" t="s">
        <v>377</v>
      </c>
      <c r="B118" s="5">
        <v>1</v>
      </c>
      <c r="C118" s="5">
        <v>0.71194100000000005</v>
      </c>
      <c r="D118" s="9">
        <f>VLOOKUP($A118,'[1]24-8-24 DATA ENTRY'!$A$1:$BR$303,3,FALSE)</f>
        <v>240000061390</v>
      </c>
      <c r="E118" s="9">
        <f>VLOOKUP($A118,'[1]24-8-24 DATA ENTRY'!$A$1:$BR$303,4,FALSE)</f>
        <v>58</v>
      </c>
      <c r="F118" s="9">
        <f>VLOOKUP($A118,'[1]24-8-24 DATA ENTRY'!$A$1:$BR$303,5,FALSE)</f>
        <v>1</v>
      </c>
      <c r="G118" s="10">
        <f>VLOOKUP($A118,'[1]24-8-24 DATA ENTRY'!$A$1:$BR$303,6,FALSE)</f>
        <v>45487</v>
      </c>
      <c r="H118" s="9">
        <f>VLOOKUP($A118,'[1]24-8-24 DATA ENTRY'!$A$1:$BR$303,7,FALSE)</f>
        <v>0.41666666666666669</v>
      </c>
      <c r="I118" s="10">
        <f>VLOOKUP($A118,'[1]24-8-24 DATA ENTRY'!$A$1:$BR$303,8,FALSE)</f>
        <v>45487</v>
      </c>
      <c r="J118" s="10">
        <f>VLOOKUP($A118,'[1]24-8-24 DATA ENTRY'!$A$1:$BR$303,9,FALSE)</f>
        <v>0</v>
      </c>
      <c r="K118" s="9">
        <f>VLOOKUP($A118,'[1]24-8-24 DATA ENTRY'!$A$1:$BR$303,10,FALSE)</f>
        <v>9832956169</v>
      </c>
      <c r="L118" s="9">
        <f>VLOOKUP($A118,'[1]24-8-24 DATA ENTRY'!$A$1:$BR$303,11,FALSE)</f>
        <v>0</v>
      </c>
      <c r="M118" s="9">
        <f>VLOOKUP($A118,'[1]24-8-24 DATA ENTRY'!$A$1:$BR$303,12,FALSE)</f>
        <v>2</v>
      </c>
      <c r="N118" s="9">
        <f>VLOOKUP($A118,'[1]24-8-24 DATA ENTRY'!$A$1:$BR$303,13,FALSE)</f>
        <v>1</v>
      </c>
      <c r="O118" s="9">
        <f>VLOOKUP($A118,'[1]24-8-24 DATA ENTRY'!$A$1:$BR$303,14,FALSE)</f>
        <v>2</v>
      </c>
      <c r="P118" s="9">
        <f>VLOOKUP($A118,'[1]24-8-24 DATA ENTRY'!$A$1:$BR$303,15,FALSE)</f>
        <v>2</v>
      </c>
      <c r="Q118" s="9">
        <f>VLOOKUP($A118,'[1]24-8-24 DATA ENTRY'!$A$1:$BR$303,16,FALSE)</f>
        <v>2</v>
      </c>
      <c r="R118" s="9">
        <f>VLOOKUP($A118,'[1]24-8-24 DATA ENTRY'!$A$1:$BR$303,17,FALSE)</f>
        <v>1</v>
      </c>
      <c r="S118" s="9">
        <f>VLOOKUP($A118,'[1]24-8-24 DATA ENTRY'!$A$1:$BR$303,18,FALSE)</f>
        <v>2</v>
      </c>
      <c r="T118" s="9">
        <f>VLOOKUP($A118,'[1]24-8-24 DATA ENTRY'!$A$1:$BR$303,19,FALSE)</f>
        <v>2</v>
      </c>
      <c r="U118" s="9">
        <v>2</v>
      </c>
      <c r="V118" s="9">
        <f>VLOOKUP($A118,'[1]24-8-24 DATA ENTRY'!$A$1:$BR$303,21,FALSE)</f>
        <v>2</v>
      </c>
      <c r="W118" s="9" t="str">
        <f>VLOOKUP($A118,'[1]24-8-24 DATA ENTRY'!$A$1:$BR$303,22,FALSE)</f>
        <v>OPD case</v>
      </c>
      <c r="X118" s="9">
        <f>VLOOKUP($A118,'[1]24-8-24 DATA ENTRY'!$A$1:$BR$303,23,FALSE)</f>
        <v>0</v>
      </c>
      <c r="Y118" s="9">
        <f>VLOOKUP($A118,'[1]24-8-24 DATA ENTRY'!$A$1:$BR$303,24,FALSE)</f>
        <v>0</v>
      </c>
      <c r="Z118" s="9">
        <f>VLOOKUP($A118,'[1]24-8-24 DATA ENTRY'!$A$1:$BR$303,25,FALSE)</f>
        <v>0</v>
      </c>
      <c r="AA118" s="9">
        <f>VLOOKUP($A118,'[1]24-8-24 DATA ENTRY'!$A$1:$BR$303,26,FALSE)</f>
        <v>0</v>
      </c>
      <c r="AB118" s="9">
        <f>VLOOKUP($A118,'[1]24-8-24 DATA ENTRY'!$A$1:$BR$303,27,FALSE)</f>
        <v>0</v>
      </c>
      <c r="AC118" s="9">
        <f>VLOOKUP($A118,'[1]24-8-24 DATA ENTRY'!$A$1:$BR$303,28,FALSE)</f>
        <v>0</v>
      </c>
      <c r="AD118" s="9">
        <f>VLOOKUP($A118,'[1]24-8-24 DATA ENTRY'!$A$1:$BR$303,29,FALSE)</f>
        <v>0</v>
      </c>
      <c r="AE118" s="9">
        <f>VLOOKUP($A118,'[1]24-8-24 DATA ENTRY'!$A$1:$BR$2303,30,FALSE)</f>
        <v>0</v>
      </c>
      <c r="AF118" s="9">
        <f>VLOOKUP($A118,'[1]24-8-24 DATA ENTRY'!$A$1:$BR$303,31,FALSE)</f>
        <v>0</v>
      </c>
      <c r="AG118" s="9">
        <f>VLOOKUP($A118,'[1]24-8-24 DATA ENTRY'!$A$1:$BR$303,32,FALSE)</f>
        <v>0</v>
      </c>
      <c r="AH118" s="9">
        <f>VLOOKUP($A118,'[1]24-8-24 DATA ENTRY'!$A$1:$BR$303,33,FALSE)</f>
        <v>0</v>
      </c>
      <c r="AI118" s="9">
        <f>VLOOKUP($A118,'[1]24-8-24 DATA ENTRY'!$A$1:$BR$303,34,FALSE)</f>
        <v>0</v>
      </c>
      <c r="AJ118" s="9">
        <f>VLOOKUP($A118,'[1]24-8-24 DATA ENTRY'!$A$1:$BR$303,35,FALSE)</f>
        <v>0</v>
      </c>
      <c r="AK118" s="9" t="str">
        <f>VLOOKUP($A118,'[1]24-8-24 DATA ENTRY'!$A$1:$BR$303,36,FALSE)</f>
        <v>Right centrum semiovale infarct</v>
      </c>
      <c r="AL118" s="9" t="str">
        <f>VLOOKUP($A118,'[1]24-8-24 DATA ENTRY'!$A$1:$BR$303,37,FALSE)</f>
        <v>normal</v>
      </c>
      <c r="AM118" s="9">
        <f>VLOOKUP($A118,'[1]24-8-24 DATA ENTRY'!$A$1:$BR$303,38,FALSE)</f>
        <v>0</v>
      </c>
      <c r="AN118" s="9">
        <f>VLOOKUP($A118,'[1]24-8-24 DATA ENTRY'!$A$1:$BR$303,39,FALSE)</f>
        <v>10</v>
      </c>
      <c r="AO118" s="9">
        <f>VLOOKUP($A118,'[1]24-8-24 DATA ENTRY'!$A$1:$BR$303,40,FALSE)</f>
        <v>1</v>
      </c>
      <c r="AP118" s="9">
        <f>VLOOKUP($A118,'[1]24-8-24 DATA ENTRY'!$A$1:$BR$303,41,FALSE)</f>
        <v>5</v>
      </c>
      <c r="AQ118" s="9">
        <f>VLOOKUP($A118,'[1]24-8-24 DATA ENTRY'!$A$1:$BR$303,42,FALSE)</f>
        <v>3</v>
      </c>
      <c r="AR118" s="9">
        <f>VLOOKUP($A118,'[1]24-8-24 DATA ENTRY'!$A$1:$BR$303,43,FALSE)</f>
        <v>5</v>
      </c>
      <c r="AS118" s="9">
        <f>VLOOKUP($A118,'[1]24-8-24 DATA ENTRY'!$A$1:$BR$303,44,FALSE)</f>
        <v>0</v>
      </c>
      <c r="AT118" s="9">
        <f>VLOOKUP($A118,'[1]24-8-24 DATA ENTRY'!$A$1:$BR$303,45,FALSE)</f>
        <v>1</v>
      </c>
      <c r="AU118" s="9">
        <f>VLOOKUP($A118,'[1]24-8-24 DATA ENTRY'!$A$1:$BR$303,46,FALSE)</f>
        <v>1</v>
      </c>
      <c r="AV118" s="9">
        <f>VLOOKUP($A118,'[1]24-8-24 DATA ENTRY'!$A$1:$BR$303,47,FALSE)</f>
        <v>2</v>
      </c>
      <c r="AW118" s="9">
        <f>VLOOKUP($A118,'[1]24-8-24 DATA ENTRY'!$A$1:$BR$303,48,FALSE)</f>
        <v>0</v>
      </c>
      <c r="AX118" s="9">
        <f>VLOOKUP($A118,'[1]24-8-24 DATA ENTRY'!$A$1:$BR$303,49,FALSE)</f>
        <v>0</v>
      </c>
      <c r="AY118" s="9">
        <f>VLOOKUP($A118,'[1]24-8-24 DATA ENTRY'!$A$1:$BR$303,50,FALSE)</f>
        <v>0</v>
      </c>
      <c r="AZ118" s="9">
        <f>VLOOKUP($A118,'[1]24-8-24 DATA ENTRY'!$A$1:$BR$303,51,FALSE)</f>
        <v>0</v>
      </c>
      <c r="BA118" s="9">
        <f>VLOOKUP($A118,'[1]24-8-24 DATA ENTRY'!$A$1:$BR$303,52,FALSE)</f>
        <v>0</v>
      </c>
      <c r="BB118" s="5">
        <v>1</v>
      </c>
      <c r="BC118" s="9">
        <f>VLOOKUP($A118,'[1]24-8-24 DATA ENTRY'!$A$1:$BR$303,53,FALSE)</f>
        <v>100</v>
      </c>
      <c r="BD118" s="12">
        <v>1</v>
      </c>
      <c r="BE118" s="12">
        <v>2</v>
      </c>
      <c r="BF118" s="12">
        <v>2</v>
      </c>
      <c r="BG118" s="12">
        <v>2</v>
      </c>
      <c r="BH118" s="12">
        <v>1</v>
      </c>
      <c r="BI118" s="12">
        <v>1</v>
      </c>
      <c r="BJ118" s="12">
        <v>1</v>
      </c>
      <c r="BK118" s="12">
        <v>1</v>
      </c>
      <c r="BL118" s="12">
        <v>2</v>
      </c>
      <c r="BM118" s="12">
        <v>2</v>
      </c>
      <c r="BN118" s="12">
        <v>2</v>
      </c>
      <c r="BO118" s="12">
        <v>1</v>
      </c>
      <c r="BP118" s="12">
        <v>1</v>
      </c>
      <c r="BQ118" s="12">
        <v>1</v>
      </c>
      <c r="BR118" s="12">
        <v>20</v>
      </c>
      <c r="BS118" s="12">
        <v>1</v>
      </c>
      <c r="BT118" s="12">
        <v>1</v>
      </c>
      <c r="BU118" s="5"/>
    </row>
    <row r="119" spans="1:73" x14ac:dyDescent="0.25">
      <c r="A119" s="8" t="s">
        <v>378</v>
      </c>
      <c r="B119" s="5">
        <v>1</v>
      </c>
      <c r="C119" s="8">
        <v>0.72162800000000005</v>
      </c>
      <c r="D119" s="9">
        <f>VLOOKUP($A119,'[1]24-8-24 DATA ENTRY'!$A$1:$BR$258,3,FALSE)</f>
        <v>240000031562</v>
      </c>
      <c r="E119" s="9">
        <f>VLOOKUP($A119,'[1]24-8-24 DATA ENTRY'!$A$1:$BR$258,4,FALSE)</f>
        <v>50</v>
      </c>
      <c r="F119" s="9">
        <f>VLOOKUP($A119,'[1]24-8-24 DATA ENTRY'!$A$1:$BR$258,5,FALSE)</f>
        <v>1</v>
      </c>
      <c r="G119" s="10">
        <f>VLOOKUP($A119,'[1]24-8-24 DATA ENTRY'!$A$1:$BR$258,6,FALSE)</f>
        <v>45385</v>
      </c>
      <c r="H119" s="9">
        <f>VLOOKUP($A119,'[1]24-8-24 DATA ENTRY'!$A$1:$BR$258,7,FALSE)</f>
        <v>8.3333333333333329E-2</v>
      </c>
      <c r="I119" s="10">
        <f>VLOOKUP($A119,'[1]24-8-24 DATA ENTRY'!$A$1:$BR$258,8,FALSE)</f>
        <v>45385</v>
      </c>
      <c r="J119" s="10">
        <f>VLOOKUP($A119,'[1]24-8-24 DATA ENTRY'!$A$1:$BR$258,9,FALSE)</f>
        <v>45385</v>
      </c>
      <c r="K119" s="9">
        <f>VLOOKUP($A119,'[1]24-8-24 DATA ENTRY'!$A$1:$BR$258,10,FALSE)</f>
        <v>9689125965</v>
      </c>
      <c r="L119" s="9">
        <f>VLOOKUP($A119,'[1]24-8-24 DATA ENTRY'!$A$1:$BR$258,11,FALSE)</f>
        <v>0</v>
      </c>
      <c r="M119" s="9">
        <f>VLOOKUP($A119,'[1]24-8-24 DATA ENTRY'!$A$1:$BR$258,12,FALSE)</f>
        <v>3</v>
      </c>
      <c r="N119" s="9">
        <f>VLOOKUP($A119,'[1]24-8-24 DATA ENTRY'!$A$1:$BR$258,13,FALSE)</f>
        <v>2</v>
      </c>
      <c r="O119" s="9">
        <f>VLOOKUP($A119,'[1]24-8-24 DATA ENTRY'!$A$1:$BR$258,14,FALSE)</f>
        <v>1</v>
      </c>
      <c r="P119" s="9">
        <f>VLOOKUP($A119,'[1]24-8-24 DATA ENTRY'!$A$1:$BR$258,15,FALSE)</f>
        <v>1</v>
      </c>
      <c r="Q119" s="9">
        <f>VLOOKUP($A119,'[1]24-8-24 DATA ENTRY'!$A$1:$BR$258,16,FALSE)</f>
        <v>1</v>
      </c>
      <c r="R119" s="9">
        <f>VLOOKUP($A119,'[1]24-8-24 DATA ENTRY'!$A$1:$BR$258,17,FALSE)</f>
        <v>2</v>
      </c>
      <c r="S119" s="9">
        <f>VLOOKUP($A119,'[1]24-8-24 DATA ENTRY'!$A$1:$BR$258,18,FALSE)</f>
        <v>2</v>
      </c>
      <c r="T119" s="9">
        <f>VLOOKUP($A119,'[1]24-8-24 DATA ENTRY'!$A$1:$BR$258,19,FALSE)</f>
        <v>2</v>
      </c>
      <c r="U119" s="9">
        <f>VLOOKUP($A119,'[1]24-8-24 DATA ENTRY'!$A$1:$BR$258,20,FALSE)</f>
        <v>2</v>
      </c>
      <c r="V119" s="9">
        <f>VLOOKUP($A119,'[1]24-8-24 DATA ENTRY'!$A$1:$BR$258,21,FALSE)</f>
        <v>2</v>
      </c>
      <c r="W119" s="9">
        <f>VLOOKUP($A119,'[1]24-8-24 DATA ENTRY'!$A$1:$BR$258,22,FALSE)</f>
        <v>0</v>
      </c>
      <c r="X119" s="9">
        <f>VLOOKUP($A119,'[1]24-8-24 DATA ENTRY'!$A$1:$BR$258,23,FALSE)</f>
        <v>0</v>
      </c>
      <c r="Y119" s="9">
        <f>VLOOKUP($A119,'[1]24-8-24 DATA ENTRY'!$A$1:$BR$258,24,FALSE)</f>
        <v>0</v>
      </c>
      <c r="Z119" s="9">
        <f>VLOOKUP($A119,'[1]24-8-24 DATA ENTRY'!$A$1:$BR$258,25,FALSE)</f>
        <v>0</v>
      </c>
      <c r="AA119" s="9">
        <f>VLOOKUP($A119,'[1]24-8-24 DATA ENTRY'!$A$1:$BR$258,26,FALSE)</f>
        <v>0</v>
      </c>
      <c r="AB119" s="9">
        <f>VLOOKUP($A119,'[1]24-8-24 DATA ENTRY'!$A$1:$BR$258,27,FALSE)</f>
        <v>0</v>
      </c>
      <c r="AC119" s="9">
        <f>VLOOKUP($A119,'[1]24-8-24 DATA ENTRY'!$A$1:$BR$258,28,FALSE)</f>
        <v>0</v>
      </c>
      <c r="AD119" s="9">
        <f>VLOOKUP($A119,'[1]24-8-24 DATA ENTRY'!$A$1:$BR$258,29,FALSE)</f>
        <v>0</v>
      </c>
      <c r="AE119" s="9">
        <f>VLOOKUP($A119,'[1]24-8-24 DATA ENTRY'!$A$1:$BR$258,30,FALSE)</f>
        <v>0</v>
      </c>
      <c r="AF119" s="9">
        <f>VLOOKUP($A119,'[1]24-8-24 DATA ENTRY'!$A$1:$BR$258,31,FALSE)</f>
        <v>0</v>
      </c>
      <c r="AG119" s="9">
        <f>VLOOKUP($A119,'[1]24-8-24 DATA ENTRY'!$A$1:$BR$258,32,FALSE)</f>
        <v>0</v>
      </c>
      <c r="AH119" s="9">
        <f>VLOOKUP($A119,'[1]24-8-24 DATA ENTRY'!$A$1:$BR$258,33,FALSE)</f>
        <v>0</v>
      </c>
      <c r="AI119" s="9">
        <f>VLOOKUP($A119,'[1]24-8-24 DATA ENTRY'!$A$1:$BR$258,34,FALSE)</f>
        <v>0</v>
      </c>
      <c r="AJ119" s="9">
        <f>VLOOKUP($A119,'[1]24-8-24 DATA ENTRY'!$A$1:$BR$258,35,FALSE)</f>
        <v>0</v>
      </c>
      <c r="AK119" s="9" t="str">
        <f>VLOOKUP($A119,'[1]24-8-24 DATA ENTRY'!$A$1:$BR$258,36,FALSE)</f>
        <v>left posterior limb of internal capsule infarct</v>
      </c>
      <c r="AL119" s="9" t="str">
        <f>VLOOKUP($A119,'[1]24-8-24 DATA ENTRY'!$A$1:$BR$258,37,FALSE)</f>
        <v>left ICA 80% stenosis</v>
      </c>
      <c r="AM119" s="9">
        <f>VLOOKUP($A119,'[1]24-8-24 DATA ENTRY'!$A$1:$BR$258,38,FALSE)</f>
        <v>0</v>
      </c>
      <c r="AN119" s="9">
        <f>VLOOKUP($A119,'[1]24-8-24 DATA ENTRY'!$A$1:$BR$258,39,FALSE)</f>
        <v>10</v>
      </c>
      <c r="AO119" s="9">
        <f>VLOOKUP($A119,'[1]24-8-24 DATA ENTRY'!$A$1:$BR$258,40,FALSE)</f>
        <v>1</v>
      </c>
      <c r="AP119" s="9">
        <f>VLOOKUP($A119,'[1]24-8-24 DATA ENTRY'!$A$1:$BR$258,41,FALSE)</f>
        <v>3</v>
      </c>
      <c r="AQ119" s="9">
        <f>VLOOKUP($A119,'[1]24-8-24 DATA ENTRY'!$A$1:$BR$258,42,FALSE)</f>
        <v>3</v>
      </c>
      <c r="AR119" s="9">
        <f>VLOOKUP($A119,'[1]24-8-24 DATA ENTRY'!$A$1:$BR$258,43,FALSE)</f>
        <v>5</v>
      </c>
      <c r="AS119" s="9">
        <f>VLOOKUP($A119,'[1]24-8-24 DATA ENTRY'!$A$1:$BR$258,44,FALSE)</f>
        <v>0</v>
      </c>
      <c r="AT119" s="9">
        <f>VLOOKUP($A119,'[1]24-8-24 DATA ENTRY'!$A$1:$BR$258,45,FALSE)</f>
        <v>1</v>
      </c>
      <c r="AU119" s="9">
        <f>VLOOKUP($A119,'[1]24-8-24 DATA ENTRY'!$A$1:$BR$258,46,FALSE)</f>
        <v>1</v>
      </c>
      <c r="AV119" s="9">
        <f>VLOOKUP($A119,'[1]24-8-24 DATA ENTRY'!$A$1:$BR$258,47,FALSE)</f>
        <v>0</v>
      </c>
      <c r="AW119" s="9">
        <f>VLOOKUP($A119,'[1]24-8-24 DATA ENTRY'!$A$1:$BR$258,48,FALSE)</f>
        <v>0</v>
      </c>
      <c r="AX119" s="9">
        <f>VLOOKUP($A119,'[1]24-8-24 DATA ENTRY'!$A$1:$BR$258,49,FALSE)</f>
        <v>0</v>
      </c>
      <c r="AY119" s="9">
        <f>VLOOKUP($A119,'[1]24-8-24 DATA ENTRY'!$A$1:$BR$258,50,FALSE)</f>
        <v>0</v>
      </c>
      <c r="AZ119" s="9">
        <f>VLOOKUP($A119,'[1]24-8-24 DATA ENTRY'!$A$1:$BR$258,51,FALSE)</f>
        <v>0</v>
      </c>
      <c r="BA119" s="9">
        <f>VLOOKUP($A119,'[1]24-8-24 DATA ENTRY'!$A$1:$BR$258,52,FALSE)</f>
        <v>0</v>
      </c>
      <c r="BB119" s="5">
        <v>1</v>
      </c>
      <c r="BC119" s="9">
        <f>VLOOKUP($A119,'[1]24-8-24 DATA ENTRY'!$A$1:$BR$258,53,FALSE)</f>
        <v>100</v>
      </c>
      <c r="BD119" s="8">
        <v>1</v>
      </c>
      <c r="BE119" s="8">
        <v>2</v>
      </c>
      <c r="BF119" s="8">
        <v>2</v>
      </c>
      <c r="BG119" s="8">
        <v>2</v>
      </c>
      <c r="BH119" s="8">
        <v>1</v>
      </c>
      <c r="BI119" s="8">
        <v>1</v>
      </c>
      <c r="BJ119" s="8">
        <v>1</v>
      </c>
      <c r="BK119" s="8">
        <v>1</v>
      </c>
      <c r="BL119" s="8">
        <v>2</v>
      </c>
      <c r="BM119" s="8">
        <v>2</v>
      </c>
      <c r="BN119" s="8">
        <v>2</v>
      </c>
      <c r="BO119" s="8">
        <v>1</v>
      </c>
      <c r="BP119" s="8">
        <v>1</v>
      </c>
      <c r="BQ119" s="8">
        <v>1</v>
      </c>
      <c r="BR119" s="8">
        <v>20</v>
      </c>
      <c r="BS119" s="8">
        <v>1</v>
      </c>
      <c r="BT119" s="8">
        <v>1</v>
      </c>
      <c r="BU119" s="8"/>
    </row>
    <row r="120" spans="1:73" x14ac:dyDescent="0.25">
      <c r="A120" s="5" t="s">
        <v>494</v>
      </c>
      <c r="B120" s="5">
        <v>0</v>
      </c>
      <c r="C120" s="5">
        <v>1.8064899999999999</v>
      </c>
      <c r="D120" s="9">
        <f>VLOOKUP($A120,'[1]24-8-24 DATA ENTRY'!$A$1:$BR$303,3,FALSE)</f>
        <v>240000058594</v>
      </c>
      <c r="E120" s="9">
        <f>VLOOKUP($A120,'[1]24-8-24 DATA ENTRY'!$A$1:$BR$303,4,FALSE)</f>
        <v>48</v>
      </c>
      <c r="F120" s="9">
        <f>VLOOKUP($A120,'[1]24-8-24 DATA ENTRY'!$A$1:$BR$303,5,FALSE)</f>
        <v>1</v>
      </c>
      <c r="G120" s="10">
        <f>VLOOKUP($A120,'[1]24-8-24 DATA ENTRY'!$A$1:$BR$303,6,FALSE)</f>
        <v>45477</v>
      </c>
      <c r="H120" s="9">
        <f>VLOOKUP($A120,'[1]24-8-24 DATA ENTRY'!$A$1:$BR$303,7,FALSE)</f>
        <v>0.47916666666666669</v>
      </c>
      <c r="I120" s="10">
        <f>VLOOKUP($A120,'[1]24-8-24 DATA ENTRY'!$A$1:$BR$303,8,FALSE)</f>
        <v>45478</v>
      </c>
      <c r="J120" s="10">
        <f>VLOOKUP($A120,'[1]24-8-24 DATA ENTRY'!$A$1:$BR$303,9,FALSE)</f>
        <v>45479</v>
      </c>
      <c r="K120" s="9">
        <f>VLOOKUP($A120,'[1]24-8-24 DATA ENTRY'!$A$1:$BR$303,10,FALSE)</f>
        <v>7249567458</v>
      </c>
      <c r="L120" s="9">
        <f>VLOOKUP($A120,'[1]24-8-24 DATA ENTRY'!$A$1:$BR$303,11,FALSE)</f>
        <v>7709499969</v>
      </c>
      <c r="M120" s="9">
        <f>VLOOKUP($A120,'[1]24-8-24 DATA ENTRY'!$A$1:$BR$303,12,FALSE)</f>
        <v>6</v>
      </c>
      <c r="N120" s="9">
        <f>VLOOKUP($A120,'[1]24-8-24 DATA ENTRY'!$A$1:$BR$303,13,FALSE)</f>
        <v>1</v>
      </c>
      <c r="O120" s="9">
        <f>VLOOKUP($A120,'[1]24-8-24 DATA ENTRY'!$A$1:$BR$303,14,FALSE)</f>
        <v>2</v>
      </c>
      <c r="P120" s="9">
        <f>VLOOKUP($A120,'[1]24-8-24 DATA ENTRY'!$A$1:$BR$303,15,FALSE)</f>
        <v>2</v>
      </c>
      <c r="Q120" s="9">
        <f>VLOOKUP($A120,'[1]24-8-24 DATA ENTRY'!$A$1:$BR$303,16,FALSE)</f>
        <v>2</v>
      </c>
      <c r="R120" s="9">
        <f>VLOOKUP($A120,'[1]24-8-24 DATA ENTRY'!$A$1:$BR$303,17,FALSE)</f>
        <v>2</v>
      </c>
      <c r="S120" s="9">
        <f>VLOOKUP($A120,'[1]24-8-24 DATA ENTRY'!$A$1:$BR$303,18,FALSE)</f>
        <v>2</v>
      </c>
      <c r="T120" s="9">
        <f>VLOOKUP($A120,'[1]24-8-24 DATA ENTRY'!$A$1:$BR$303,19,FALSE)</f>
        <v>2</v>
      </c>
      <c r="U120" s="9">
        <v>2</v>
      </c>
      <c r="V120" s="9">
        <f>VLOOKUP($A120,'[1]24-8-24 DATA ENTRY'!$A$1:$BR$303,21,FALSE)</f>
        <v>2</v>
      </c>
      <c r="W120" s="9">
        <f>VLOOKUP($A120,'[1]24-8-24 DATA ENTRY'!$A$1:$BR$303,22,FALSE)</f>
        <v>0</v>
      </c>
      <c r="X120" s="9">
        <f>VLOOKUP($A120,'[1]24-8-24 DATA ENTRY'!$A$1:$BR$303,23,FALSE)</f>
        <v>13</v>
      </c>
      <c r="Y120" s="9">
        <f>VLOOKUP($A120,'[1]24-8-24 DATA ENTRY'!$A$1:$BR$303,24,FALSE)</f>
        <v>0</v>
      </c>
      <c r="Z120" s="9">
        <f>VLOOKUP($A120,'[1]24-8-24 DATA ENTRY'!$A$1:$BR$303,25,FALSE)</f>
        <v>0</v>
      </c>
      <c r="AA120" s="9">
        <f>VLOOKUP($A120,'[1]24-8-24 DATA ENTRY'!$A$1:$BR$303,26,FALSE)</f>
        <v>17.5</v>
      </c>
      <c r="AB120" s="9">
        <f>VLOOKUP($A120,'[1]24-8-24 DATA ENTRY'!$A$1:$BR$303,27,FALSE)</f>
        <v>0</v>
      </c>
      <c r="AC120" s="9">
        <f>VLOOKUP($A120,'[1]24-8-24 DATA ENTRY'!$A$1:$BR$303,28,FALSE)</f>
        <v>198</v>
      </c>
      <c r="AD120" s="9">
        <f>VLOOKUP($A120,'[1]24-8-24 DATA ENTRY'!$A$1:$BR$303,29,FALSE)</f>
        <v>142</v>
      </c>
      <c r="AE120" s="9">
        <f>VLOOKUP($A120,'[1]24-8-24 DATA ENTRY'!$A$1:$BR$2303,30,FALSE)</f>
        <v>34</v>
      </c>
      <c r="AF120" s="9">
        <f>VLOOKUP($A120,'[1]24-8-24 DATA ENTRY'!$A$1:$BR$303,31,FALSE)</f>
        <v>21.4</v>
      </c>
      <c r="AG120" s="9">
        <f>VLOOKUP($A120,'[1]24-8-24 DATA ENTRY'!$A$1:$BR$303,32,FALSE)</f>
        <v>107</v>
      </c>
      <c r="AH120" s="9">
        <f>VLOOKUP($A120,'[1]24-8-24 DATA ENTRY'!$A$1:$BR$303,33,FALSE)</f>
        <v>320</v>
      </c>
      <c r="AI120" s="9">
        <f>VLOOKUP($A120,'[1]24-8-24 DATA ENTRY'!$A$1:$BR$303,34,FALSE)</f>
        <v>0</v>
      </c>
      <c r="AJ120" s="9">
        <f>VLOOKUP($A120,'[1]24-8-24 DATA ENTRY'!$A$1:$BR$303,35,FALSE)</f>
        <v>0</v>
      </c>
      <c r="AK120" s="9" t="str">
        <f>VLOOKUP($A120,'[1]24-8-24 DATA ENTRY'!$A$1:$BR$303,36,FALSE)</f>
        <v>Right PLIC and corona radiata infarct</v>
      </c>
      <c r="AL120" s="9" t="str">
        <f>VLOOKUP($A120,'[1]24-8-24 DATA ENTRY'!$A$1:$BR$303,37,FALSE)</f>
        <v>normal</v>
      </c>
      <c r="AM120" s="9">
        <f>VLOOKUP($A120,'[1]24-8-24 DATA ENTRY'!$A$1:$BR$303,38,FALSE)</f>
        <v>0</v>
      </c>
      <c r="AN120" s="9">
        <f>VLOOKUP($A120,'[1]24-8-24 DATA ENTRY'!$A$1:$BR$303,39,FALSE)</f>
        <v>10</v>
      </c>
      <c r="AO120" s="9">
        <f>VLOOKUP($A120,'[1]24-8-24 DATA ENTRY'!$A$1:$BR$303,40,FALSE)</f>
        <v>1</v>
      </c>
      <c r="AP120" s="9">
        <f>VLOOKUP($A120,'[1]24-8-24 DATA ENTRY'!$A$1:$BR$303,41,FALSE)</f>
        <v>5</v>
      </c>
      <c r="AQ120" s="9">
        <f>VLOOKUP($A120,'[1]24-8-24 DATA ENTRY'!$A$1:$BR$303,42,FALSE)</f>
        <v>3</v>
      </c>
      <c r="AR120" s="9">
        <f>VLOOKUP($A120,'[1]24-8-24 DATA ENTRY'!$A$1:$BR$303,43,FALSE)</f>
        <v>5</v>
      </c>
      <c r="AS120" s="9">
        <f>VLOOKUP($A120,'[1]24-8-24 DATA ENTRY'!$A$1:$BR$303,44,FALSE)</f>
        <v>0</v>
      </c>
      <c r="AT120" s="9">
        <f>VLOOKUP($A120,'[1]24-8-24 DATA ENTRY'!$A$1:$BR$303,45,FALSE)</f>
        <v>1</v>
      </c>
      <c r="AU120" s="9">
        <f>VLOOKUP($A120,'[1]24-8-24 DATA ENTRY'!$A$1:$BR$303,46,FALSE)</f>
        <v>1</v>
      </c>
      <c r="AV120" s="9">
        <f>VLOOKUP($A120,'[1]24-8-24 DATA ENTRY'!$A$1:$BR$303,47,FALSE)</f>
        <v>2</v>
      </c>
      <c r="AW120" s="9">
        <f>VLOOKUP($A120,'[1]24-8-24 DATA ENTRY'!$A$1:$BR$303,48,FALSE)</f>
        <v>0</v>
      </c>
      <c r="AX120" s="9">
        <f>VLOOKUP($A120,'[1]24-8-24 DATA ENTRY'!$A$1:$BR$303,49,FALSE)</f>
        <v>0</v>
      </c>
      <c r="AY120" s="9">
        <f>VLOOKUP($A120,'[1]24-8-24 DATA ENTRY'!$A$1:$BR$303,50,FALSE)</f>
        <v>0</v>
      </c>
      <c r="AZ120" s="9">
        <f>VLOOKUP($A120,'[1]24-8-24 DATA ENTRY'!$A$1:$BR$303,51,FALSE)</f>
        <v>0</v>
      </c>
      <c r="BA120" s="9">
        <f>VLOOKUP($A120,'[1]24-8-24 DATA ENTRY'!$A$1:$BR$303,52,FALSE)</f>
        <v>0</v>
      </c>
      <c r="BB120" s="5">
        <v>1</v>
      </c>
      <c r="BC120" s="9">
        <f>VLOOKUP($A120,'[1]24-8-24 DATA ENTRY'!$A$1:$BR$303,53,FALSE)</f>
        <v>100</v>
      </c>
      <c r="BD120" s="5">
        <v>1</v>
      </c>
      <c r="BE120" s="5">
        <v>2</v>
      </c>
      <c r="BF120" s="5">
        <v>2</v>
      </c>
      <c r="BG120" s="5">
        <v>2</v>
      </c>
      <c r="BH120" s="5">
        <v>1</v>
      </c>
      <c r="BI120" s="5">
        <v>1</v>
      </c>
      <c r="BJ120" s="5">
        <v>1</v>
      </c>
      <c r="BK120" s="5">
        <v>1</v>
      </c>
      <c r="BL120" s="5">
        <v>2</v>
      </c>
      <c r="BM120" s="5">
        <v>2</v>
      </c>
      <c r="BN120" s="5">
        <v>2</v>
      </c>
      <c r="BO120" s="5">
        <v>1</v>
      </c>
      <c r="BP120" s="5">
        <v>1</v>
      </c>
      <c r="BQ120" s="5">
        <v>1</v>
      </c>
      <c r="BR120" s="5">
        <v>20</v>
      </c>
      <c r="BS120" s="5">
        <v>1</v>
      </c>
      <c r="BT120" s="5">
        <v>1</v>
      </c>
      <c r="BU120" s="5"/>
    </row>
    <row r="121" spans="1:73" x14ac:dyDescent="0.25">
      <c r="A121" s="5" t="s">
        <v>496</v>
      </c>
      <c r="B121" s="5">
        <v>0</v>
      </c>
      <c r="C121" s="5">
        <v>3.6420400000000002</v>
      </c>
      <c r="D121" s="9">
        <f>VLOOKUP($A121,'[1]24-8-24 DATA ENTRY'!$A$1:$BR$303,3,FALSE)</f>
        <v>240000059229</v>
      </c>
      <c r="E121" s="9">
        <f>VLOOKUP($A121,'[1]24-8-24 DATA ENTRY'!$A$1:$BR$303,4,FALSE)</f>
        <v>65</v>
      </c>
      <c r="F121" s="9">
        <f>VLOOKUP($A121,'[1]24-8-24 DATA ENTRY'!$A$1:$BR$303,5,FALSE)</f>
        <v>2</v>
      </c>
      <c r="G121" s="10">
        <f>VLOOKUP($A121,'[1]24-8-24 DATA ENTRY'!$A$1:$BR$303,6,FALSE)</f>
        <v>45480</v>
      </c>
      <c r="H121" s="9">
        <f>VLOOKUP($A121,'[1]24-8-24 DATA ENTRY'!$A$1:$BR$303,7,FALSE)</f>
        <v>0.90625</v>
      </c>
      <c r="I121" s="10">
        <f>VLOOKUP($A121,'[1]24-8-24 DATA ENTRY'!$A$1:$BR$303,8,FALSE)</f>
        <v>45480</v>
      </c>
      <c r="J121" s="10">
        <f>VLOOKUP($A121,'[1]24-8-24 DATA ENTRY'!$A$1:$BR$303,9,FALSE)</f>
        <v>0</v>
      </c>
      <c r="K121" s="9">
        <f>VLOOKUP($A121,'[1]24-8-24 DATA ENTRY'!$A$1:$BR$303,10,FALSE)</f>
        <v>9096181488</v>
      </c>
      <c r="L121" s="9">
        <f>VLOOKUP($A121,'[1]24-8-24 DATA ENTRY'!$A$1:$BR$303,11,FALSE)</f>
        <v>0</v>
      </c>
      <c r="M121" s="9">
        <f>VLOOKUP($A121,'[1]24-8-24 DATA ENTRY'!$A$1:$BR$303,12,FALSE)</f>
        <v>6</v>
      </c>
      <c r="N121" s="9">
        <f>VLOOKUP($A121,'[1]24-8-24 DATA ENTRY'!$A$1:$BR$303,13,FALSE)</f>
        <v>2</v>
      </c>
      <c r="O121" s="9">
        <f>VLOOKUP($A121,'[1]24-8-24 DATA ENTRY'!$A$1:$BR$303,14,FALSE)</f>
        <v>2</v>
      </c>
      <c r="P121" s="9">
        <f>VLOOKUP($A121,'[1]24-8-24 DATA ENTRY'!$A$1:$BR$303,15,FALSE)</f>
        <v>2</v>
      </c>
      <c r="Q121" s="9">
        <f>VLOOKUP($A121,'[1]24-8-24 DATA ENTRY'!$A$1:$BR$303,16,FALSE)</f>
        <v>2</v>
      </c>
      <c r="R121" s="9">
        <f>VLOOKUP($A121,'[1]24-8-24 DATA ENTRY'!$A$1:$BR$303,17,FALSE)</f>
        <v>1</v>
      </c>
      <c r="S121" s="9">
        <f>VLOOKUP($A121,'[1]24-8-24 DATA ENTRY'!$A$1:$BR$303,18,FALSE)</f>
        <v>2</v>
      </c>
      <c r="T121" s="9">
        <f>VLOOKUP($A121,'[1]24-8-24 DATA ENTRY'!$A$1:$BR$303,19,FALSE)</f>
        <v>1</v>
      </c>
      <c r="U121" s="9">
        <v>2</v>
      </c>
      <c r="V121" s="9">
        <f>VLOOKUP($A121,'[1]24-8-24 DATA ENTRY'!$A$1:$BR$303,21,FALSE)</f>
        <v>2</v>
      </c>
      <c r="W121" s="9">
        <f>VLOOKUP($A121,'[1]24-8-24 DATA ENTRY'!$A$1:$BR$303,22,FALSE)</f>
        <v>0</v>
      </c>
      <c r="X121" s="9">
        <f>VLOOKUP($A121,'[1]24-8-24 DATA ENTRY'!$A$1:$BR$303,23,FALSE)</f>
        <v>12.3</v>
      </c>
      <c r="Y121" s="9">
        <f>VLOOKUP($A121,'[1]24-8-24 DATA ENTRY'!$A$1:$BR$303,24,FALSE)</f>
        <v>37.200000000000003</v>
      </c>
      <c r="Z121" s="9">
        <f>VLOOKUP($A121,'[1]24-8-24 DATA ENTRY'!$A$1:$BR$303,25,FALSE)</f>
        <v>92.4</v>
      </c>
      <c r="AA121" s="9">
        <f>VLOOKUP($A121,'[1]24-8-24 DATA ENTRY'!$A$1:$BR$303,26,FALSE)</f>
        <v>10.210000000000001</v>
      </c>
      <c r="AB121" s="9">
        <f>VLOOKUP($A121,'[1]24-8-24 DATA ENTRY'!$A$1:$BR$303,27,FALSE)</f>
        <v>0</v>
      </c>
      <c r="AC121" s="9">
        <f>VLOOKUP($A121,'[1]24-8-24 DATA ENTRY'!$A$1:$BR$303,28,FALSE)</f>
        <v>0</v>
      </c>
      <c r="AD121" s="9">
        <f>VLOOKUP($A121,'[1]24-8-24 DATA ENTRY'!$A$1:$BR$303,29,FALSE)</f>
        <v>0</v>
      </c>
      <c r="AE121" s="9">
        <f>VLOOKUP($A121,'[1]24-8-24 DATA ENTRY'!$A$1:$BR$2303,30,FALSE)</f>
        <v>0</v>
      </c>
      <c r="AF121" s="9">
        <f>VLOOKUP($A121,'[1]24-8-24 DATA ENTRY'!$A$1:$BR$303,31,FALSE)</f>
        <v>0</v>
      </c>
      <c r="AG121" s="9">
        <f>VLOOKUP($A121,'[1]24-8-24 DATA ENTRY'!$A$1:$BR$303,32,FALSE)</f>
        <v>0</v>
      </c>
      <c r="AH121" s="9">
        <f>VLOOKUP($A121,'[1]24-8-24 DATA ENTRY'!$A$1:$BR$303,33,FALSE)</f>
        <v>2000</v>
      </c>
      <c r="AI121" s="9">
        <f>VLOOKUP($A121,'[1]24-8-24 DATA ENTRY'!$A$1:$BR$303,34,FALSE)</f>
        <v>0</v>
      </c>
      <c r="AJ121" s="9">
        <f>VLOOKUP($A121,'[1]24-8-24 DATA ENTRY'!$A$1:$BR$303,35,FALSE)</f>
        <v>0</v>
      </c>
      <c r="AK121" s="9" t="str">
        <f>VLOOKUP($A121,'[1]24-8-24 DATA ENTRY'!$A$1:$BR$303,36,FALSE)</f>
        <v>acute infarct Rt superior &amp; middle frontal gyrus</v>
      </c>
      <c r="AL121" s="9" t="str">
        <f>VLOOKUP($A121,'[1]24-8-24 DATA ENTRY'!$A$1:$BR$303,37,FALSE)</f>
        <v>mild left M1 stenosis rt normal</v>
      </c>
      <c r="AM121" s="9">
        <f>VLOOKUP($A121,'[1]24-8-24 DATA ENTRY'!$A$1:$BR$303,38,FALSE)</f>
        <v>0</v>
      </c>
      <c r="AN121" s="9">
        <f>VLOOKUP($A121,'[1]24-8-24 DATA ENTRY'!$A$1:$BR$303,39,FALSE)</f>
        <v>10</v>
      </c>
      <c r="AO121" s="9">
        <f>VLOOKUP($A121,'[1]24-8-24 DATA ENTRY'!$A$1:$BR$303,40,FALSE)</f>
        <v>1</v>
      </c>
      <c r="AP121" s="9">
        <f>VLOOKUP($A121,'[1]24-8-24 DATA ENTRY'!$A$1:$BR$303,41,FALSE)</f>
        <v>3</v>
      </c>
      <c r="AQ121" s="9">
        <f>VLOOKUP($A121,'[1]24-8-24 DATA ENTRY'!$A$1:$BR$303,42,FALSE)</f>
        <v>3</v>
      </c>
      <c r="AR121" s="9">
        <f>VLOOKUP($A121,'[1]24-8-24 DATA ENTRY'!$A$1:$BR$303,43,FALSE)</f>
        <v>4</v>
      </c>
      <c r="AS121" s="9">
        <f>VLOOKUP($A121,'[1]24-8-24 DATA ENTRY'!$A$1:$BR$303,44,FALSE)</f>
        <v>0</v>
      </c>
      <c r="AT121" s="9">
        <f>VLOOKUP($A121,'[1]24-8-24 DATA ENTRY'!$A$1:$BR$303,45,FALSE)</f>
        <v>1</v>
      </c>
      <c r="AU121" s="9">
        <f>VLOOKUP($A121,'[1]24-8-24 DATA ENTRY'!$A$1:$BR$303,46,FALSE)</f>
        <v>2</v>
      </c>
      <c r="AV121" s="9">
        <f>VLOOKUP($A121,'[1]24-8-24 DATA ENTRY'!$A$1:$BR$303,47,FALSE)</f>
        <v>1</v>
      </c>
      <c r="AW121" s="9">
        <f>VLOOKUP($A121,'[1]24-8-24 DATA ENTRY'!$A$1:$BR$303,48,FALSE)</f>
        <v>2</v>
      </c>
      <c r="AX121" s="9">
        <f>VLOOKUP($A121,'[1]24-8-24 DATA ENTRY'!$A$1:$BR$303,49,FALSE)</f>
        <v>0</v>
      </c>
      <c r="AY121" s="9">
        <f>VLOOKUP($A121,'[1]24-8-24 DATA ENTRY'!$A$1:$BR$303,50,FALSE)</f>
        <v>0</v>
      </c>
      <c r="AZ121" s="9">
        <f>VLOOKUP($A121,'[1]24-8-24 DATA ENTRY'!$A$1:$BR$303,51,FALSE)</f>
        <v>0</v>
      </c>
      <c r="BA121" s="9">
        <f>VLOOKUP($A121,'[1]24-8-24 DATA ENTRY'!$A$1:$BR$303,52,FALSE)</f>
        <v>0</v>
      </c>
      <c r="BB121" s="5">
        <v>1</v>
      </c>
      <c r="BC121" s="9">
        <f>VLOOKUP($A121,'[1]24-8-24 DATA ENTRY'!$A$1:$BR$303,53,FALSE)</f>
        <v>100</v>
      </c>
      <c r="BD121" s="5">
        <v>1</v>
      </c>
      <c r="BE121" s="5">
        <v>2</v>
      </c>
      <c r="BF121" s="5">
        <v>2</v>
      </c>
      <c r="BG121" s="5">
        <v>2</v>
      </c>
      <c r="BH121" s="5">
        <v>1</v>
      </c>
      <c r="BI121" s="5">
        <v>1</v>
      </c>
      <c r="BJ121" s="5">
        <v>1</v>
      </c>
      <c r="BK121" s="5">
        <v>1</v>
      </c>
      <c r="BL121" s="5">
        <v>2</v>
      </c>
      <c r="BM121" s="5">
        <v>1</v>
      </c>
      <c r="BN121" s="5">
        <v>2</v>
      </c>
      <c r="BO121" s="5">
        <v>1</v>
      </c>
      <c r="BP121" s="5">
        <v>1</v>
      </c>
      <c r="BQ121" s="5">
        <v>1</v>
      </c>
      <c r="BR121" s="5">
        <v>19</v>
      </c>
      <c r="BS121" s="5">
        <v>1</v>
      </c>
      <c r="BT121" s="5">
        <v>1</v>
      </c>
      <c r="BU121" s="5"/>
    </row>
    <row r="122" spans="1:73" x14ac:dyDescent="0.25">
      <c r="A122" s="5" t="s">
        <v>497</v>
      </c>
      <c r="B122" s="5">
        <v>0</v>
      </c>
      <c r="C122" s="5">
        <v>4.5816100000000004</v>
      </c>
      <c r="D122" s="9">
        <f>VLOOKUP($A122,'[1]24-8-24 DATA ENTRY'!$A$1:$BR$303,3,FALSE)</f>
        <v>240000059976</v>
      </c>
      <c r="E122" s="9">
        <f>VLOOKUP($A122,'[1]24-8-24 DATA ENTRY'!$A$1:$BR$303,4,FALSE)</f>
        <v>50</v>
      </c>
      <c r="F122" s="9">
        <f>VLOOKUP($A122,'[1]24-8-24 DATA ENTRY'!$A$1:$BR$303,5,FALSE)</f>
        <v>2</v>
      </c>
      <c r="G122" s="10">
        <f>VLOOKUP($A122,'[1]24-8-24 DATA ENTRY'!$A$1:$BR$303,6,FALSE)</f>
        <v>45483</v>
      </c>
      <c r="H122" s="9">
        <f>VLOOKUP($A122,'[1]24-8-24 DATA ENTRY'!$A$1:$BR$303,7,FALSE)</f>
        <v>0.28125</v>
      </c>
      <c r="I122" s="10">
        <f>VLOOKUP($A122,'[1]24-8-24 DATA ENTRY'!$A$1:$BR$303,8,FALSE)</f>
        <v>45483</v>
      </c>
      <c r="J122" s="10">
        <f>VLOOKUP($A122,'[1]24-8-24 DATA ENTRY'!$A$1:$BR$303,9,FALSE)</f>
        <v>0</v>
      </c>
      <c r="K122" s="9">
        <f>VLOOKUP($A122,'[1]24-8-24 DATA ENTRY'!$A$1:$BR$303,10,FALSE)</f>
        <v>9096343363</v>
      </c>
      <c r="L122" s="9">
        <f>VLOOKUP($A122,'[1]24-8-24 DATA ENTRY'!$A$1:$BR$303,11,FALSE)</f>
        <v>0</v>
      </c>
      <c r="M122" s="9">
        <f>VLOOKUP($A122,'[1]24-8-24 DATA ENTRY'!$A$1:$BR$303,12,FALSE)</f>
        <v>3</v>
      </c>
      <c r="N122" s="9">
        <f>VLOOKUP($A122,'[1]24-8-24 DATA ENTRY'!$A$1:$BR$303,13,FALSE)</f>
        <v>2</v>
      </c>
      <c r="O122" s="9">
        <f>VLOOKUP($A122,'[1]24-8-24 DATA ENTRY'!$A$1:$BR$303,14,FALSE)</f>
        <v>2</v>
      </c>
      <c r="P122" s="9">
        <f>VLOOKUP($A122,'[1]24-8-24 DATA ENTRY'!$A$1:$BR$303,15,FALSE)</f>
        <v>2</v>
      </c>
      <c r="Q122" s="9">
        <f>VLOOKUP($A122,'[1]24-8-24 DATA ENTRY'!$A$1:$BR$303,16,FALSE)</f>
        <v>2</v>
      </c>
      <c r="R122" s="9">
        <f>VLOOKUP($A122,'[1]24-8-24 DATA ENTRY'!$A$1:$BR$303,17,FALSE)</f>
        <v>1</v>
      </c>
      <c r="S122" s="9">
        <f>VLOOKUP($A122,'[1]24-8-24 DATA ENTRY'!$A$1:$BR$303,18,FALSE)</f>
        <v>2</v>
      </c>
      <c r="T122" s="9">
        <f>VLOOKUP($A122,'[1]24-8-24 DATA ENTRY'!$A$1:$BR$303,19,FALSE)</f>
        <v>2</v>
      </c>
      <c r="U122" s="9">
        <v>2</v>
      </c>
      <c r="V122" s="9">
        <f>VLOOKUP($A122,'[1]24-8-24 DATA ENTRY'!$A$1:$BR$303,21,FALSE)</f>
        <v>2</v>
      </c>
      <c r="W122" s="9">
        <f>VLOOKUP($A122,'[1]24-8-24 DATA ENTRY'!$A$1:$BR$303,22,FALSE)</f>
        <v>0</v>
      </c>
      <c r="X122" s="9">
        <f>VLOOKUP($A122,'[1]24-8-24 DATA ENTRY'!$A$1:$BR$303,23,FALSE)</f>
        <v>13.2</v>
      </c>
      <c r="Y122" s="9">
        <f>VLOOKUP($A122,'[1]24-8-24 DATA ENTRY'!$A$1:$BR$303,24,FALSE)</f>
        <v>40.299999999999997</v>
      </c>
      <c r="Z122" s="9">
        <f>VLOOKUP($A122,'[1]24-8-24 DATA ENTRY'!$A$1:$BR$303,25,FALSE)</f>
        <v>76.5</v>
      </c>
      <c r="AA122" s="9">
        <f>VLOOKUP($A122,'[1]24-8-24 DATA ENTRY'!$A$1:$BR$303,26,FALSE)</f>
        <v>7.35</v>
      </c>
      <c r="AB122" s="9">
        <f>VLOOKUP($A122,'[1]24-8-24 DATA ENTRY'!$A$1:$BR$303,27,FALSE)</f>
        <v>5.8</v>
      </c>
      <c r="AC122" s="9">
        <f>VLOOKUP($A122,'[1]24-8-24 DATA ENTRY'!$A$1:$BR$303,28,FALSE)</f>
        <v>173</v>
      </c>
      <c r="AD122" s="9">
        <f>VLOOKUP($A122,'[1]24-8-24 DATA ENTRY'!$A$1:$BR$303,29,FALSE)</f>
        <v>102.8</v>
      </c>
      <c r="AE122" s="9">
        <f>VLOOKUP($A122,'[1]24-8-24 DATA ENTRY'!$A$1:$BR$2303,30,FALSE)</f>
        <v>39</v>
      </c>
      <c r="AF122" s="9">
        <f>VLOOKUP($A122,'[1]24-8-24 DATA ENTRY'!$A$1:$BR$303,31,FALSE)</f>
        <v>31.2</v>
      </c>
      <c r="AG122" s="9">
        <f>VLOOKUP($A122,'[1]24-8-24 DATA ENTRY'!$A$1:$BR$303,32,FALSE)</f>
        <v>156</v>
      </c>
      <c r="AH122" s="9">
        <f>VLOOKUP($A122,'[1]24-8-24 DATA ENTRY'!$A$1:$BR$303,33,FALSE)</f>
        <v>1099</v>
      </c>
      <c r="AI122" s="9">
        <f>VLOOKUP($A122,'[1]24-8-24 DATA ENTRY'!$A$1:$BR$303,34,FALSE)</f>
        <v>0</v>
      </c>
      <c r="AJ122" s="9">
        <f>VLOOKUP($A122,'[1]24-8-24 DATA ENTRY'!$A$1:$BR$303,35,FALSE)</f>
        <v>0</v>
      </c>
      <c r="AK122" s="9" t="str">
        <f>VLOOKUP($A122,'[1]24-8-24 DATA ENTRY'!$A$1:$BR$303,36,FALSE)</f>
        <v>left insular infarct</v>
      </c>
      <c r="AL122" s="9" t="str">
        <f>VLOOKUP($A122,'[1]24-8-24 DATA ENTRY'!$A$1:$BR$303,37,FALSE)</f>
        <v>left ica occluded from origin (100%) and left M3 infarct</v>
      </c>
      <c r="AM122" s="9">
        <f>VLOOKUP($A122,'[1]24-8-24 DATA ENTRY'!$A$1:$BR$303,38,FALSE)</f>
        <v>0</v>
      </c>
      <c r="AN122" s="9">
        <f>VLOOKUP($A122,'[1]24-8-24 DATA ENTRY'!$A$1:$BR$303,39,FALSE)</f>
        <v>10</v>
      </c>
      <c r="AO122" s="9">
        <f>VLOOKUP($A122,'[1]24-8-24 DATA ENTRY'!$A$1:$BR$303,40,FALSE)</f>
        <v>2</v>
      </c>
      <c r="AP122" s="9">
        <f>VLOOKUP($A122,'[1]24-8-24 DATA ENTRY'!$A$1:$BR$303,41,FALSE)</f>
        <v>2</v>
      </c>
      <c r="AQ122" s="9">
        <f>VLOOKUP($A122,'[1]24-8-24 DATA ENTRY'!$A$1:$BR$303,42,FALSE)</f>
        <v>1</v>
      </c>
      <c r="AR122" s="9">
        <f>VLOOKUP($A122,'[1]24-8-24 DATA ENTRY'!$A$1:$BR$303,43,FALSE)</f>
        <v>4</v>
      </c>
      <c r="AS122" s="9">
        <f>VLOOKUP($A122,'[1]24-8-24 DATA ENTRY'!$A$1:$BR$303,44,FALSE)</f>
        <v>0</v>
      </c>
      <c r="AT122" s="9">
        <f>VLOOKUP($A122,'[1]24-8-24 DATA ENTRY'!$A$1:$BR$303,45,FALSE)</f>
        <v>1</v>
      </c>
      <c r="AU122" s="9">
        <f>VLOOKUP($A122,'[1]24-8-24 DATA ENTRY'!$A$1:$BR$303,46,FALSE)</f>
        <v>1</v>
      </c>
      <c r="AV122" s="9">
        <f>VLOOKUP($A122,'[1]24-8-24 DATA ENTRY'!$A$1:$BR$303,47,FALSE)</f>
        <v>2</v>
      </c>
      <c r="AW122" s="9">
        <f>VLOOKUP($A122,'[1]24-8-24 DATA ENTRY'!$A$1:$BR$303,48,FALSE)</f>
        <v>0</v>
      </c>
      <c r="AX122" s="9">
        <f>VLOOKUP($A122,'[1]24-8-24 DATA ENTRY'!$A$1:$BR$303,49,FALSE)</f>
        <v>0</v>
      </c>
      <c r="AY122" s="9">
        <f>VLOOKUP($A122,'[1]24-8-24 DATA ENTRY'!$A$1:$BR$303,50,FALSE)</f>
        <v>0</v>
      </c>
      <c r="AZ122" s="9">
        <f>VLOOKUP($A122,'[1]24-8-24 DATA ENTRY'!$A$1:$BR$303,51,FALSE)</f>
        <v>0</v>
      </c>
      <c r="BA122" s="9">
        <f>VLOOKUP($A122,'[1]24-8-24 DATA ENTRY'!$A$1:$BR$303,52,FALSE)</f>
        <v>0</v>
      </c>
      <c r="BB122" s="5">
        <v>1</v>
      </c>
      <c r="BC122" s="9">
        <f>VLOOKUP($A122,'[1]24-8-24 DATA ENTRY'!$A$1:$BR$303,53,FALSE)</f>
        <v>100</v>
      </c>
      <c r="BD122" s="5">
        <v>1</v>
      </c>
      <c r="BE122" s="5">
        <v>2</v>
      </c>
      <c r="BF122" s="5">
        <v>2</v>
      </c>
      <c r="BG122" s="5">
        <v>2</v>
      </c>
      <c r="BH122" s="5">
        <v>1</v>
      </c>
      <c r="BI122" s="5">
        <v>1</v>
      </c>
      <c r="BJ122" s="5">
        <v>1</v>
      </c>
      <c r="BK122" s="5">
        <v>0</v>
      </c>
      <c r="BL122" s="5">
        <v>2</v>
      </c>
      <c r="BM122" s="5">
        <v>2</v>
      </c>
      <c r="BN122" s="5">
        <v>0</v>
      </c>
      <c r="BO122" s="5">
        <v>1</v>
      </c>
      <c r="BP122" s="5">
        <v>1</v>
      </c>
      <c r="BQ122" s="5">
        <v>1</v>
      </c>
      <c r="BR122" s="5">
        <v>18</v>
      </c>
      <c r="BS122" s="5">
        <v>0</v>
      </c>
      <c r="BT122" s="5">
        <v>1</v>
      </c>
      <c r="BU122" s="5"/>
    </row>
    <row r="123" spans="1:73" x14ac:dyDescent="0.25">
      <c r="A123" s="5" t="s">
        <v>579</v>
      </c>
      <c r="B123" s="5">
        <v>0</v>
      </c>
      <c r="C123" s="5">
        <v>2.6346699999999998</v>
      </c>
      <c r="D123" s="6">
        <v>23000005509</v>
      </c>
      <c r="E123" s="5">
        <v>51</v>
      </c>
      <c r="F123" s="5">
        <v>1</v>
      </c>
      <c r="G123" s="7">
        <v>45226</v>
      </c>
      <c r="H123" s="11">
        <v>0.27083333333333331</v>
      </c>
      <c r="I123" s="7">
        <v>45226</v>
      </c>
      <c r="J123" s="7">
        <v>45230</v>
      </c>
      <c r="K123" s="5">
        <v>9551709709</v>
      </c>
      <c r="L123" s="5"/>
      <c r="M123" s="5">
        <v>5</v>
      </c>
      <c r="N123" s="5">
        <v>1</v>
      </c>
      <c r="O123" s="5">
        <v>2</v>
      </c>
      <c r="P123" s="5">
        <v>1</v>
      </c>
      <c r="Q123" s="5">
        <v>2</v>
      </c>
      <c r="R123" s="5">
        <v>2</v>
      </c>
      <c r="S123" s="5">
        <v>2</v>
      </c>
      <c r="T123" s="5">
        <v>2</v>
      </c>
      <c r="U123" s="5">
        <v>1</v>
      </c>
      <c r="V123" s="5">
        <v>2</v>
      </c>
      <c r="W123" s="5"/>
      <c r="X123" s="5">
        <v>16.8</v>
      </c>
      <c r="Y123" s="5">
        <v>51.8</v>
      </c>
      <c r="Z123" s="5">
        <v>89.6</v>
      </c>
      <c r="AA123" s="5">
        <v>20.36</v>
      </c>
      <c r="AB123" s="5">
        <v>5.4</v>
      </c>
      <c r="AC123" s="5">
        <v>164</v>
      </c>
      <c r="AD123" s="5">
        <v>106.2</v>
      </c>
      <c r="AE123" s="5">
        <v>40</v>
      </c>
      <c r="AF123" s="5">
        <v>17.8</v>
      </c>
      <c r="AG123" s="5">
        <v>89</v>
      </c>
      <c r="AH123" s="5">
        <v>312</v>
      </c>
      <c r="AI123" s="5"/>
      <c r="AJ123" s="5"/>
      <c r="AK123" s="5" t="s">
        <v>580</v>
      </c>
      <c r="AL123" s="5" t="s">
        <v>326</v>
      </c>
      <c r="AM123" s="5"/>
      <c r="AN123" s="5">
        <v>10</v>
      </c>
      <c r="AO123" s="5">
        <v>1</v>
      </c>
      <c r="AP123" s="5">
        <v>5</v>
      </c>
      <c r="AQ123" s="5">
        <v>3</v>
      </c>
      <c r="AR123" s="5">
        <v>5</v>
      </c>
      <c r="AS123" s="5"/>
      <c r="AT123" s="5">
        <v>1</v>
      </c>
      <c r="AU123" s="5">
        <v>1</v>
      </c>
      <c r="AV123" s="5">
        <v>2</v>
      </c>
      <c r="AW123" s="5"/>
      <c r="AX123" s="5"/>
      <c r="AY123" s="5"/>
      <c r="AZ123" s="5"/>
      <c r="BA123" s="5">
        <v>0</v>
      </c>
      <c r="BB123" s="5">
        <v>1</v>
      </c>
      <c r="BC123" s="5">
        <v>75</v>
      </c>
      <c r="BD123" s="5"/>
      <c r="BE123" s="5"/>
      <c r="BF123" s="5"/>
      <c r="BG123" s="5"/>
      <c r="BH123" s="5"/>
      <c r="BI123" s="5"/>
      <c r="BJ123" s="5"/>
      <c r="BK123" s="5"/>
      <c r="BL123" s="5"/>
      <c r="BM123" s="5"/>
      <c r="BN123" s="5"/>
      <c r="BO123" s="5"/>
      <c r="BP123" s="5"/>
      <c r="BQ123" s="5"/>
      <c r="BR123" s="5"/>
      <c r="BS123" s="5"/>
      <c r="BT123" s="5"/>
      <c r="BU123" s="5" t="s">
        <v>578</v>
      </c>
    </row>
    <row r="124" spans="1:73" x14ac:dyDescent="0.25">
      <c r="A124" s="8" t="s">
        <v>592</v>
      </c>
      <c r="B124" s="5">
        <v>0</v>
      </c>
      <c r="C124" s="8">
        <v>9.2697599999999998</v>
      </c>
      <c r="D124" s="9">
        <f>VLOOKUP($A124,'[1]24-8-24 DATA ENTRY'!$A$1:$BR$258,3,FALSE)</f>
        <v>240000030005</v>
      </c>
      <c r="E124" s="9">
        <f>VLOOKUP($A124,'[1]24-8-24 DATA ENTRY'!$A$1:$BR$258,4,FALSE)</f>
        <v>59</v>
      </c>
      <c r="F124" s="9">
        <f>VLOOKUP($A124,'[1]24-8-24 DATA ENTRY'!$A$1:$BR$258,5,FALSE)</f>
        <v>1</v>
      </c>
      <c r="G124" s="10">
        <f>VLOOKUP($A124,'[1]24-8-24 DATA ENTRY'!$A$1:$BR$258,6,FALSE)</f>
        <v>45377</v>
      </c>
      <c r="H124" s="9">
        <f>VLOOKUP($A124,'[1]24-8-24 DATA ENTRY'!$A$1:$BR$258,7,FALSE)</f>
        <v>0</v>
      </c>
      <c r="I124" s="10">
        <f>VLOOKUP($A124,'[1]24-8-24 DATA ENTRY'!$A$1:$BR$258,8,FALSE)</f>
        <v>45379</v>
      </c>
      <c r="J124" s="10">
        <f>VLOOKUP($A124,'[1]24-8-24 DATA ENTRY'!$A$1:$BR$258,9,FALSE)</f>
        <v>0</v>
      </c>
      <c r="K124" s="9">
        <f>VLOOKUP($A124,'[1]24-8-24 DATA ENTRY'!$A$1:$BR$258,10,FALSE)</f>
        <v>9325593827</v>
      </c>
      <c r="L124" s="9">
        <f>VLOOKUP($A124,'[1]24-8-24 DATA ENTRY'!$A$1:$BR$258,11,FALSE)</f>
        <v>0</v>
      </c>
      <c r="M124" s="9">
        <f>VLOOKUP($A124,'[1]24-8-24 DATA ENTRY'!$A$1:$BR$258,12,FALSE)</f>
        <v>1</v>
      </c>
      <c r="N124" s="9">
        <f>VLOOKUP($A124,'[1]24-8-24 DATA ENTRY'!$A$1:$BR$258,13,FALSE)</f>
        <v>1</v>
      </c>
      <c r="O124" s="9">
        <f>VLOOKUP($A124,'[1]24-8-24 DATA ENTRY'!$A$1:$BR$258,14,FALSE)</f>
        <v>1</v>
      </c>
      <c r="P124" s="9">
        <f>VLOOKUP($A124,'[1]24-8-24 DATA ENTRY'!$A$1:$BR$258,15,FALSE)</f>
        <v>1</v>
      </c>
      <c r="Q124" s="9">
        <f>VLOOKUP($A124,'[1]24-8-24 DATA ENTRY'!$A$1:$BR$258,16,FALSE)</f>
        <v>1</v>
      </c>
      <c r="R124" s="9">
        <f>VLOOKUP($A124,'[1]24-8-24 DATA ENTRY'!$A$1:$BR$258,17,FALSE)</f>
        <v>2</v>
      </c>
      <c r="S124" s="9">
        <f>VLOOKUP($A124,'[1]24-8-24 DATA ENTRY'!$A$1:$BR$258,18,FALSE)</f>
        <v>2</v>
      </c>
      <c r="T124" s="9">
        <f>VLOOKUP($A124,'[1]24-8-24 DATA ENTRY'!$A$1:$BR$258,19,FALSE)</f>
        <v>2</v>
      </c>
      <c r="U124" s="9">
        <f>VLOOKUP($A124,'[1]24-8-24 DATA ENTRY'!$A$1:$BR$258,20,FALSE)</f>
        <v>2</v>
      </c>
      <c r="V124" s="9">
        <f>VLOOKUP($A124,'[1]24-8-24 DATA ENTRY'!$A$1:$BR$258,21,FALSE)</f>
        <v>2</v>
      </c>
      <c r="W124" s="9">
        <f>VLOOKUP($A124,'[1]24-8-24 DATA ENTRY'!$A$1:$BR$258,22,FALSE)</f>
        <v>0</v>
      </c>
      <c r="X124" s="9">
        <f>VLOOKUP($A124,'[1]24-8-24 DATA ENTRY'!$A$1:$BR$258,23,FALSE)</f>
        <v>13.8</v>
      </c>
      <c r="Y124" s="9">
        <f>VLOOKUP($A124,'[1]24-8-24 DATA ENTRY'!$A$1:$BR$258,24,FALSE)</f>
        <v>42.3</v>
      </c>
      <c r="Z124" s="9">
        <f>VLOOKUP($A124,'[1]24-8-24 DATA ENTRY'!$A$1:$BR$258,25,FALSE)</f>
        <v>85.6</v>
      </c>
      <c r="AA124" s="9">
        <f>VLOOKUP($A124,'[1]24-8-24 DATA ENTRY'!$A$1:$BR$258,26,FALSE)</f>
        <v>17.78</v>
      </c>
      <c r="AB124" s="9">
        <f>VLOOKUP($A124,'[1]24-8-24 DATA ENTRY'!$A$1:$BR$258,27,FALSE)</f>
        <v>12.4</v>
      </c>
      <c r="AC124" s="9">
        <f>VLOOKUP($A124,'[1]24-8-24 DATA ENTRY'!$A$1:$BR$258,28,FALSE)</f>
        <v>195</v>
      </c>
      <c r="AD124" s="9">
        <f>VLOOKUP($A124,'[1]24-8-24 DATA ENTRY'!$A$1:$BR$258,29,FALSE)</f>
        <v>55</v>
      </c>
      <c r="AE124" s="9">
        <f>VLOOKUP($A124,'[1]24-8-24 DATA ENTRY'!$A$1:$BR$258,30,FALSE)</f>
        <v>40</v>
      </c>
      <c r="AF124" s="9">
        <f>VLOOKUP($A124,'[1]24-8-24 DATA ENTRY'!$A$1:$BR$258,31,FALSE)</f>
        <v>100</v>
      </c>
      <c r="AG124" s="9">
        <f>VLOOKUP($A124,'[1]24-8-24 DATA ENTRY'!$A$1:$BR$258,32,FALSE)</f>
        <v>500</v>
      </c>
      <c r="AH124" s="9">
        <f>VLOOKUP($A124,'[1]24-8-24 DATA ENTRY'!$A$1:$BR$258,33,FALSE)</f>
        <v>239</v>
      </c>
      <c r="AI124" s="9">
        <f>VLOOKUP($A124,'[1]24-8-24 DATA ENTRY'!$A$1:$BR$258,34,FALSE)</f>
        <v>0</v>
      </c>
      <c r="AJ124" s="9">
        <f>VLOOKUP($A124,'[1]24-8-24 DATA ENTRY'!$A$1:$BR$258,35,FALSE)</f>
        <v>0</v>
      </c>
      <c r="AK124" s="9" t="str">
        <f>VLOOKUP($A124,'[1]24-8-24 DATA ENTRY'!$A$1:$BR$258,36,FALSE)</f>
        <v>left internal watershed infarct</v>
      </c>
      <c r="AL124" s="9" t="str">
        <f>VLOOKUP($A124,'[1]24-8-24 DATA ENTRY'!$A$1:$BR$258,37,FALSE)</f>
        <v>left ICA &gt;90% stenosis, Lt supraclinoid ICA minimal stenosis</v>
      </c>
      <c r="AM124" s="9">
        <f>VLOOKUP($A124,'[1]24-8-24 DATA ENTRY'!$A$1:$BR$258,38,FALSE)</f>
        <v>0</v>
      </c>
      <c r="AN124" s="9">
        <f>VLOOKUP($A124,'[1]24-8-24 DATA ENTRY'!$A$1:$BR$258,39,FALSE)</f>
        <v>10</v>
      </c>
      <c r="AO124" s="9">
        <f>VLOOKUP($A124,'[1]24-8-24 DATA ENTRY'!$A$1:$BR$258,40,FALSE)</f>
        <v>1</v>
      </c>
      <c r="AP124" s="9">
        <f>VLOOKUP($A124,'[1]24-8-24 DATA ENTRY'!$A$1:$BR$258,41,FALSE)</f>
        <v>5</v>
      </c>
      <c r="AQ124" s="9">
        <f>VLOOKUP($A124,'[1]24-8-24 DATA ENTRY'!$A$1:$BR$258,42,FALSE)</f>
        <v>3</v>
      </c>
      <c r="AR124" s="9">
        <f>VLOOKUP($A124,'[1]24-8-24 DATA ENTRY'!$A$1:$BR$258,43,FALSE)</f>
        <v>5</v>
      </c>
      <c r="AS124" s="9">
        <f>VLOOKUP($A124,'[1]24-8-24 DATA ENTRY'!$A$1:$BR$258,44,FALSE)</f>
        <v>0</v>
      </c>
      <c r="AT124" s="9">
        <f>VLOOKUP($A124,'[1]24-8-24 DATA ENTRY'!$A$1:$BR$258,45,FALSE)</f>
        <v>1</v>
      </c>
      <c r="AU124" s="9">
        <f>VLOOKUP($A124,'[1]24-8-24 DATA ENTRY'!$A$1:$BR$258,46,FALSE)</f>
        <v>1</v>
      </c>
      <c r="AV124" s="9">
        <f>VLOOKUP($A124,'[1]24-8-24 DATA ENTRY'!$A$1:$BR$258,47,FALSE)</f>
        <v>2</v>
      </c>
      <c r="AW124" s="9">
        <f>VLOOKUP($A124,'[1]24-8-24 DATA ENTRY'!$A$1:$BR$258,48,FALSE)</f>
        <v>0</v>
      </c>
      <c r="AX124" s="9">
        <f>VLOOKUP($A124,'[1]24-8-24 DATA ENTRY'!$A$1:$BR$258,49,FALSE)</f>
        <v>0</v>
      </c>
      <c r="AY124" s="9">
        <f>VLOOKUP($A124,'[1]24-8-24 DATA ENTRY'!$A$1:$BR$258,50,FALSE)</f>
        <v>0</v>
      </c>
      <c r="AZ124" s="9">
        <f>VLOOKUP($A124,'[1]24-8-24 DATA ENTRY'!$A$1:$BR$258,51,FALSE)</f>
        <v>0</v>
      </c>
      <c r="BA124" s="9">
        <f>VLOOKUP($A124,'[1]24-8-24 DATA ENTRY'!$A$1:$BR$258,52,FALSE)</f>
        <v>0</v>
      </c>
      <c r="BB124" s="5">
        <v>1</v>
      </c>
      <c r="BC124" s="9">
        <f>VLOOKUP($A124,'[1]24-8-24 DATA ENTRY'!$A$1:$BR$258,53,FALSE)</f>
        <v>100</v>
      </c>
      <c r="BD124" s="8"/>
      <c r="BE124" s="8"/>
      <c r="BF124" s="8"/>
      <c r="BG124" s="8"/>
      <c r="BH124" s="8"/>
      <c r="BI124" s="8"/>
      <c r="BJ124" s="8"/>
      <c r="BK124" s="8"/>
      <c r="BL124" s="8"/>
      <c r="BM124" s="8"/>
      <c r="BN124" s="8"/>
      <c r="BO124" s="8"/>
      <c r="BP124" s="8"/>
      <c r="BQ124" s="8"/>
      <c r="BR124" s="8"/>
      <c r="BS124" s="8"/>
      <c r="BT124" s="8"/>
      <c r="BU124" s="8" t="s">
        <v>578</v>
      </c>
    </row>
    <row r="125" spans="1:73" x14ac:dyDescent="0.25">
      <c r="A125" s="12" t="s">
        <v>135</v>
      </c>
      <c r="B125" s="5">
        <v>1</v>
      </c>
      <c r="C125" s="12">
        <v>22.980699999999999</v>
      </c>
      <c r="D125" s="13"/>
      <c r="E125" s="12">
        <v>77</v>
      </c>
      <c r="F125" s="12">
        <v>2</v>
      </c>
      <c r="G125" s="14"/>
      <c r="H125" s="12"/>
      <c r="I125" s="14">
        <v>44949</v>
      </c>
      <c r="J125" s="14">
        <v>44959</v>
      </c>
      <c r="K125" s="12">
        <v>9730041275</v>
      </c>
      <c r="L125" s="12"/>
      <c r="M125" s="12">
        <v>14</v>
      </c>
      <c r="N125" s="12">
        <v>1</v>
      </c>
      <c r="O125" s="12">
        <v>1</v>
      </c>
      <c r="P125" s="12">
        <v>2</v>
      </c>
      <c r="Q125" s="12">
        <v>2</v>
      </c>
      <c r="R125" s="12">
        <v>2</v>
      </c>
      <c r="S125" s="12">
        <v>2</v>
      </c>
      <c r="T125" s="12">
        <v>2</v>
      </c>
      <c r="U125" s="12">
        <v>1</v>
      </c>
      <c r="V125" s="12">
        <v>2</v>
      </c>
      <c r="W125" s="12" t="s">
        <v>136</v>
      </c>
      <c r="X125" s="12">
        <v>11.4</v>
      </c>
      <c r="Y125" s="12">
        <v>36</v>
      </c>
      <c r="Z125" s="12"/>
      <c r="AA125" s="12">
        <v>16.7</v>
      </c>
      <c r="AB125" s="12">
        <v>9.9</v>
      </c>
      <c r="AC125" s="12">
        <v>169</v>
      </c>
      <c r="AD125" s="12">
        <v>101</v>
      </c>
      <c r="AE125" s="12">
        <v>57</v>
      </c>
      <c r="AF125" s="12">
        <v>11</v>
      </c>
      <c r="AG125" s="12">
        <v>55</v>
      </c>
      <c r="AH125" s="12">
        <v>1202</v>
      </c>
      <c r="AI125" s="12" t="s">
        <v>137</v>
      </c>
      <c r="AJ125" s="12"/>
      <c r="AK125" s="12" t="s">
        <v>138</v>
      </c>
      <c r="AL125" s="12" t="s">
        <v>139</v>
      </c>
      <c r="AM125" s="12"/>
      <c r="AN125" s="12">
        <v>10</v>
      </c>
      <c r="AO125" s="12">
        <v>1</v>
      </c>
      <c r="AP125" s="12">
        <v>3</v>
      </c>
      <c r="AQ125" s="12">
        <v>3</v>
      </c>
      <c r="AR125" s="12">
        <v>4</v>
      </c>
      <c r="AS125" s="12"/>
      <c r="AT125" s="12">
        <v>1</v>
      </c>
      <c r="AU125" s="12">
        <v>2</v>
      </c>
      <c r="AV125" s="12">
        <v>2</v>
      </c>
      <c r="AW125" s="12"/>
      <c r="AX125" s="12"/>
      <c r="AY125" s="12"/>
      <c r="AZ125" s="12"/>
      <c r="BA125" s="12">
        <v>1</v>
      </c>
      <c r="BB125" s="5">
        <v>1</v>
      </c>
      <c r="BC125" s="12">
        <v>100</v>
      </c>
      <c r="BD125" s="12">
        <v>0</v>
      </c>
      <c r="BE125" s="12">
        <v>1</v>
      </c>
      <c r="BF125" s="12">
        <v>2</v>
      </c>
      <c r="BG125" s="12">
        <v>2</v>
      </c>
      <c r="BH125" s="12">
        <v>1</v>
      </c>
      <c r="BI125" s="12">
        <v>1</v>
      </c>
      <c r="BJ125" s="12">
        <v>1</v>
      </c>
      <c r="BK125" s="12">
        <v>0</v>
      </c>
      <c r="BL125" s="12">
        <v>1</v>
      </c>
      <c r="BM125" s="12">
        <v>2</v>
      </c>
      <c r="BN125" s="12">
        <v>2</v>
      </c>
      <c r="BO125" s="12">
        <v>1</v>
      </c>
      <c r="BP125" s="12">
        <v>1</v>
      </c>
      <c r="BQ125" s="12">
        <v>1</v>
      </c>
      <c r="BR125" s="12">
        <v>16</v>
      </c>
      <c r="BS125" s="12">
        <v>1</v>
      </c>
      <c r="BT125" s="12">
        <v>1</v>
      </c>
      <c r="BU125" s="12"/>
    </row>
    <row r="126" spans="1:73" x14ac:dyDescent="0.25">
      <c r="A126" s="12" t="s">
        <v>141</v>
      </c>
      <c r="B126" s="5">
        <v>1</v>
      </c>
      <c r="C126" s="12">
        <v>32.695999999999998</v>
      </c>
      <c r="D126" s="13">
        <v>231000030</v>
      </c>
      <c r="E126" s="12">
        <v>40</v>
      </c>
      <c r="F126" s="12">
        <v>1</v>
      </c>
      <c r="G126" s="14">
        <v>45200</v>
      </c>
      <c r="H126" s="16">
        <v>0.36458333333333331</v>
      </c>
      <c r="I126" s="14">
        <v>45200</v>
      </c>
      <c r="J126" s="14">
        <v>45204</v>
      </c>
      <c r="K126" s="12">
        <v>9623021212</v>
      </c>
      <c r="L126" s="12"/>
      <c r="M126" s="12">
        <v>10</v>
      </c>
      <c r="N126" s="12">
        <v>2</v>
      </c>
      <c r="O126" s="12">
        <v>2</v>
      </c>
      <c r="P126" s="12">
        <v>2</v>
      </c>
      <c r="Q126" s="12">
        <v>2</v>
      </c>
      <c r="R126" s="12">
        <v>2</v>
      </c>
      <c r="S126" s="12">
        <v>2</v>
      </c>
      <c r="T126" s="12">
        <v>2</v>
      </c>
      <c r="U126" s="12">
        <v>2</v>
      </c>
      <c r="V126" s="12">
        <v>2</v>
      </c>
      <c r="W126" s="12"/>
      <c r="X126" s="12">
        <v>15.2</v>
      </c>
      <c r="Y126" s="12">
        <v>46</v>
      </c>
      <c r="Z126" s="12">
        <v>96</v>
      </c>
      <c r="AA126" s="12">
        <v>14.32</v>
      </c>
      <c r="AB126" s="12">
        <v>5.5</v>
      </c>
      <c r="AC126" s="12">
        <v>175</v>
      </c>
      <c r="AD126" s="12">
        <v>120</v>
      </c>
      <c r="AE126" s="12">
        <v>29</v>
      </c>
      <c r="AF126" s="12">
        <v>25</v>
      </c>
      <c r="AG126" s="12">
        <v>126</v>
      </c>
      <c r="AH126" s="12">
        <v>148</v>
      </c>
      <c r="AI126" s="12"/>
      <c r="AJ126" s="12"/>
      <c r="AK126" s="12" t="s">
        <v>142</v>
      </c>
      <c r="AL126" s="12" t="s">
        <v>143</v>
      </c>
      <c r="AM126" s="12"/>
      <c r="AN126" s="12">
        <v>10</v>
      </c>
      <c r="AO126" s="12">
        <v>1</v>
      </c>
      <c r="AP126" s="12">
        <v>5</v>
      </c>
      <c r="AQ126" s="12">
        <v>3</v>
      </c>
      <c r="AR126" s="12">
        <v>5</v>
      </c>
      <c r="AS126" s="12"/>
      <c r="AT126" s="12"/>
      <c r="AU126" s="12"/>
      <c r="AV126" s="12"/>
      <c r="AW126" s="12"/>
      <c r="AX126" s="12"/>
      <c r="AY126" s="12"/>
      <c r="AZ126" s="12"/>
      <c r="BA126" s="12">
        <v>1</v>
      </c>
      <c r="BB126" s="5">
        <v>1</v>
      </c>
      <c r="BC126" s="12">
        <v>100</v>
      </c>
      <c r="BD126" s="12">
        <v>1</v>
      </c>
      <c r="BE126" s="12">
        <v>2</v>
      </c>
      <c r="BF126" s="12">
        <v>2</v>
      </c>
      <c r="BG126" s="12">
        <v>0</v>
      </c>
      <c r="BH126" s="12">
        <v>0</v>
      </c>
      <c r="BI126" s="12">
        <v>0</v>
      </c>
      <c r="BJ126" s="12">
        <v>1</v>
      </c>
      <c r="BK126" s="12">
        <v>1</v>
      </c>
      <c r="BL126" s="12">
        <v>2</v>
      </c>
      <c r="BM126" s="12">
        <v>2</v>
      </c>
      <c r="BN126" s="12">
        <v>2</v>
      </c>
      <c r="BO126" s="12">
        <v>1</v>
      </c>
      <c r="BP126" s="12">
        <v>1</v>
      </c>
      <c r="BQ126" s="12">
        <v>1</v>
      </c>
      <c r="BR126" s="12">
        <v>16</v>
      </c>
      <c r="BS126" s="12">
        <v>1</v>
      </c>
      <c r="BT126" s="12">
        <v>1</v>
      </c>
      <c r="BU126" s="12"/>
    </row>
    <row r="127" spans="1:73" x14ac:dyDescent="0.25">
      <c r="A127" s="5" t="s">
        <v>229</v>
      </c>
      <c r="B127" s="5">
        <v>1</v>
      </c>
      <c r="C127" s="5">
        <v>4.1505700000000001</v>
      </c>
      <c r="D127" s="18">
        <f>VLOOKUP($A127,'[1]24-8-24 DATA ENTRY'!$A$1:$BR$258,3,FALSE)</f>
        <v>240000031873</v>
      </c>
      <c r="E127" s="18">
        <f>VLOOKUP($A127,'[1]24-8-24 DATA ENTRY'!$A$1:$BR$258,4,FALSE)</f>
        <v>58</v>
      </c>
      <c r="F127" s="18">
        <f>VLOOKUP($A127,'[1]24-8-24 DATA ENTRY'!$A$1:$BR$258,5,FALSE)</f>
        <v>1</v>
      </c>
      <c r="G127" s="19">
        <f>VLOOKUP($A127,'[1]24-8-24 DATA ENTRY'!$A$1:$BR$258,6,FALSE)</f>
        <v>45384</v>
      </c>
      <c r="H127" s="18">
        <f>VLOOKUP($A127,'[1]24-8-24 DATA ENTRY'!$A$1:$BR$258,7,FALSE)</f>
        <v>0.25</v>
      </c>
      <c r="I127" s="19">
        <f>VLOOKUP($A127,'[1]24-8-24 DATA ENTRY'!$A$1:$BR$258,8,FALSE)</f>
        <v>45385</v>
      </c>
      <c r="J127" s="19">
        <f>VLOOKUP($A127,'[1]24-8-24 DATA ENTRY'!$A$1:$BR$258,9,FALSE)</f>
        <v>0</v>
      </c>
      <c r="K127" s="18">
        <f>VLOOKUP($A127,'[1]24-8-24 DATA ENTRY'!$A$1:$BR$258,10,FALSE)</f>
        <v>9763068303</v>
      </c>
      <c r="L127" s="18">
        <f>VLOOKUP($A127,'[1]24-8-24 DATA ENTRY'!$A$1:$BR$258,11,FALSE)</f>
        <v>0</v>
      </c>
      <c r="M127" s="18">
        <f>VLOOKUP($A127,'[1]24-8-24 DATA ENTRY'!$A$1:$BR$258,12,FALSE)</f>
        <v>2</v>
      </c>
      <c r="N127" s="18">
        <f>VLOOKUP($A127,'[1]24-8-24 DATA ENTRY'!$A$1:$BR$258,13,FALSE)</f>
        <v>1</v>
      </c>
      <c r="O127" s="18">
        <f>VLOOKUP($A127,'[1]24-8-24 DATA ENTRY'!$A$1:$BR$258,14,FALSE)</f>
        <v>1</v>
      </c>
      <c r="P127" s="18">
        <f>VLOOKUP($A127,'[1]24-8-24 DATA ENTRY'!$A$1:$BR$258,15,FALSE)</f>
        <v>2</v>
      </c>
      <c r="Q127" s="18">
        <f>VLOOKUP($A127,'[1]24-8-24 DATA ENTRY'!$A$1:$BR$258,16,FALSE)</f>
        <v>2</v>
      </c>
      <c r="R127" s="18">
        <f>VLOOKUP($A127,'[1]24-8-24 DATA ENTRY'!$A$1:$BR$258,17,FALSE)</f>
        <v>2</v>
      </c>
      <c r="S127" s="18">
        <f>VLOOKUP($A127,'[1]24-8-24 DATA ENTRY'!$A$1:$BR$258,18,FALSE)</f>
        <v>2</v>
      </c>
      <c r="T127" s="18">
        <f>VLOOKUP($A127,'[1]24-8-24 DATA ENTRY'!$A$1:$BR$258,19,FALSE)</f>
        <v>2</v>
      </c>
      <c r="U127" s="18">
        <f>VLOOKUP($A127,'[1]24-8-24 DATA ENTRY'!$A$1:$BR$258,20,FALSE)</f>
        <v>1</v>
      </c>
      <c r="V127" s="18">
        <f>VLOOKUP($A127,'[1]24-8-24 DATA ENTRY'!$A$1:$BR$258,21,FALSE)</f>
        <v>2</v>
      </c>
      <c r="W127" s="18" t="str">
        <f>VLOOKUP($A127,'[1]24-8-24 DATA ENTRY'!$A$1:$BR$258,22,FALSE)</f>
        <v>today 4/4/24- morning 4am wakeup stroke, last known well 23:30hrs, Had TIA on 2/04/2024</v>
      </c>
      <c r="X127" s="18">
        <f>VLOOKUP($A127,'[1]24-8-24 DATA ENTRY'!$A$1:$BR$258,23,FALSE)</f>
        <v>12.4</v>
      </c>
      <c r="Y127" s="18">
        <f>VLOOKUP($A127,'[1]24-8-24 DATA ENTRY'!$A$1:$BR$258,24,FALSE)</f>
        <v>38.6</v>
      </c>
      <c r="Z127" s="18">
        <f>VLOOKUP($A127,'[1]24-8-24 DATA ENTRY'!$A$1:$BR$258,25,FALSE)</f>
        <v>83.2</v>
      </c>
      <c r="AA127" s="18">
        <f>VLOOKUP($A127,'[1]24-8-24 DATA ENTRY'!$A$1:$BR$258,26,FALSE)</f>
        <v>18.309999999999999</v>
      </c>
      <c r="AB127" s="18">
        <f>VLOOKUP($A127,'[1]24-8-24 DATA ENTRY'!$A$1:$BR$258,27,FALSE)</f>
        <v>9.1999999999999993</v>
      </c>
      <c r="AC127" s="18">
        <f>VLOOKUP($A127,'[1]24-8-24 DATA ENTRY'!$A$1:$BR$258,28,FALSE)</f>
        <v>115</v>
      </c>
      <c r="AD127" s="18">
        <f>VLOOKUP($A127,'[1]24-8-24 DATA ENTRY'!$A$1:$BR$258,29,FALSE)</f>
        <v>68.2</v>
      </c>
      <c r="AE127" s="18">
        <f>VLOOKUP($A127,'[1]24-8-24 DATA ENTRY'!$A$1:$BR$258,30,FALSE)</f>
        <v>19</v>
      </c>
      <c r="AF127" s="18">
        <f>VLOOKUP($A127,'[1]24-8-24 DATA ENTRY'!$A$1:$BR$258,31,FALSE)</f>
        <v>27.8</v>
      </c>
      <c r="AG127" s="18">
        <f>VLOOKUP($A127,'[1]24-8-24 DATA ENTRY'!$A$1:$BR$258,32,FALSE)</f>
        <v>139</v>
      </c>
      <c r="AH127" s="18">
        <f>VLOOKUP($A127,'[1]24-8-24 DATA ENTRY'!$A$1:$BR$258,33,FALSE)</f>
        <v>209</v>
      </c>
      <c r="AI127" s="18">
        <f>VLOOKUP($A127,'[1]24-8-24 DATA ENTRY'!$A$1:$BR$258,34,FALSE)</f>
        <v>0</v>
      </c>
      <c r="AJ127" s="18">
        <f>VLOOKUP($A127,'[1]24-8-24 DATA ENTRY'!$A$1:$BR$258,35,FALSE)</f>
        <v>0</v>
      </c>
      <c r="AK127" s="18" t="str">
        <f>VLOOKUP($A127,'[1]24-8-24 DATA ENTRY'!$A$1:$BR$258,36,FALSE)</f>
        <v>Right internal watershed infarct and Rt Fronto-parietal and Occipital region</v>
      </c>
      <c r="AL127" s="18" t="str">
        <f>VLOOKUP($A127,'[1]24-8-24 DATA ENTRY'!$A$1:$BR$258,37,FALSE)</f>
        <v>Rt ICA 99% stenosis at origin, Left ICA 95% stenosis at origin, Rt ICA at CCA bifurcation, Left vertebral artery hypoplastic</v>
      </c>
      <c r="AM127" s="18">
        <f>VLOOKUP($A127,'[1]24-8-24 DATA ENTRY'!$A$1:$BR$258,38,FALSE)</f>
        <v>0</v>
      </c>
      <c r="AN127" s="18">
        <f>VLOOKUP($A127,'[1]24-8-24 DATA ENTRY'!$A$1:$BR$258,39,FALSE)</f>
        <v>10</v>
      </c>
      <c r="AO127" s="18">
        <f>VLOOKUP($A127,'[1]24-8-24 DATA ENTRY'!$A$1:$BR$258,40,FALSE)</f>
        <v>1</v>
      </c>
      <c r="AP127" s="18">
        <f>VLOOKUP($A127,'[1]24-8-24 DATA ENTRY'!$A$1:$BR$258,41,FALSE)</f>
        <v>3</v>
      </c>
      <c r="AQ127" s="18">
        <f>VLOOKUP($A127,'[1]24-8-24 DATA ENTRY'!$A$1:$BR$258,42,FALSE)</f>
        <v>3</v>
      </c>
      <c r="AR127" s="18">
        <f>VLOOKUP($A127,'[1]24-8-24 DATA ENTRY'!$A$1:$BR$258,43,FALSE)</f>
        <v>5</v>
      </c>
      <c r="AS127" s="18">
        <f>VLOOKUP($A127,'[1]24-8-24 DATA ENTRY'!$A$1:$BR$258,44,FALSE)</f>
        <v>0</v>
      </c>
      <c r="AT127" s="18">
        <f>VLOOKUP($A127,'[1]24-8-24 DATA ENTRY'!$A$1:$BR$258,45,FALSE)</f>
        <v>1</v>
      </c>
      <c r="AU127" s="18">
        <f>VLOOKUP($A127,'[1]24-8-24 DATA ENTRY'!$A$1:$BR$258,46,FALSE)</f>
        <v>1</v>
      </c>
      <c r="AV127" s="18">
        <f>VLOOKUP($A127,'[1]24-8-24 DATA ENTRY'!$A$1:$BR$258,47,FALSE)</f>
        <v>2</v>
      </c>
      <c r="AW127" s="18">
        <f>VLOOKUP($A127,'[1]24-8-24 DATA ENTRY'!$A$1:$BR$258,48,FALSE)</f>
        <v>0</v>
      </c>
      <c r="AX127" s="18">
        <f>VLOOKUP($A127,'[1]24-8-24 DATA ENTRY'!$A$1:$BR$258,49,FALSE)</f>
        <v>0</v>
      </c>
      <c r="AY127" s="18">
        <f>VLOOKUP($A127,'[1]24-8-24 DATA ENTRY'!$A$1:$BR$258,50,FALSE)</f>
        <v>0</v>
      </c>
      <c r="AZ127" s="18">
        <f>VLOOKUP($A127,'[1]24-8-24 DATA ENTRY'!$A$1:$BR$258,51,FALSE)</f>
        <v>0</v>
      </c>
      <c r="BA127" s="18">
        <f>VLOOKUP($A127,'[1]24-8-24 DATA ENTRY'!$A$1:$BR$258,52,FALSE)</f>
        <v>1</v>
      </c>
      <c r="BB127" s="5">
        <v>1</v>
      </c>
      <c r="BC127" s="18">
        <f>VLOOKUP($A127,'[1]24-8-24 DATA ENTRY'!$A$1:$BR$258,53,FALSE)</f>
        <v>100</v>
      </c>
      <c r="BD127" s="5">
        <v>0</v>
      </c>
      <c r="BE127" s="5">
        <v>2</v>
      </c>
      <c r="BF127" s="5">
        <v>2</v>
      </c>
      <c r="BG127" s="5">
        <v>2</v>
      </c>
      <c r="BH127" s="5">
        <v>1</v>
      </c>
      <c r="BI127" s="5">
        <v>1</v>
      </c>
      <c r="BJ127" s="5">
        <v>1</v>
      </c>
      <c r="BK127" s="5">
        <v>0</v>
      </c>
      <c r="BL127" s="5">
        <v>2</v>
      </c>
      <c r="BM127" s="5">
        <v>2</v>
      </c>
      <c r="BN127" s="5">
        <v>2</v>
      </c>
      <c r="BO127" s="5">
        <v>1</v>
      </c>
      <c r="BP127" s="5">
        <v>1</v>
      </c>
      <c r="BQ127" s="5">
        <v>1</v>
      </c>
      <c r="BR127" s="5">
        <v>18</v>
      </c>
      <c r="BS127" s="5">
        <v>1</v>
      </c>
      <c r="BT127" s="5">
        <v>0</v>
      </c>
      <c r="BU127" s="5"/>
    </row>
    <row r="128" spans="1:73" x14ac:dyDescent="0.25">
      <c r="A128" s="12" t="s">
        <v>239</v>
      </c>
      <c r="B128" s="5">
        <v>1</v>
      </c>
      <c r="C128" s="12">
        <v>15.7644</v>
      </c>
      <c r="D128" s="13">
        <v>230000000000</v>
      </c>
      <c r="E128" s="12">
        <v>57</v>
      </c>
      <c r="F128" s="12">
        <v>1</v>
      </c>
      <c r="G128" s="14">
        <v>45285</v>
      </c>
      <c r="H128" s="16">
        <v>0.9375</v>
      </c>
      <c r="I128" s="14">
        <v>45286</v>
      </c>
      <c r="J128" s="14">
        <v>45294</v>
      </c>
      <c r="K128" s="12">
        <v>9172734212</v>
      </c>
      <c r="L128" s="12">
        <v>9822621475</v>
      </c>
      <c r="M128" s="12">
        <v>6</v>
      </c>
      <c r="N128" s="12">
        <v>1</v>
      </c>
      <c r="O128" s="12">
        <v>1</v>
      </c>
      <c r="P128" s="12">
        <v>2</v>
      </c>
      <c r="Q128" s="12">
        <v>2</v>
      </c>
      <c r="R128" s="12">
        <v>2</v>
      </c>
      <c r="S128" s="12">
        <v>2</v>
      </c>
      <c r="T128" s="12">
        <v>2</v>
      </c>
      <c r="U128" s="12">
        <v>2</v>
      </c>
      <c r="V128" s="12">
        <v>2</v>
      </c>
      <c r="W128" s="12"/>
      <c r="X128" s="12">
        <v>15</v>
      </c>
      <c r="Y128" s="12">
        <v>46.2</v>
      </c>
      <c r="Z128" s="12">
        <v>84.9</v>
      </c>
      <c r="AA128" s="12"/>
      <c r="AB128" s="12">
        <v>9.4</v>
      </c>
      <c r="AC128" s="12">
        <v>206</v>
      </c>
      <c r="AD128" s="12">
        <v>146</v>
      </c>
      <c r="AE128" s="12">
        <v>36</v>
      </c>
      <c r="AF128" s="12">
        <v>24</v>
      </c>
      <c r="AG128" s="12">
        <v>120</v>
      </c>
      <c r="AH128" s="12"/>
      <c r="AI128" s="12"/>
      <c r="AJ128" s="12"/>
      <c r="AK128" s="12" t="s">
        <v>240</v>
      </c>
      <c r="AL128" s="12" t="s">
        <v>241</v>
      </c>
      <c r="AM128" s="12"/>
      <c r="AN128" s="12">
        <v>10</v>
      </c>
      <c r="AO128" s="12">
        <v>1</v>
      </c>
      <c r="AP128" s="12">
        <v>3</v>
      </c>
      <c r="AQ128" s="12">
        <v>3</v>
      </c>
      <c r="AR128" s="12">
        <v>5</v>
      </c>
      <c r="AS128" s="12"/>
      <c r="AT128" s="12">
        <v>1</v>
      </c>
      <c r="AU128" s="12">
        <v>1</v>
      </c>
      <c r="AV128" s="12">
        <v>2</v>
      </c>
      <c r="AW128" s="12"/>
      <c r="AX128" s="12"/>
      <c r="AY128" s="12"/>
      <c r="AZ128" s="12"/>
      <c r="BA128" s="12">
        <v>1</v>
      </c>
      <c r="BB128" s="5">
        <v>1</v>
      </c>
      <c r="BC128" s="12">
        <v>100</v>
      </c>
      <c r="BD128" s="12">
        <v>1</v>
      </c>
      <c r="BE128" s="12">
        <v>2</v>
      </c>
      <c r="BF128" s="12">
        <v>2</v>
      </c>
      <c r="BG128" s="12">
        <v>2</v>
      </c>
      <c r="BH128" s="12">
        <v>1</v>
      </c>
      <c r="BI128" s="12">
        <v>1</v>
      </c>
      <c r="BJ128" s="12">
        <v>1</v>
      </c>
      <c r="BK128" s="12">
        <v>0</v>
      </c>
      <c r="BL128" s="12">
        <v>1</v>
      </c>
      <c r="BM128" s="12">
        <v>2</v>
      </c>
      <c r="BN128" s="12">
        <v>2</v>
      </c>
      <c r="BO128" s="12">
        <v>1</v>
      </c>
      <c r="BP128" s="12">
        <v>1</v>
      </c>
      <c r="BQ128" s="12">
        <v>1</v>
      </c>
      <c r="BR128" s="12">
        <v>18</v>
      </c>
      <c r="BS128" s="12">
        <v>1</v>
      </c>
      <c r="BT128" s="12">
        <v>1</v>
      </c>
      <c r="BU128" s="12"/>
    </row>
    <row r="129" spans="1:73" x14ac:dyDescent="0.25">
      <c r="A129" s="5" t="s">
        <v>333</v>
      </c>
      <c r="B129" s="5">
        <v>1</v>
      </c>
      <c r="C129" s="5">
        <v>6.9935</v>
      </c>
      <c r="D129" s="6">
        <v>230402134</v>
      </c>
      <c r="E129" s="5">
        <v>58</v>
      </c>
      <c r="F129" s="5">
        <v>2</v>
      </c>
      <c r="G129" s="7"/>
      <c r="H129" s="5"/>
      <c r="I129" s="7">
        <v>45029</v>
      </c>
      <c r="J129" s="7">
        <v>45031</v>
      </c>
      <c r="K129" s="5">
        <v>9922230446</v>
      </c>
      <c r="L129" s="5"/>
      <c r="M129" s="5">
        <v>7</v>
      </c>
      <c r="N129" s="5">
        <v>1</v>
      </c>
      <c r="O129" s="5">
        <v>2</v>
      </c>
      <c r="P129" s="5">
        <v>2</v>
      </c>
      <c r="Q129" s="5">
        <v>2</v>
      </c>
      <c r="R129" s="5">
        <v>1</v>
      </c>
      <c r="S129" s="5">
        <v>2</v>
      </c>
      <c r="T129" s="5">
        <v>2</v>
      </c>
      <c r="U129" s="5">
        <v>2</v>
      </c>
      <c r="V129" s="5">
        <v>2</v>
      </c>
      <c r="W129" s="5"/>
      <c r="X129" s="5">
        <v>12</v>
      </c>
      <c r="Y129" s="5">
        <v>36.1</v>
      </c>
      <c r="Z129" s="5"/>
      <c r="AA129" s="5">
        <v>11.88</v>
      </c>
      <c r="AB129" s="5">
        <v>6</v>
      </c>
      <c r="AC129" s="5">
        <v>184</v>
      </c>
      <c r="AD129" s="5">
        <v>118.6</v>
      </c>
      <c r="AE129" s="5">
        <v>49</v>
      </c>
      <c r="AF129" s="5">
        <v>16.399999999999999</v>
      </c>
      <c r="AG129" s="5">
        <v>82</v>
      </c>
      <c r="AH129" s="5">
        <v>2000</v>
      </c>
      <c r="AI129" s="5" t="s">
        <v>334</v>
      </c>
      <c r="AJ129" s="5"/>
      <c r="AK129" s="5" t="s">
        <v>335</v>
      </c>
      <c r="AL129" s="5" t="s">
        <v>336</v>
      </c>
      <c r="AM129" s="5"/>
      <c r="AN129" s="5">
        <v>10</v>
      </c>
      <c r="AO129" s="5">
        <v>1</v>
      </c>
      <c r="AP129" s="5">
        <v>3</v>
      </c>
      <c r="AQ129" s="5">
        <v>3</v>
      </c>
      <c r="AR129" s="5">
        <v>5</v>
      </c>
      <c r="AS129" s="5"/>
      <c r="AT129" s="5">
        <v>1</v>
      </c>
      <c r="AU129" s="5">
        <v>1</v>
      </c>
      <c r="AV129" s="5">
        <v>2</v>
      </c>
      <c r="AW129" s="5"/>
      <c r="AX129" s="5"/>
      <c r="AY129" s="5"/>
      <c r="AZ129" s="5"/>
      <c r="BA129" s="5">
        <v>1</v>
      </c>
      <c r="BB129" s="5">
        <v>1</v>
      </c>
      <c r="BC129" s="5">
        <v>95</v>
      </c>
      <c r="BD129" s="5">
        <v>1</v>
      </c>
      <c r="BE129" s="5">
        <v>2</v>
      </c>
      <c r="BF129" s="5">
        <v>2</v>
      </c>
      <c r="BG129" s="5">
        <v>2</v>
      </c>
      <c r="BH129" s="5">
        <v>1</v>
      </c>
      <c r="BI129" s="5">
        <v>1</v>
      </c>
      <c r="BJ129" s="5">
        <v>1</v>
      </c>
      <c r="BK129" s="5">
        <v>1</v>
      </c>
      <c r="BL129" s="5">
        <v>2</v>
      </c>
      <c r="BM129" s="5">
        <v>2</v>
      </c>
      <c r="BN129" s="5">
        <v>1</v>
      </c>
      <c r="BO129" s="5">
        <v>1</v>
      </c>
      <c r="BP129" s="5">
        <v>1</v>
      </c>
      <c r="BQ129" s="5">
        <v>1</v>
      </c>
      <c r="BR129" s="5">
        <v>19</v>
      </c>
      <c r="BS129" s="5">
        <v>1</v>
      </c>
      <c r="BT129" s="5">
        <v>1</v>
      </c>
      <c r="BU129" s="5"/>
    </row>
    <row r="130" spans="1:73" x14ac:dyDescent="0.25">
      <c r="A130" s="5" t="s">
        <v>414</v>
      </c>
      <c r="B130" s="5">
        <v>1</v>
      </c>
      <c r="C130" s="5">
        <v>8.4464400000000008</v>
      </c>
      <c r="D130" s="6">
        <v>230305197</v>
      </c>
      <c r="E130" s="5">
        <v>30</v>
      </c>
      <c r="F130" s="5">
        <v>2</v>
      </c>
      <c r="G130" s="7"/>
      <c r="H130" s="5"/>
      <c r="I130" s="7">
        <v>45025</v>
      </c>
      <c r="J130" s="7"/>
      <c r="K130" s="5">
        <v>9356207400</v>
      </c>
      <c r="L130" s="5"/>
      <c r="M130" s="5">
        <v>4</v>
      </c>
      <c r="N130" s="5">
        <v>2</v>
      </c>
      <c r="O130" s="5">
        <v>2</v>
      </c>
      <c r="P130" s="5">
        <v>2</v>
      </c>
      <c r="Q130" s="5">
        <v>2</v>
      </c>
      <c r="R130" s="5">
        <v>2</v>
      </c>
      <c r="S130" s="5">
        <v>2</v>
      </c>
      <c r="T130" s="5">
        <v>2</v>
      </c>
      <c r="U130" s="5">
        <v>2</v>
      </c>
      <c r="V130" s="5">
        <v>2</v>
      </c>
      <c r="W130" s="5" t="s">
        <v>415</v>
      </c>
      <c r="X130" s="5">
        <v>9.1999999999999993</v>
      </c>
      <c r="Y130" s="5">
        <v>30.1</v>
      </c>
      <c r="Z130" s="5"/>
      <c r="AA130" s="5">
        <v>20.59</v>
      </c>
      <c r="AB130" s="5">
        <v>5.4</v>
      </c>
      <c r="AC130" s="5">
        <v>142</v>
      </c>
      <c r="AD130" s="5">
        <v>93.8</v>
      </c>
      <c r="AE130" s="5">
        <v>34</v>
      </c>
      <c r="AF130" s="5"/>
      <c r="AG130" s="5">
        <v>71</v>
      </c>
      <c r="AH130" s="5">
        <v>168</v>
      </c>
      <c r="AI130" s="5" t="s">
        <v>416</v>
      </c>
      <c r="AJ130" s="5"/>
      <c r="AK130" s="5" t="s">
        <v>417</v>
      </c>
      <c r="AL130" s="5"/>
      <c r="AM130" s="5"/>
      <c r="AN130" s="5">
        <v>10</v>
      </c>
      <c r="AO130" s="5">
        <v>1</v>
      </c>
      <c r="AP130" s="5">
        <v>3</v>
      </c>
      <c r="AQ130" s="5">
        <v>3</v>
      </c>
      <c r="AR130" s="5">
        <v>5</v>
      </c>
      <c r="AS130" s="5"/>
      <c r="AT130" s="5">
        <v>1</v>
      </c>
      <c r="AU130" s="5">
        <v>1</v>
      </c>
      <c r="AV130" s="5">
        <v>2</v>
      </c>
      <c r="AW130" s="5"/>
      <c r="AX130" s="5"/>
      <c r="AY130" s="5"/>
      <c r="AZ130" s="5"/>
      <c r="BA130" s="5">
        <v>1</v>
      </c>
      <c r="BB130" s="5">
        <v>1</v>
      </c>
      <c r="BC130" s="5">
        <v>95</v>
      </c>
      <c r="BD130" s="5">
        <v>1</v>
      </c>
      <c r="BE130" s="5">
        <v>2</v>
      </c>
      <c r="BF130" s="5">
        <v>2</v>
      </c>
      <c r="BG130" s="5">
        <v>2</v>
      </c>
      <c r="BH130" s="5">
        <v>1</v>
      </c>
      <c r="BI130" s="5">
        <v>1</v>
      </c>
      <c r="BJ130" s="5">
        <v>1</v>
      </c>
      <c r="BK130" s="5">
        <v>1</v>
      </c>
      <c r="BL130" s="5">
        <v>2</v>
      </c>
      <c r="BM130" s="5">
        <v>2</v>
      </c>
      <c r="BN130" s="5">
        <v>2</v>
      </c>
      <c r="BO130" s="5">
        <v>1</v>
      </c>
      <c r="BP130" s="5">
        <v>1</v>
      </c>
      <c r="BQ130" s="5">
        <v>1</v>
      </c>
      <c r="BR130" s="5">
        <v>20</v>
      </c>
      <c r="BS130" s="5">
        <v>0</v>
      </c>
      <c r="BT130" s="5">
        <v>1</v>
      </c>
      <c r="BU130" s="5"/>
    </row>
    <row r="131" spans="1:73" x14ac:dyDescent="0.25">
      <c r="A131" s="5" t="s">
        <v>515</v>
      </c>
      <c r="B131" s="5">
        <v>0</v>
      </c>
      <c r="C131" s="5">
        <v>9.9962400000000002</v>
      </c>
      <c r="D131" s="6">
        <v>230402134</v>
      </c>
      <c r="E131" s="5">
        <v>58</v>
      </c>
      <c r="F131" s="5">
        <v>2</v>
      </c>
      <c r="G131" s="7"/>
      <c r="H131" s="5"/>
      <c r="I131" s="7">
        <v>45029</v>
      </c>
      <c r="J131" s="7">
        <v>45031</v>
      </c>
      <c r="K131" s="5">
        <v>9922230446</v>
      </c>
      <c r="L131" s="5"/>
      <c r="M131" s="5">
        <v>7</v>
      </c>
      <c r="N131" s="5">
        <v>1</v>
      </c>
      <c r="O131" s="5">
        <v>2</v>
      </c>
      <c r="P131" s="5">
        <v>2</v>
      </c>
      <c r="Q131" s="5">
        <v>2</v>
      </c>
      <c r="R131" s="5">
        <v>1</v>
      </c>
      <c r="S131" s="5">
        <v>2</v>
      </c>
      <c r="T131" s="5">
        <v>2</v>
      </c>
      <c r="U131" s="5">
        <v>2</v>
      </c>
      <c r="V131" s="5">
        <v>2</v>
      </c>
      <c r="W131" s="5" t="s">
        <v>516</v>
      </c>
      <c r="X131" s="5">
        <v>12</v>
      </c>
      <c r="Y131" s="5"/>
      <c r="Z131" s="5"/>
      <c r="AA131" s="5">
        <v>11.88</v>
      </c>
      <c r="AB131" s="5">
        <v>6</v>
      </c>
      <c r="AC131" s="5">
        <v>184</v>
      </c>
      <c r="AD131" s="5">
        <v>118.6</v>
      </c>
      <c r="AE131" s="5">
        <v>49</v>
      </c>
      <c r="AF131" s="5"/>
      <c r="AG131" s="5">
        <v>82</v>
      </c>
      <c r="AH131" s="5">
        <v>2000</v>
      </c>
      <c r="AI131" s="5"/>
      <c r="AJ131" s="5"/>
      <c r="AK131" s="5" t="s">
        <v>517</v>
      </c>
      <c r="AL131" s="5" t="s">
        <v>518</v>
      </c>
      <c r="AM131" s="5"/>
      <c r="AN131" s="5">
        <v>10</v>
      </c>
      <c r="AO131" s="5">
        <v>1</v>
      </c>
      <c r="AP131" s="5">
        <v>3</v>
      </c>
      <c r="AQ131" s="5">
        <v>3</v>
      </c>
      <c r="AR131" s="5">
        <v>5</v>
      </c>
      <c r="AS131" s="5"/>
      <c r="AT131" s="5"/>
      <c r="AU131" s="5"/>
      <c r="AV131" s="5"/>
      <c r="AW131" s="5"/>
      <c r="AX131" s="5"/>
      <c r="AY131" s="5"/>
      <c r="AZ131" s="5"/>
      <c r="BA131" s="5">
        <v>1</v>
      </c>
      <c r="BB131" s="5">
        <v>1</v>
      </c>
      <c r="BC131" s="5">
        <v>100</v>
      </c>
      <c r="BD131" s="5">
        <v>1</v>
      </c>
      <c r="BE131" s="5">
        <v>2</v>
      </c>
      <c r="BF131" s="5">
        <v>2</v>
      </c>
      <c r="BG131" s="5">
        <v>2</v>
      </c>
      <c r="BH131" s="5">
        <v>1</v>
      </c>
      <c r="BI131" s="5">
        <v>1</v>
      </c>
      <c r="BJ131" s="5">
        <v>1</v>
      </c>
      <c r="BK131" s="5">
        <v>1</v>
      </c>
      <c r="BL131" s="5">
        <v>2</v>
      </c>
      <c r="BM131" s="5">
        <v>1</v>
      </c>
      <c r="BN131" s="5">
        <v>2</v>
      </c>
      <c r="BO131" s="5">
        <v>1</v>
      </c>
      <c r="BP131" s="5">
        <v>1</v>
      </c>
      <c r="BQ131" s="5">
        <v>1</v>
      </c>
      <c r="BR131" s="5">
        <v>19</v>
      </c>
      <c r="BS131" s="5">
        <v>1</v>
      </c>
      <c r="BT131" s="5">
        <v>1</v>
      </c>
      <c r="BU131" s="5"/>
    </row>
    <row r="132" spans="1:73" x14ac:dyDescent="0.25">
      <c r="A132" s="5" t="s">
        <v>327</v>
      </c>
      <c r="B132" s="5">
        <v>0</v>
      </c>
      <c r="C132" s="5">
        <v>4.9787499999999998</v>
      </c>
      <c r="D132" s="6">
        <v>230603763</v>
      </c>
      <c r="E132" s="5">
        <v>44</v>
      </c>
      <c r="F132" s="5">
        <v>2</v>
      </c>
      <c r="G132" s="7">
        <v>45074</v>
      </c>
      <c r="H132" s="11">
        <v>0.72916666666666663</v>
      </c>
      <c r="I132" s="7">
        <v>45090</v>
      </c>
      <c r="J132" s="7">
        <v>45093</v>
      </c>
      <c r="K132" s="5">
        <v>9372311404</v>
      </c>
      <c r="L132" s="5"/>
      <c r="M132" s="5">
        <v>3</v>
      </c>
      <c r="N132" s="5">
        <v>2</v>
      </c>
      <c r="O132" s="5">
        <v>1</v>
      </c>
      <c r="P132" s="5">
        <v>2</v>
      </c>
      <c r="Q132" s="5">
        <v>2</v>
      </c>
      <c r="R132" s="5">
        <v>2</v>
      </c>
      <c r="S132" s="5">
        <v>2</v>
      </c>
      <c r="T132" s="5">
        <v>2</v>
      </c>
      <c r="U132" s="5">
        <v>2</v>
      </c>
      <c r="V132" s="5">
        <v>2</v>
      </c>
      <c r="W132" s="5" t="s">
        <v>544</v>
      </c>
      <c r="X132" s="5">
        <v>13.1</v>
      </c>
      <c r="Y132" s="5">
        <v>38.799999999999997</v>
      </c>
      <c r="Z132" s="5"/>
      <c r="AA132" s="5">
        <v>16.5</v>
      </c>
      <c r="AB132" s="5">
        <v>13.9</v>
      </c>
      <c r="AC132" s="5">
        <v>166</v>
      </c>
      <c r="AD132" s="5">
        <v>101</v>
      </c>
      <c r="AE132" s="5">
        <v>25</v>
      </c>
      <c r="AF132" s="5">
        <v>39</v>
      </c>
      <c r="AG132" s="5">
        <v>198</v>
      </c>
      <c r="AH132" s="5">
        <v>206</v>
      </c>
      <c r="AI132" s="5" t="s">
        <v>545</v>
      </c>
      <c r="AJ132" s="5"/>
      <c r="AK132" s="5" t="s">
        <v>546</v>
      </c>
      <c r="AL132" s="5" t="s">
        <v>547</v>
      </c>
      <c r="AM132" s="5"/>
      <c r="AN132" s="5">
        <v>10</v>
      </c>
      <c r="AO132" s="5">
        <v>3</v>
      </c>
      <c r="AP132" s="5">
        <v>3</v>
      </c>
      <c r="AQ132" s="5">
        <v>3</v>
      </c>
      <c r="AR132" s="5">
        <v>5</v>
      </c>
      <c r="AS132" s="5" t="s">
        <v>548</v>
      </c>
      <c r="AT132" s="5">
        <v>1</v>
      </c>
      <c r="AU132" s="5">
        <v>2</v>
      </c>
      <c r="AV132" s="5">
        <v>1</v>
      </c>
      <c r="AW132" s="5">
        <v>1</v>
      </c>
      <c r="AX132" s="5">
        <v>1</v>
      </c>
      <c r="AY132" s="5">
        <v>1</v>
      </c>
      <c r="AZ132" s="5">
        <v>1</v>
      </c>
      <c r="BA132" s="5">
        <v>1</v>
      </c>
      <c r="BB132" s="5">
        <v>1</v>
      </c>
      <c r="BC132" s="5">
        <v>90</v>
      </c>
      <c r="BD132" s="5">
        <v>1</v>
      </c>
      <c r="BE132" s="5">
        <v>2</v>
      </c>
      <c r="BF132" s="5">
        <v>0</v>
      </c>
      <c r="BG132" s="5">
        <v>1</v>
      </c>
      <c r="BH132" s="5">
        <v>1</v>
      </c>
      <c r="BI132" s="5">
        <v>1</v>
      </c>
      <c r="BJ132" s="5">
        <v>1</v>
      </c>
      <c r="BK132" s="5">
        <v>1</v>
      </c>
      <c r="BL132" s="5">
        <v>2</v>
      </c>
      <c r="BM132" s="5">
        <v>2</v>
      </c>
      <c r="BN132" s="5">
        <v>2</v>
      </c>
      <c r="BO132" s="5">
        <v>1</v>
      </c>
      <c r="BP132" s="5">
        <v>1</v>
      </c>
      <c r="BQ132" s="5">
        <v>1</v>
      </c>
      <c r="BR132" s="5">
        <v>17</v>
      </c>
      <c r="BS132" s="5">
        <v>1</v>
      </c>
      <c r="BT132" s="5">
        <v>1</v>
      </c>
      <c r="BU132" s="5"/>
    </row>
    <row r="133" spans="1:73" x14ac:dyDescent="0.25">
      <c r="A133" s="5" t="s">
        <v>570</v>
      </c>
      <c r="B133" s="5">
        <v>0</v>
      </c>
      <c r="C133" s="5">
        <v>12.4711</v>
      </c>
      <c r="D133" s="6">
        <v>231002507</v>
      </c>
      <c r="E133" s="5">
        <v>55</v>
      </c>
      <c r="F133" s="5">
        <v>2</v>
      </c>
      <c r="G133" s="7">
        <v>45219</v>
      </c>
      <c r="H133" s="11">
        <v>0.54166666666666663</v>
      </c>
      <c r="I133" s="7">
        <v>45219</v>
      </c>
      <c r="J133" s="7">
        <v>45228</v>
      </c>
      <c r="K133" s="5">
        <v>7498754557</v>
      </c>
      <c r="L133" s="5">
        <v>8888410178</v>
      </c>
      <c r="M133" s="5">
        <v>8</v>
      </c>
      <c r="N133" s="5">
        <v>1</v>
      </c>
      <c r="O133" s="5">
        <v>1</v>
      </c>
      <c r="P133" s="5">
        <v>2</v>
      </c>
      <c r="Q133" s="5">
        <v>2</v>
      </c>
      <c r="R133" s="5">
        <v>2</v>
      </c>
      <c r="S133" s="5">
        <v>2</v>
      </c>
      <c r="T133" s="5">
        <v>2</v>
      </c>
      <c r="U133" s="5">
        <v>2</v>
      </c>
      <c r="V133" s="5">
        <v>2</v>
      </c>
      <c r="W133" s="5"/>
      <c r="X133" s="5">
        <v>10.4</v>
      </c>
      <c r="Y133" s="5">
        <v>32.4</v>
      </c>
      <c r="Z133" s="5">
        <v>83.5</v>
      </c>
      <c r="AA133" s="5">
        <v>16.39</v>
      </c>
      <c r="AB133" s="5">
        <v>7.3</v>
      </c>
      <c r="AC133" s="5">
        <v>186</v>
      </c>
      <c r="AD133" s="5">
        <v>130.19999999999999</v>
      </c>
      <c r="AE133" s="5">
        <v>34</v>
      </c>
      <c r="AF133" s="5">
        <v>21.8</v>
      </c>
      <c r="AG133" s="5">
        <v>109</v>
      </c>
      <c r="AH133" s="5">
        <v>148</v>
      </c>
      <c r="AI133" s="5"/>
      <c r="AJ133" s="5"/>
      <c r="AK133" s="5" t="s">
        <v>571</v>
      </c>
      <c r="AL133" s="5" t="s">
        <v>572</v>
      </c>
      <c r="AM133" s="5"/>
      <c r="AN133" s="5">
        <v>10</v>
      </c>
      <c r="AO133" s="5">
        <v>1</v>
      </c>
      <c r="AP133" s="5">
        <v>3</v>
      </c>
      <c r="AQ133" s="5">
        <v>3</v>
      </c>
      <c r="AR133" s="5">
        <v>5</v>
      </c>
      <c r="AS133" s="5"/>
      <c r="AT133" s="5">
        <v>1</v>
      </c>
      <c r="AU133" s="5">
        <v>1</v>
      </c>
      <c r="AV133" s="5">
        <v>2</v>
      </c>
      <c r="AW133" s="5"/>
      <c r="AX133" s="5"/>
      <c r="AY133" s="5"/>
      <c r="AZ133" s="5"/>
      <c r="BA133" s="5">
        <v>1</v>
      </c>
      <c r="BB133" s="5">
        <v>1</v>
      </c>
      <c r="BC133" s="5">
        <v>100</v>
      </c>
      <c r="BD133" s="5">
        <v>1</v>
      </c>
      <c r="BE133" s="5">
        <v>2</v>
      </c>
      <c r="BF133" s="5">
        <v>2</v>
      </c>
      <c r="BG133" s="5">
        <v>2</v>
      </c>
      <c r="BH133" s="5">
        <v>1</v>
      </c>
      <c r="BI133" s="5">
        <v>1</v>
      </c>
      <c r="BJ133" s="5">
        <v>1</v>
      </c>
      <c r="BK133" s="5">
        <v>1</v>
      </c>
      <c r="BL133" s="5">
        <v>2</v>
      </c>
      <c r="BM133" s="5">
        <v>2</v>
      </c>
      <c r="BN133" s="5">
        <v>2</v>
      </c>
      <c r="BO133" s="5">
        <v>1</v>
      </c>
      <c r="BP133" s="5">
        <v>1</v>
      </c>
      <c r="BQ133" s="5">
        <v>1</v>
      </c>
      <c r="BR133" s="5">
        <v>20</v>
      </c>
      <c r="BS133" s="5">
        <v>0</v>
      </c>
      <c r="BT133" s="5">
        <v>0</v>
      </c>
      <c r="BU133" s="5"/>
    </row>
    <row r="134" spans="1:73" x14ac:dyDescent="0.25">
      <c r="A134" s="5" t="s">
        <v>258</v>
      </c>
      <c r="B134" s="5">
        <v>1</v>
      </c>
      <c r="C134" s="5">
        <v>1.1534199999999999</v>
      </c>
      <c r="D134" s="6">
        <v>230000000000</v>
      </c>
      <c r="E134" s="5">
        <v>72</v>
      </c>
      <c r="F134" s="5">
        <v>1</v>
      </c>
      <c r="G134" s="7">
        <v>45266</v>
      </c>
      <c r="H134" s="11">
        <v>0.35416666666666669</v>
      </c>
      <c r="I134" s="7">
        <v>45266</v>
      </c>
      <c r="J134" s="7">
        <v>45267</v>
      </c>
      <c r="K134" s="5">
        <v>9325344148</v>
      </c>
      <c r="L134" s="5"/>
      <c r="M134" s="5">
        <v>10</v>
      </c>
      <c r="N134" s="5">
        <v>2</v>
      </c>
      <c r="O134" s="5">
        <v>2</v>
      </c>
      <c r="P134" s="5">
        <v>2</v>
      </c>
      <c r="Q134" s="5">
        <v>2</v>
      </c>
      <c r="R134" s="5">
        <v>2</v>
      </c>
      <c r="S134" s="5">
        <v>2</v>
      </c>
      <c r="T134" s="5">
        <v>2</v>
      </c>
      <c r="U134" s="5">
        <v>2</v>
      </c>
      <c r="V134" s="5">
        <v>2</v>
      </c>
      <c r="W134" s="5" t="s">
        <v>259</v>
      </c>
      <c r="X134" s="5">
        <v>14.1</v>
      </c>
      <c r="Y134" s="5">
        <v>43.2</v>
      </c>
      <c r="Z134" s="5">
        <v>98.6</v>
      </c>
      <c r="AA134" s="5">
        <v>77.569999999999993</v>
      </c>
      <c r="AB134" s="5">
        <v>5.3</v>
      </c>
      <c r="AC134" s="5">
        <v>166</v>
      </c>
      <c r="AD134" s="5">
        <v>123.4</v>
      </c>
      <c r="AE134" s="5">
        <v>25</v>
      </c>
      <c r="AF134" s="5">
        <v>17.600000000000001</v>
      </c>
      <c r="AG134" s="5">
        <v>88</v>
      </c>
      <c r="AH134" s="5">
        <v>2000</v>
      </c>
      <c r="AI134" s="5"/>
      <c r="AJ134" s="5"/>
      <c r="AK134" s="5"/>
      <c r="AL134" s="5" t="s">
        <v>260</v>
      </c>
      <c r="AM134" s="5"/>
      <c r="AN134" s="5">
        <v>10</v>
      </c>
      <c r="AO134" s="5">
        <v>1</v>
      </c>
      <c r="AP134" s="5">
        <v>3</v>
      </c>
      <c r="AQ134" s="5">
        <v>3</v>
      </c>
      <c r="AR134" s="5">
        <v>5</v>
      </c>
      <c r="AS134" s="5"/>
      <c r="AT134" s="5">
        <v>1</v>
      </c>
      <c r="AU134" s="5">
        <v>2</v>
      </c>
      <c r="AV134" s="5">
        <v>2</v>
      </c>
      <c r="AW134" s="5">
        <v>4</v>
      </c>
      <c r="AX134" s="5">
        <v>8</v>
      </c>
      <c r="AY134" s="5">
        <v>1</v>
      </c>
      <c r="AZ134" s="5">
        <v>2</v>
      </c>
      <c r="BA134" s="5">
        <v>4</v>
      </c>
      <c r="BB134" s="5">
        <v>2</v>
      </c>
      <c r="BC134" s="5">
        <v>35</v>
      </c>
      <c r="BD134" s="5">
        <v>1</v>
      </c>
      <c r="BE134" s="5">
        <v>2</v>
      </c>
      <c r="BF134" s="5">
        <v>2</v>
      </c>
      <c r="BG134" s="5">
        <v>2</v>
      </c>
      <c r="BH134" s="5">
        <v>1</v>
      </c>
      <c r="BI134" s="5">
        <v>1</v>
      </c>
      <c r="BJ134" s="5">
        <v>1</v>
      </c>
      <c r="BK134" s="5">
        <v>0</v>
      </c>
      <c r="BL134" s="5">
        <v>1</v>
      </c>
      <c r="BM134" s="5">
        <v>2</v>
      </c>
      <c r="BN134" s="5">
        <v>2</v>
      </c>
      <c r="BO134" s="5">
        <v>1</v>
      </c>
      <c r="BP134" s="5">
        <v>1</v>
      </c>
      <c r="BQ134" s="5">
        <v>1</v>
      </c>
      <c r="BR134" s="5">
        <v>18</v>
      </c>
      <c r="BS134" s="5"/>
      <c r="BT134" s="5"/>
      <c r="BU134" s="5"/>
    </row>
    <row r="135" spans="1:73" x14ac:dyDescent="0.25">
      <c r="A135" s="5" t="s">
        <v>445</v>
      </c>
      <c r="B135" s="5">
        <v>1</v>
      </c>
      <c r="C135" s="5">
        <v>1.08002</v>
      </c>
      <c r="D135" s="6">
        <v>230000000000</v>
      </c>
      <c r="E135" s="5">
        <v>47</v>
      </c>
      <c r="F135" s="5">
        <v>2</v>
      </c>
      <c r="G135" s="7">
        <v>45216</v>
      </c>
      <c r="H135" s="11">
        <v>0.45833333333333331</v>
      </c>
      <c r="I135" s="7">
        <v>45216</v>
      </c>
      <c r="J135" s="7">
        <v>45217</v>
      </c>
      <c r="K135" s="5">
        <v>9175019937</v>
      </c>
      <c r="L135" s="5">
        <v>9175702520</v>
      </c>
      <c r="M135" s="5">
        <v>5</v>
      </c>
      <c r="N135" s="5">
        <v>1</v>
      </c>
      <c r="O135" s="5">
        <v>2</v>
      </c>
      <c r="P135" s="5">
        <v>2</v>
      </c>
      <c r="Q135" s="5">
        <v>2</v>
      </c>
      <c r="R135" s="5">
        <v>2</v>
      </c>
      <c r="S135" s="5">
        <v>2</v>
      </c>
      <c r="T135" s="5">
        <v>2</v>
      </c>
      <c r="U135" s="5">
        <v>2</v>
      </c>
      <c r="V135" s="5">
        <v>2</v>
      </c>
      <c r="W135" s="5"/>
      <c r="X135" s="5">
        <v>14.6</v>
      </c>
      <c r="Y135" s="5">
        <v>46.2</v>
      </c>
      <c r="Z135" s="5">
        <v>83.9</v>
      </c>
      <c r="AA135" s="5">
        <v>15.88</v>
      </c>
      <c r="AB135" s="5">
        <v>6</v>
      </c>
      <c r="AC135" s="5">
        <v>246</v>
      </c>
      <c r="AD135" s="5">
        <v>141.4</v>
      </c>
      <c r="AE135" s="5">
        <v>48</v>
      </c>
      <c r="AF135" s="5">
        <v>56.6</v>
      </c>
      <c r="AG135" s="5">
        <v>283</v>
      </c>
      <c r="AH135" s="5">
        <v>179</v>
      </c>
      <c r="AI135" s="5"/>
      <c r="AJ135" s="5"/>
      <c r="AK135" s="5" t="s">
        <v>446</v>
      </c>
      <c r="AL135" s="5" t="s">
        <v>326</v>
      </c>
      <c r="AM135" s="5"/>
      <c r="AN135" s="5">
        <v>10</v>
      </c>
      <c r="AO135" s="5">
        <v>1</v>
      </c>
      <c r="AP135" s="5">
        <v>5</v>
      </c>
      <c r="AQ135" s="5">
        <v>3</v>
      </c>
      <c r="AR135" s="5">
        <v>5</v>
      </c>
      <c r="AS135" s="5"/>
      <c r="AT135" s="5">
        <v>1</v>
      </c>
      <c r="AU135" s="5">
        <v>2</v>
      </c>
      <c r="AV135" s="5">
        <v>1</v>
      </c>
      <c r="AW135" s="5">
        <v>1</v>
      </c>
      <c r="AX135" s="5"/>
      <c r="AY135" s="5"/>
      <c r="AZ135" s="5"/>
      <c r="BA135" s="5">
        <v>4</v>
      </c>
      <c r="BB135" s="5">
        <v>2</v>
      </c>
      <c r="BC135" s="5">
        <v>25</v>
      </c>
      <c r="BD135" s="5">
        <v>1</v>
      </c>
      <c r="BE135" s="5">
        <v>2</v>
      </c>
      <c r="BF135" s="5">
        <v>2</v>
      </c>
      <c r="BG135" s="5">
        <v>2</v>
      </c>
      <c r="BH135" s="5">
        <v>1</v>
      </c>
      <c r="BI135" s="5">
        <v>1</v>
      </c>
      <c r="BJ135" s="5">
        <v>1</v>
      </c>
      <c r="BK135" s="5">
        <v>1</v>
      </c>
      <c r="BL135" s="5">
        <v>2</v>
      </c>
      <c r="BM135" s="5">
        <v>2</v>
      </c>
      <c r="BN135" s="5">
        <v>2</v>
      </c>
      <c r="BO135" s="5">
        <v>1</v>
      </c>
      <c r="BP135" s="5">
        <v>1</v>
      </c>
      <c r="BQ135" s="5">
        <v>1</v>
      </c>
      <c r="BR135" s="5">
        <v>20</v>
      </c>
      <c r="BS135" s="5">
        <v>1</v>
      </c>
      <c r="BT135" s="5">
        <v>1</v>
      </c>
      <c r="BU135" s="5"/>
    </row>
    <row r="136" spans="1:73" x14ac:dyDescent="0.25">
      <c r="A136" s="5" t="s">
        <v>525</v>
      </c>
      <c r="B136" s="5">
        <v>0</v>
      </c>
      <c r="C136" s="5">
        <v>1.60792</v>
      </c>
      <c r="D136" s="6">
        <v>170303850</v>
      </c>
      <c r="E136" s="5">
        <v>59</v>
      </c>
      <c r="F136" s="5">
        <v>1</v>
      </c>
      <c r="G136" s="7"/>
      <c r="H136" s="5"/>
      <c r="I136" s="7">
        <v>45031</v>
      </c>
      <c r="J136" s="7">
        <v>45033</v>
      </c>
      <c r="K136" s="5">
        <v>9850842260</v>
      </c>
      <c r="L136" s="5"/>
      <c r="M136" s="5">
        <v>5</v>
      </c>
      <c r="N136" s="5">
        <v>2</v>
      </c>
      <c r="O136" s="5">
        <v>1</v>
      </c>
      <c r="P136" s="5">
        <v>1</v>
      </c>
      <c r="Q136" s="5">
        <v>1</v>
      </c>
      <c r="R136" s="5">
        <v>1</v>
      </c>
      <c r="S136" s="5">
        <v>2</v>
      </c>
      <c r="T136" s="5">
        <v>2</v>
      </c>
      <c r="U136" s="5">
        <v>2</v>
      </c>
      <c r="V136" s="5">
        <v>2</v>
      </c>
      <c r="W136" s="5"/>
      <c r="X136" s="5">
        <v>15.4</v>
      </c>
      <c r="Y136" s="5">
        <v>45</v>
      </c>
      <c r="Z136" s="5"/>
      <c r="AA136" s="5">
        <v>9.3800000000000008</v>
      </c>
      <c r="AB136" s="5">
        <v>9.1999999999999993</v>
      </c>
      <c r="AC136" s="5">
        <v>158</v>
      </c>
      <c r="AD136" s="5">
        <v>65.400000000000006</v>
      </c>
      <c r="AE136" s="5">
        <v>23</v>
      </c>
      <c r="AF136" s="5">
        <v>69.599999999999994</v>
      </c>
      <c r="AG136" s="5">
        <v>348</v>
      </c>
      <c r="AH136" s="5">
        <v>177</v>
      </c>
      <c r="AI136" s="5"/>
      <c r="AJ136" s="5"/>
      <c r="AK136" s="5" t="s">
        <v>526</v>
      </c>
      <c r="AL136" s="5" t="s">
        <v>527</v>
      </c>
      <c r="AM136" s="5"/>
      <c r="AN136" s="5">
        <v>10</v>
      </c>
      <c r="AO136" s="5">
        <v>1</v>
      </c>
      <c r="AP136" s="5">
        <v>4</v>
      </c>
      <c r="AQ136" s="5">
        <v>3</v>
      </c>
      <c r="AR136" s="5">
        <v>5</v>
      </c>
      <c r="AS136" s="5"/>
      <c r="AT136" s="5">
        <v>1</v>
      </c>
      <c r="AU136" s="5">
        <v>2</v>
      </c>
      <c r="AV136" s="5">
        <v>2</v>
      </c>
      <c r="AW136" s="5"/>
      <c r="AX136" s="5"/>
      <c r="AY136" s="5"/>
      <c r="AZ136" s="5">
        <v>1</v>
      </c>
      <c r="BA136" s="5">
        <v>4</v>
      </c>
      <c r="BB136" s="5">
        <v>2</v>
      </c>
      <c r="BC136" s="5">
        <v>45</v>
      </c>
      <c r="BD136" s="5">
        <v>1</v>
      </c>
      <c r="BE136" s="5">
        <v>2</v>
      </c>
      <c r="BF136" s="5">
        <v>2</v>
      </c>
      <c r="BG136" s="5">
        <v>2</v>
      </c>
      <c r="BH136" s="5">
        <v>1</v>
      </c>
      <c r="BI136" s="5">
        <v>1</v>
      </c>
      <c r="BJ136" s="5">
        <v>1</v>
      </c>
      <c r="BK136" s="5">
        <v>1</v>
      </c>
      <c r="BL136" s="5">
        <v>2</v>
      </c>
      <c r="BM136" s="5">
        <v>1</v>
      </c>
      <c r="BN136" s="5">
        <v>2</v>
      </c>
      <c r="BO136" s="5">
        <v>1</v>
      </c>
      <c r="BP136" s="5">
        <v>0</v>
      </c>
      <c r="BQ136" s="5">
        <v>1</v>
      </c>
      <c r="BR136" s="5">
        <v>18</v>
      </c>
      <c r="BS136" s="5">
        <v>1</v>
      </c>
      <c r="BT136" s="5">
        <v>1</v>
      </c>
      <c r="BU136" s="5"/>
    </row>
    <row r="137" spans="1:73" x14ac:dyDescent="0.25">
      <c r="A137" s="5" t="s">
        <v>662</v>
      </c>
      <c r="B137" s="5">
        <v>0</v>
      </c>
      <c r="C137" s="5">
        <v>1.17204</v>
      </c>
      <c r="D137" s="6">
        <v>230000000000</v>
      </c>
      <c r="E137" s="5">
        <v>75</v>
      </c>
      <c r="F137" s="5">
        <v>2</v>
      </c>
      <c r="G137" s="7">
        <v>45263</v>
      </c>
      <c r="H137" s="11">
        <v>0.34166666666666662</v>
      </c>
      <c r="I137" s="7">
        <v>45263</v>
      </c>
      <c r="J137" s="7">
        <v>45266</v>
      </c>
      <c r="K137" s="5">
        <v>7385959592</v>
      </c>
      <c r="L137" s="5">
        <v>8788734244</v>
      </c>
      <c r="M137" s="5">
        <v>11</v>
      </c>
      <c r="N137" s="5">
        <v>1</v>
      </c>
      <c r="O137" s="5">
        <v>2</v>
      </c>
      <c r="P137" s="5">
        <v>2</v>
      </c>
      <c r="Q137" s="5">
        <v>2</v>
      </c>
      <c r="R137" s="5">
        <v>2</v>
      </c>
      <c r="S137" s="5">
        <v>2</v>
      </c>
      <c r="T137" s="5">
        <v>1</v>
      </c>
      <c r="U137" s="5">
        <v>2</v>
      </c>
      <c r="V137" s="5">
        <v>2</v>
      </c>
      <c r="W137" s="5" t="s">
        <v>663</v>
      </c>
      <c r="X137" s="5">
        <v>13.1</v>
      </c>
      <c r="Y137" s="5">
        <v>40.700000000000003</v>
      </c>
      <c r="Z137" s="5"/>
      <c r="AA137" s="5">
        <v>18.91</v>
      </c>
      <c r="AB137" s="5">
        <v>6.6</v>
      </c>
      <c r="AC137" s="5"/>
      <c r="AD137" s="5"/>
      <c r="AE137" s="5"/>
      <c r="AF137" s="5"/>
      <c r="AG137" s="5"/>
      <c r="AH137" s="5"/>
      <c r="AI137" s="5"/>
      <c r="AJ137" s="5"/>
      <c r="AK137" s="5" t="s">
        <v>664</v>
      </c>
      <c r="AL137" s="5" t="s">
        <v>665</v>
      </c>
      <c r="AM137" s="5"/>
      <c r="AN137" s="5">
        <v>10</v>
      </c>
      <c r="AO137" s="5">
        <v>1</v>
      </c>
      <c r="AP137" s="5">
        <v>3</v>
      </c>
      <c r="AQ137" s="5">
        <v>3</v>
      </c>
      <c r="AR137" s="5">
        <v>5</v>
      </c>
      <c r="AS137" s="5"/>
      <c r="AT137" s="5">
        <v>1</v>
      </c>
      <c r="AU137" s="5">
        <v>1</v>
      </c>
      <c r="AV137" s="5">
        <v>2</v>
      </c>
      <c r="AW137" s="5">
        <v>4</v>
      </c>
      <c r="AX137" s="5">
        <v>8</v>
      </c>
      <c r="AY137" s="5"/>
      <c r="AZ137" s="5"/>
      <c r="BA137" s="5">
        <v>4</v>
      </c>
      <c r="BB137" s="5">
        <v>2</v>
      </c>
      <c r="BC137" s="5">
        <v>40</v>
      </c>
      <c r="BD137" s="5"/>
      <c r="BE137" s="5"/>
      <c r="BF137" s="5"/>
      <c r="BG137" s="5"/>
      <c r="BH137" s="5"/>
      <c r="BI137" s="5"/>
      <c r="BJ137" s="5"/>
      <c r="BK137" s="5"/>
      <c r="BL137" s="5"/>
      <c r="BM137" s="5"/>
      <c r="BN137" s="5"/>
      <c r="BO137" s="5"/>
      <c r="BP137" s="5"/>
      <c r="BQ137" s="5"/>
      <c r="BR137" s="5"/>
      <c r="BS137" s="5"/>
      <c r="BT137" s="5"/>
      <c r="BU137" s="5" t="s">
        <v>578</v>
      </c>
    </row>
    <row r="138" spans="1:73" x14ac:dyDescent="0.25">
      <c r="A138" s="5" t="s">
        <v>459</v>
      </c>
      <c r="B138" s="5">
        <v>1</v>
      </c>
      <c r="C138" s="5">
        <v>0.91022599999999998</v>
      </c>
      <c r="D138" s="6">
        <v>220402573</v>
      </c>
      <c r="E138" s="5">
        <v>50</v>
      </c>
      <c r="F138" s="5">
        <v>1</v>
      </c>
      <c r="G138" s="7"/>
      <c r="H138" s="5"/>
      <c r="I138" s="7">
        <v>44974</v>
      </c>
      <c r="J138" s="7">
        <v>44979</v>
      </c>
      <c r="K138" s="5">
        <v>9373878732</v>
      </c>
      <c r="L138" s="5"/>
      <c r="M138" s="5">
        <v>3</v>
      </c>
      <c r="N138" s="5">
        <v>1</v>
      </c>
      <c r="O138" s="5">
        <v>2</v>
      </c>
      <c r="P138" s="5">
        <v>2</v>
      </c>
      <c r="Q138" s="5">
        <v>2</v>
      </c>
      <c r="R138" s="5">
        <v>2</v>
      </c>
      <c r="S138" s="5">
        <v>2</v>
      </c>
      <c r="T138" s="5">
        <v>2</v>
      </c>
      <c r="U138" s="5">
        <v>2</v>
      </c>
      <c r="V138" s="5">
        <v>2</v>
      </c>
      <c r="W138" s="5" t="s">
        <v>460</v>
      </c>
      <c r="X138" s="5">
        <v>16.2</v>
      </c>
      <c r="Y138" s="5">
        <v>47</v>
      </c>
      <c r="Z138" s="5"/>
      <c r="AA138" s="5">
        <v>70</v>
      </c>
      <c r="AB138" s="5">
        <v>5.4</v>
      </c>
      <c r="AC138" s="5"/>
      <c r="AD138" s="5"/>
      <c r="AE138" s="5"/>
      <c r="AF138" s="5"/>
      <c r="AG138" s="5"/>
      <c r="AH138" s="5">
        <v>2000</v>
      </c>
      <c r="AI138" s="5" t="s">
        <v>461</v>
      </c>
      <c r="AJ138" s="5"/>
      <c r="AK138" s="5" t="s">
        <v>462</v>
      </c>
      <c r="AL138" s="5" t="s">
        <v>326</v>
      </c>
      <c r="AM138" s="5"/>
      <c r="AN138" s="5">
        <v>10</v>
      </c>
      <c r="AO138" s="5">
        <v>1</v>
      </c>
      <c r="AP138" s="5">
        <v>3</v>
      </c>
      <c r="AQ138" s="5">
        <v>3</v>
      </c>
      <c r="AR138" s="5">
        <v>5</v>
      </c>
      <c r="AS138" s="5"/>
      <c r="AT138" s="5">
        <v>1</v>
      </c>
      <c r="AU138" s="5">
        <v>1</v>
      </c>
      <c r="AV138" s="5">
        <v>2</v>
      </c>
      <c r="AW138" s="5"/>
      <c r="AX138" s="5">
        <v>4</v>
      </c>
      <c r="AY138" s="5">
        <v>2</v>
      </c>
      <c r="AZ138" s="5">
        <v>2</v>
      </c>
      <c r="BA138" s="5">
        <v>5</v>
      </c>
      <c r="BB138" s="5">
        <v>2</v>
      </c>
      <c r="BC138" s="5">
        <v>10</v>
      </c>
      <c r="BD138" s="5">
        <v>1</v>
      </c>
      <c r="BE138" s="5">
        <v>2</v>
      </c>
      <c r="BF138" s="5">
        <v>2</v>
      </c>
      <c r="BG138" s="5">
        <v>2</v>
      </c>
      <c r="BH138" s="5">
        <v>1</v>
      </c>
      <c r="BI138" s="5">
        <v>1</v>
      </c>
      <c r="BJ138" s="5">
        <v>1</v>
      </c>
      <c r="BK138" s="5">
        <v>1</v>
      </c>
      <c r="BL138" s="5">
        <v>2</v>
      </c>
      <c r="BM138" s="5">
        <v>2</v>
      </c>
      <c r="BN138" s="5">
        <v>2</v>
      </c>
      <c r="BO138" s="5">
        <v>1</v>
      </c>
      <c r="BP138" s="5">
        <v>1</v>
      </c>
      <c r="BQ138" s="5">
        <v>1</v>
      </c>
      <c r="BR138" s="5">
        <v>20</v>
      </c>
      <c r="BS138" s="5">
        <v>1</v>
      </c>
      <c r="BT138" s="5">
        <v>1</v>
      </c>
      <c r="BU138" s="5"/>
    </row>
    <row r="139" spans="1:73" x14ac:dyDescent="0.25">
      <c r="A139" s="5" t="s">
        <v>463</v>
      </c>
      <c r="B139" s="5">
        <v>1</v>
      </c>
      <c r="C139" s="5">
        <v>0.93472299999999997</v>
      </c>
      <c r="D139" s="6">
        <v>230000000000</v>
      </c>
      <c r="E139" s="5">
        <v>47</v>
      </c>
      <c r="F139" s="5">
        <v>1</v>
      </c>
      <c r="G139" s="7">
        <v>45208</v>
      </c>
      <c r="H139" s="11">
        <v>0.35416666666666669</v>
      </c>
      <c r="I139" s="7">
        <v>45208</v>
      </c>
      <c r="J139" s="7">
        <v>45211</v>
      </c>
      <c r="K139" s="5">
        <v>932283864</v>
      </c>
      <c r="L139" s="5">
        <v>7378323273</v>
      </c>
      <c r="M139" s="5">
        <v>8</v>
      </c>
      <c r="N139" s="5">
        <v>1</v>
      </c>
      <c r="O139" s="5">
        <v>2</v>
      </c>
      <c r="P139" s="5">
        <v>2</v>
      </c>
      <c r="Q139" s="5">
        <v>2</v>
      </c>
      <c r="R139" s="5">
        <v>1</v>
      </c>
      <c r="S139" s="5">
        <v>2</v>
      </c>
      <c r="T139" s="5">
        <v>2</v>
      </c>
      <c r="U139" s="5">
        <v>2</v>
      </c>
      <c r="V139" s="5">
        <v>2</v>
      </c>
      <c r="W139" s="5" t="s">
        <v>464</v>
      </c>
      <c r="X139" s="5">
        <v>13.2</v>
      </c>
      <c r="Y139" s="5"/>
      <c r="Z139" s="5"/>
      <c r="AA139" s="5">
        <v>7.61</v>
      </c>
      <c r="AB139" s="5"/>
      <c r="AC139" s="5">
        <v>182</v>
      </c>
      <c r="AD139" s="5">
        <v>126.6</v>
      </c>
      <c r="AE139" s="5">
        <v>41</v>
      </c>
      <c r="AF139" s="5">
        <v>14.4</v>
      </c>
      <c r="AG139" s="5">
        <v>72</v>
      </c>
      <c r="AH139" s="5">
        <v>735</v>
      </c>
      <c r="AI139" s="5"/>
      <c r="AJ139" s="5"/>
      <c r="AK139" s="5" t="s">
        <v>465</v>
      </c>
      <c r="AL139" s="5" t="s">
        <v>326</v>
      </c>
      <c r="AM139" s="5"/>
      <c r="AN139" s="5">
        <v>10</v>
      </c>
      <c r="AO139" s="5">
        <v>1</v>
      </c>
      <c r="AP139" s="5">
        <v>5</v>
      </c>
      <c r="AQ139" s="5">
        <v>3</v>
      </c>
      <c r="AR139" s="5">
        <v>5</v>
      </c>
      <c r="AS139" s="5"/>
      <c r="AT139" s="5">
        <v>1</v>
      </c>
      <c r="AU139" s="5">
        <v>2</v>
      </c>
      <c r="AV139" s="5">
        <v>2</v>
      </c>
      <c r="AW139" s="5"/>
      <c r="AX139" s="5"/>
      <c r="AY139" s="5"/>
      <c r="AZ139" s="5"/>
      <c r="BA139" s="5">
        <v>5</v>
      </c>
      <c r="BB139" s="5">
        <v>2</v>
      </c>
      <c r="BC139" s="5">
        <v>15</v>
      </c>
      <c r="BD139" s="5">
        <v>1</v>
      </c>
      <c r="BE139" s="5">
        <v>2</v>
      </c>
      <c r="BF139" s="5">
        <v>2</v>
      </c>
      <c r="BG139" s="5">
        <v>2</v>
      </c>
      <c r="BH139" s="5">
        <v>1</v>
      </c>
      <c r="BI139" s="5">
        <v>1</v>
      </c>
      <c r="BJ139" s="5">
        <v>1</v>
      </c>
      <c r="BK139" s="5">
        <v>1</v>
      </c>
      <c r="BL139" s="5">
        <v>2</v>
      </c>
      <c r="BM139" s="5">
        <v>2</v>
      </c>
      <c r="BN139" s="5">
        <v>2</v>
      </c>
      <c r="BO139" s="5">
        <v>1</v>
      </c>
      <c r="BP139" s="5">
        <v>1</v>
      </c>
      <c r="BQ139" s="5">
        <v>1</v>
      </c>
      <c r="BR139" s="5">
        <v>20</v>
      </c>
      <c r="BS139" s="5">
        <v>1</v>
      </c>
      <c r="BT139" s="5">
        <v>1</v>
      </c>
      <c r="BU139" s="5"/>
    </row>
    <row r="140" spans="1:73" x14ac:dyDescent="0.25">
      <c r="A140" s="5" t="s">
        <v>528</v>
      </c>
      <c r="B140" s="5">
        <v>0</v>
      </c>
      <c r="C140" s="5">
        <v>0.98799999999999999</v>
      </c>
      <c r="D140" s="6">
        <v>230000000000</v>
      </c>
      <c r="E140" s="5">
        <v>45</v>
      </c>
      <c r="F140" s="5">
        <v>1</v>
      </c>
      <c r="G140" s="7">
        <v>45289</v>
      </c>
      <c r="H140" s="11">
        <v>0.39583333333333331</v>
      </c>
      <c r="I140" s="7">
        <v>45289</v>
      </c>
      <c r="J140" s="7">
        <v>45291</v>
      </c>
      <c r="K140" s="5">
        <v>9950627520</v>
      </c>
      <c r="L140" s="5">
        <v>9545324206</v>
      </c>
      <c r="M140" s="5">
        <v>1</v>
      </c>
      <c r="N140" s="5">
        <v>2</v>
      </c>
      <c r="O140" s="5">
        <v>1</v>
      </c>
      <c r="P140" s="5">
        <v>2</v>
      </c>
      <c r="Q140" s="5">
        <v>2</v>
      </c>
      <c r="R140" s="5">
        <v>2</v>
      </c>
      <c r="S140" s="5">
        <v>2</v>
      </c>
      <c r="T140" s="5">
        <v>2</v>
      </c>
      <c r="U140" s="5">
        <v>2</v>
      </c>
      <c r="V140" s="5">
        <v>2</v>
      </c>
      <c r="W140" s="5"/>
      <c r="X140" s="5">
        <v>14.6</v>
      </c>
      <c r="Y140" s="5">
        <v>43.8</v>
      </c>
      <c r="Z140" s="5">
        <v>80.5</v>
      </c>
      <c r="AA140" s="5">
        <v>13.4</v>
      </c>
      <c r="AB140" s="5">
        <v>10.9</v>
      </c>
      <c r="AC140" s="5">
        <v>38</v>
      </c>
      <c r="AD140" s="5">
        <v>174.4</v>
      </c>
      <c r="AE140" s="5">
        <v>38</v>
      </c>
      <c r="AF140" s="5">
        <v>33.6</v>
      </c>
      <c r="AG140" s="5">
        <v>160</v>
      </c>
      <c r="AH140" s="5"/>
      <c r="AI140" s="5"/>
      <c r="AJ140" s="5"/>
      <c r="AK140" s="5" t="s">
        <v>529</v>
      </c>
      <c r="AL140" s="5" t="s">
        <v>530</v>
      </c>
      <c r="AM140" s="5"/>
      <c r="AN140" s="5">
        <v>10</v>
      </c>
      <c r="AO140" s="5">
        <v>1</v>
      </c>
      <c r="AP140" s="5">
        <v>3</v>
      </c>
      <c r="AQ140" s="5">
        <v>3</v>
      </c>
      <c r="AR140" s="5">
        <v>5</v>
      </c>
      <c r="AS140" s="5"/>
      <c r="AT140" s="5">
        <v>2</v>
      </c>
      <c r="AU140" s="5">
        <v>2</v>
      </c>
      <c r="AV140" s="5">
        <v>2</v>
      </c>
      <c r="AW140" s="5">
        <v>4</v>
      </c>
      <c r="AX140" s="5">
        <v>1</v>
      </c>
      <c r="AY140" s="5">
        <v>2</v>
      </c>
      <c r="AZ140" s="5">
        <v>2</v>
      </c>
      <c r="BA140" s="5">
        <v>5</v>
      </c>
      <c r="BB140" s="5">
        <v>2</v>
      </c>
      <c r="BC140" s="5">
        <v>20</v>
      </c>
      <c r="BD140" s="5">
        <v>1</v>
      </c>
      <c r="BE140" s="5">
        <v>2</v>
      </c>
      <c r="BF140" s="5">
        <v>2</v>
      </c>
      <c r="BG140" s="5">
        <v>2</v>
      </c>
      <c r="BH140" s="5">
        <v>1</v>
      </c>
      <c r="BI140" s="5">
        <v>1</v>
      </c>
      <c r="BJ140" s="5">
        <v>1</v>
      </c>
      <c r="BK140" s="5">
        <v>1</v>
      </c>
      <c r="BL140" s="5">
        <v>2</v>
      </c>
      <c r="BM140" s="5">
        <v>2</v>
      </c>
      <c r="BN140" s="5">
        <v>2</v>
      </c>
      <c r="BO140" s="5">
        <v>1</v>
      </c>
      <c r="BP140" s="5">
        <v>1</v>
      </c>
      <c r="BQ140" s="5">
        <v>1</v>
      </c>
      <c r="BR140" s="5">
        <v>20</v>
      </c>
      <c r="BS140" s="5">
        <v>0</v>
      </c>
      <c r="BT140" s="5">
        <v>1</v>
      </c>
      <c r="BU140" s="5"/>
    </row>
    <row r="141" spans="1:73" x14ac:dyDescent="0.25">
      <c r="A141" s="5" t="s">
        <v>246</v>
      </c>
      <c r="B141" s="5">
        <v>1</v>
      </c>
      <c r="C141" s="5">
        <v>6.8336800000000002</v>
      </c>
      <c r="D141" s="6">
        <v>24000023648</v>
      </c>
      <c r="E141" s="5">
        <v>84</v>
      </c>
      <c r="F141" s="5">
        <v>1</v>
      </c>
      <c r="G141" s="7" t="s">
        <v>247</v>
      </c>
      <c r="H141" s="20">
        <v>0.79166666666666663</v>
      </c>
      <c r="I141" s="7" t="s">
        <v>247</v>
      </c>
      <c r="J141" s="7"/>
      <c r="K141" s="5">
        <v>9762764356</v>
      </c>
      <c r="L141" s="5"/>
      <c r="M141" s="5">
        <v>7</v>
      </c>
      <c r="N141" s="5">
        <v>1</v>
      </c>
      <c r="O141" s="5">
        <v>2</v>
      </c>
      <c r="P141" s="5">
        <v>2</v>
      </c>
      <c r="Q141" s="5">
        <v>2</v>
      </c>
      <c r="R141" s="5">
        <v>2</v>
      </c>
      <c r="S141" s="5">
        <v>2</v>
      </c>
      <c r="T141" s="5">
        <v>2</v>
      </c>
      <c r="U141" s="5">
        <v>2</v>
      </c>
      <c r="V141" s="5">
        <v>2</v>
      </c>
      <c r="W141" s="5" t="s">
        <v>248</v>
      </c>
      <c r="X141" s="5">
        <v>13.1</v>
      </c>
      <c r="Y141" s="5">
        <v>37.799999999999997</v>
      </c>
      <c r="Z141" s="5">
        <v>90</v>
      </c>
      <c r="AA141" s="5"/>
      <c r="AB141" s="5">
        <v>5.5</v>
      </c>
      <c r="AC141" s="5">
        <v>229</v>
      </c>
      <c r="AD141" s="5"/>
      <c r="AE141" s="5">
        <v>35</v>
      </c>
      <c r="AF141" s="5">
        <v>157</v>
      </c>
      <c r="AG141" s="5">
        <v>31.4</v>
      </c>
      <c r="AH141" s="5">
        <v>421</v>
      </c>
      <c r="AI141" s="5"/>
      <c r="AJ141" s="5"/>
      <c r="AK141" s="5" t="s">
        <v>249</v>
      </c>
      <c r="AL141" s="5" t="s">
        <v>250</v>
      </c>
      <c r="AM141" s="5"/>
      <c r="AN141" s="5">
        <v>10</v>
      </c>
      <c r="AO141" s="5">
        <v>1</v>
      </c>
      <c r="AP141" s="5">
        <v>2</v>
      </c>
      <c r="AQ141" s="5">
        <v>3</v>
      </c>
      <c r="AR141" s="5">
        <v>4</v>
      </c>
      <c r="AS141" s="5"/>
      <c r="AT141" s="5">
        <v>1</v>
      </c>
      <c r="AU141" s="5">
        <v>2</v>
      </c>
      <c r="AV141" s="5">
        <v>1</v>
      </c>
      <c r="AW141" s="5">
        <v>1</v>
      </c>
      <c r="AX141" s="5"/>
      <c r="AY141" s="5">
        <v>2</v>
      </c>
      <c r="AZ141" s="5">
        <v>2</v>
      </c>
      <c r="BA141" s="5">
        <v>6</v>
      </c>
      <c r="BB141" s="5">
        <v>2</v>
      </c>
      <c r="BC141" s="5">
        <v>0</v>
      </c>
      <c r="BD141" s="5">
        <v>0</v>
      </c>
      <c r="BE141" s="5">
        <v>2</v>
      </c>
      <c r="BF141" s="5">
        <v>2</v>
      </c>
      <c r="BG141" s="5">
        <v>2</v>
      </c>
      <c r="BH141" s="5">
        <v>1</v>
      </c>
      <c r="BI141" s="5">
        <v>1</v>
      </c>
      <c r="BJ141" s="5">
        <v>1</v>
      </c>
      <c r="BK141" s="5">
        <v>0</v>
      </c>
      <c r="BL141" s="5">
        <v>2</v>
      </c>
      <c r="BM141" s="5">
        <v>2</v>
      </c>
      <c r="BN141" s="5">
        <v>2</v>
      </c>
      <c r="BO141" s="5">
        <v>1</v>
      </c>
      <c r="BP141" s="5">
        <v>1</v>
      </c>
      <c r="BQ141" s="5">
        <v>1</v>
      </c>
      <c r="BR141" s="5">
        <v>18</v>
      </c>
      <c r="BS141" s="5">
        <v>0</v>
      </c>
      <c r="BT141" s="5">
        <v>1</v>
      </c>
      <c r="BU141" s="5"/>
    </row>
    <row r="142" spans="1:73" x14ac:dyDescent="0.25">
      <c r="A142" s="5" t="s">
        <v>365</v>
      </c>
      <c r="B142" s="5">
        <v>1</v>
      </c>
      <c r="C142" s="5">
        <v>0.363236</v>
      </c>
      <c r="D142" s="6">
        <v>120502937</v>
      </c>
      <c r="E142" s="5">
        <v>47</v>
      </c>
      <c r="F142" s="5">
        <v>1</v>
      </c>
      <c r="G142" s="7"/>
      <c r="H142" s="5"/>
      <c r="I142" s="7">
        <v>44970</v>
      </c>
      <c r="J142" s="7">
        <v>44972</v>
      </c>
      <c r="K142" s="5"/>
      <c r="L142" s="5"/>
      <c r="M142" s="5">
        <v>0</v>
      </c>
      <c r="N142" s="5">
        <v>1</v>
      </c>
      <c r="O142" s="5">
        <v>2</v>
      </c>
      <c r="P142" s="5">
        <v>2</v>
      </c>
      <c r="Q142" s="5">
        <v>2</v>
      </c>
      <c r="R142" s="5">
        <v>2</v>
      </c>
      <c r="S142" s="5">
        <v>2</v>
      </c>
      <c r="T142" s="5">
        <v>2</v>
      </c>
      <c r="U142" s="5">
        <v>2</v>
      </c>
      <c r="V142" s="5">
        <v>2</v>
      </c>
      <c r="W142" s="5" t="s">
        <v>366</v>
      </c>
      <c r="X142" s="5">
        <v>12.9</v>
      </c>
      <c r="Y142" s="5">
        <v>39</v>
      </c>
      <c r="Z142" s="5"/>
      <c r="AA142" s="5">
        <v>40</v>
      </c>
      <c r="AB142" s="5">
        <v>5.8</v>
      </c>
      <c r="AC142" s="5"/>
      <c r="AD142" s="5"/>
      <c r="AE142" s="5"/>
      <c r="AF142" s="5"/>
      <c r="AG142" s="5"/>
      <c r="AH142" s="5"/>
      <c r="AI142" s="5" t="s">
        <v>367</v>
      </c>
      <c r="AJ142" s="5"/>
      <c r="AK142" s="5" t="s">
        <v>368</v>
      </c>
      <c r="AL142" s="5" t="s">
        <v>369</v>
      </c>
      <c r="AM142" s="5"/>
      <c r="AN142" s="5">
        <v>10</v>
      </c>
      <c r="AO142" s="5">
        <v>1</v>
      </c>
      <c r="AP142" s="5">
        <v>2</v>
      </c>
      <c r="AQ142" s="5">
        <v>3</v>
      </c>
      <c r="AR142" s="5">
        <v>4</v>
      </c>
      <c r="AS142" s="5"/>
      <c r="AT142" s="5"/>
      <c r="AU142" s="5"/>
      <c r="AV142" s="5"/>
      <c r="AW142" s="5"/>
      <c r="AX142" s="5"/>
      <c r="AY142" s="5"/>
      <c r="AZ142" s="5"/>
      <c r="BA142" s="5">
        <v>6</v>
      </c>
      <c r="BB142" s="5">
        <v>2</v>
      </c>
      <c r="BC142" s="5">
        <v>0</v>
      </c>
      <c r="BD142" s="5">
        <v>1</v>
      </c>
      <c r="BE142" s="5">
        <v>2</v>
      </c>
      <c r="BF142" s="5">
        <v>2</v>
      </c>
      <c r="BG142" s="5">
        <v>2</v>
      </c>
      <c r="BH142" s="5">
        <v>1</v>
      </c>
      <c r="BI142" s="5">
        <v>1</v>
      </c>
      <c r="BJ142" s="5">
        <v>1</v>
      </c>
      <c r="BK142" s="5">
        <v>1</v>
      </c>
      <c r="BL142" s="5">
        <v>1</v>
      </c>
      <c r="BM142" s="5">
        <v>2</v>
      </c>
      <c r="BN142" s="5">
        <v>2</v>
      </c>
      <c r="BO142" s="5">
        <v>1</v>
      </c>
      <c r="BP142" s="5">
        <v>1</v>
      </c>
      <c r="BQ142" s="5">
        <v>1</v>
      </c>
      <c r="BR142" s="5">
        <v>19</v>
      </c>
      <c r="BS142" s="5">
        <v>1</v>
      </c>
      <c r="BT142" s="5">
        <v>1</v>
      </c>
      <c r="BU142" s="5" t="s">
        <v>238</v>
      </c>
    </row>
    <row r="143" spans="1:73" x14ac:dyDescent="0.25">
      <c r="A143" s="5" t="s">
        <v>478</v>
      </c>
      <c r="B143" s="5">
        <v>1</v>
      </c>
      <c r="C143" s="5">
        <v>0.47059200000000001</v>
      </c>
      <c r="D143" s="6">
        <v>131202821</v>
      </c>
      <c r="E143" s="5">
        <v>32</v>
      </c>
      <c r="F143" s="5">
        <v>1</v>
      </c>
      <c r="G143" s="7"/>
      <c r="H143" s="5"/>
      <c r="I143" s="7">
        <v>44982</v>
      </c>
      <c r="J143" s="7">
        <v>44986</v>
      </c>
      <c r="K143" s="5">
        <v>9823579765</v>
      </c>
      <c r="L143" s="5"/>
      <c r="M143" s="5">
        <v>1</v>
      </c>
      <c r="N143" s="5">
        <v>2</v>
      </c>
      <c r="O143" s="5">
        <v>2</v>
      </c>
      <c r="P143" s="5">
        <v>2</v>
      </c>
      <c r="Q143" s="5">
        <v>2</v>
      </c>
      <c r="R143" s="5">
        <v>2</v>
      </c>
      <c r="S143" s="5">
        <v>2</v>
      </c>
      <c r="T143" s="5">
        <v>2</v>
      </c>
      <c r="U143" s="5">
        <v>2</v>
      </c>
      <c r="V143" s="5">
        <v>2</v>
      </c>
      <c r="W143" s="5" t="s">
        <v>479</v>
      </c>
      <c r="X143" s="5">
        <v>14.6</v>
      </c>
      <c r="Y143" s="5"/>
      <c r="Z143" s="5"/>
      <c r="AA143" s="5">
        <v>27</v>
      </c>
      <c r="AB143" s="5"/>
      <c r="AC143" s="5">
        <v>237</v>
      </c>
      <c r="AD143" s="5">
        <v>156</v>
      </c>
      <c r="AE143" s="5">
        <v>54</v>
      </c>
      <c r="AF143" s="5">
        <v>26</v>
      </c>
      <c r="AG143" s="5">
        <v>133</v>
      </c>
      <c r="AH143" s="5">
        <v>156</v>
      </c>
      <c r="AI143" s="5"/>
      <c r="AJ143" s="5"/>
      <c r="AK143" s="5" t="s">
        <v>480</v>
      </c>
      <c r="AL143" s="5" t="s">
        <v>481</v>
      </c>
      <c r="AM143" s="5"/>
      <c r="AN143" s="5">
        <v>10</v>
      </c>
      <c r="AO143" s="5">
        <v>1</v>
      </c>
      <c r="AP143" s="5">
        <v>3</v>
      </c>
      <c r="AQ143" s="5">
        <v>3</v>
      </c>
      <c r="AR143" s="5">
        <v>5</v>
      </c>
      <c r="AS143" s="5"/>
      <c r="AT143" s="5">
        <v>1</v>
      </c>
      <c r="AU143" s="5">
        <v>1</v>
      </c>
      <c r="AV143" s="5">
        <v>2</v>
      </c>
      <c r="AW143" s="5">
        <v>4</v>
      </c>
      <c r="AX143" s="5">
        <v>8</v>
      </c>
      <c r="AY143" s="5">
        <v>2</v>
      </c>
      <c r="AZ143" s="5">
        <v>2</v>
      </c>
      <c r="BA143" s="5">
        <v>6</v>
      </c>
      <c r="BB143" s="5">
        <v>2</v>
      </c>
      <c r="BC143" s="5">
        <v>0</v>
      </c>
      <c r="BD143" s="5">
        <v>1</v>
      </c>
      <c r="BE143" s="5">
        <v>2</v>
      </c>
      <c r="BF143" s="5">
        <v>2</v>
      </c>
      <c r="BG143" s="5">
        <v>2</v>
      </c>
      <c r="BH143" s="5">
        <v>1</v>
      </c>
      <c r="BI143" s="5">
        <v>1</v>
      </c>
      <c r="BJ143" s="5">
        <v>1</v>
      </c>
      <c r="BK143" s="5">
        <v>1</v>
      </c>
      <c r="BL143" s="5">
        <v>2</v>
      </c>
      <c r="BM143" s="5">
        <v>2</v>
      </c>
      <c r="BN143" s="5">
        <v>2</v>
      </c>
      <c r="BO143" s="5">
        <v>1</v>
      </c>
      <c r="BP143" s="5">
        <v>1</v>
      </c>
      <c r="BQ143" s="5">
        <v>1</v>
      </c>
      <c r="BR143" s="5">
        <v>20</v>
      </c>
      <c r="BS143" s="5">
        <v>0</v>
      </c>
      <c r="BT143" s="5">
        <v>1</v>
      </c>
      <c r="BU143" s="5"/>
    </row>
    <row r="144" spans="1:73" x14ac:dyDescent="0.25">
      <c r="A144" s="5" t="s">
        <v>482</v>
      </c>
      <c r="B144" s="5">
        <v>1</v>
      </c>
      <c r="C144" s="5">
        <v>0.48431400000000002</v>
      </c>
      <c r="D144" s="6">
        <v>230404651</v>
      </c>
      <c r="E144" s="5">
        <v>64</v>
      </c>
      <c r="F144" s="5">
        <v>1</v>
      </c>
      <c r="G144" s="7"/>
      <c r="H144" s="5"/>
      <c r="I144" s="7">
        <v>45046</v>
      </c>
      <c r="J144" s="7"/>
      <c r="K144" s="5">
        <v>8999949226</v>
      </c>
      <c r="L144" s="5"/>
      <c r="M144" s="5">
        <v>0</v>
      </c>
      <c r="N144" s="5">
        <v>2</v>
      </c>
      <c r="O144" s="5">
        <v>2</v>
      </c>
      <c r="P144" s="5">
        <v>2</v>
      </c>
      <c r="Q144" s="5">
        <v>2</v>
      </c>
      <c r="R144" s="5">
        <v>1</v>
      </c>
      <c r="S144" s="5">
        <v>2</v>
      </c>
      <c r="T144" s="5">
        <v>2</v>
      </c>
      <c r="U144" s="5">
        <v>2</v>
      </c>
      <c r="V144" s="5">
        <v>2</v>
      </c>
      <c r="W144" s="5"/>
      <c r="X144" s="5">
        <v>14.2</v>
      </c>
      <c r="Y144" s="5">
        <v>42.2</v>
      </c>
      <c r="Z144" s="5"/>
      <c r="AA144" s="5">
        <v>63.8</v>
      </c>
      <c r="AB144" s="5">
        <v>4.9000000000000004</v>
      </c>
      <c r="AC144" s="5">
        <v>201</v>
      </c>
      <c r="AD144" s="5">
        <v>37</v>
      </c>
      <c r="AE144" s="5">
        <v>3.87</v>
      </c>
      <c r="AF144" s="5">
        <v>20</v>
      </c>
      <c r="AG144" s="5">
        <v>104</v>
      </c>
      <c r="AH144" s="5">
        <v>148</v>
      </c>
      <c r="AI144" s="5" t="s">
        <v>483</v>
      </c>
      <c r="AJ144" s="5"/>
      <c r="AK144" s="5"/>
      <c r="AL144" s="5" t="s">
        <v>484</v>
      </c>
      <c r="AM144" s="5"/>
      <c r="AN144" s="5">
        <v>10</v>
      </c>
      <c r="AO144" s="5">
        <v>1</v>
      </c>
      <c r="AP144" s="5">
        <v>3</v>
      </c>
      <c r="AQ144" s="5">
        <v>3</v>
      </c>
      <c r="AR144" s="5">
        <v>5</v>
      </c>
      <c r="AS144" s="5"/>
      <c r="AT144" s="5">
        <v>1</v>
      </c>
      <c r="AU144" s="5">
        <v>1</v>
      </c>
      <c r="AV144" s="5">
        <v>2</v>
      </c>
      <c r="AW144" s="5"/>
      <c r="AX144" s="5"/>
      <c r="AY144" s="5"/>
      <c r="AZ144" s="5"/>
      <c r="BA144" s="5">
        <v>6</v>
      </c>
      <c r="BB144" s="5">
        <v>2</v>
      </c>
      <c r="BC144" s="5">
        <v>0</v>
      </c>
      <c r="BD144" s="5">
        <v>1</v>
      </c>
      <c r="BE144" s="5">
        <v>2</v>
      </c>
      <c r="BF144" s="5">
        <v>2</v>
      </c>
      <c r="BG144" s="5">
        <v>2</v>
      </c>
      <c r="BH144" s="5">
        <v>1</v>
      </c>
      <c r="BI144" s="5">
        <v>1</v>
      </c>
      <c r="BJ144" s="5">
        <v>1</v>
      </c>
      <c r="BK144" s="5">
        <v>1</v>
      </c>
      <c r="BL144" s="5">
        <v>2</v>
      </c>
      <c r="BM144" s="5">
        <v>2</v>
      </c>
      <c r="BN144" s="5">
        <v>2</v>
      </c>
      <c r="BO144" s="5">
        <v>1</v>
      </c>
      <c r="BP144" s="5">
        <v>1</v>
      </c>
      <c r="BQ144" s="5">
        <v>1</v>
      </c>
      <c r="BR144" s="5">
        <v>20</v>
      </c>
      <c r="BS144" s="5">
        <v>1</v>
      </c>
      <c r="BT144" s="5">
        <v>1</v>
      </c>
      <c r="BU144" s="5" t="s">
        <v>238</v>
      </c>
    </row>
    <row r="145" spans="1:73" x14ac:dyDescent="0.25">
      <c r="A145" s="5" t="s">
        <v>531</v>
      </c>
      <c r="B145" s="5">
        <v>0</v>
      </c>
      <c r="C145" s="5">
        <v>0.71678500000000001</v>
      </c>
      <c r="D145" s="6">
        <v>230010831</v>
      </c>
      <c r="E145" s="5">
        <v>32</v>
      </c>
      <c r="F145" s="5">
        <v>1</v>
      </c>
      <c r="G145" s="7">
        <v>45267</v>
      </c>
      <c r="H145" s="11">
        <v>0.39583333333333331</v>
      </c>
      <c r="I145" s="7">
        <v>45267</v>
      </c>
      <c r="J145" s="7">
        <v>45269</v>
      </c>
      <c r="K145" s="5">
        <v>9923173137</v>
      </c>
      <c r="L145" s="5">
        <v>9028021092</v>
      </c>
      <c r="M145" s="5">
        <v>2</v>
      </c>
      <c r="N145" s="5">
        <v>1</v>
      </c>
      <c r="O145" s="5">
        <v>2</v>
      </c>
      <c r="P145" s="5">
        <v>2</v>
      </c>
      <c r="Q145" s="5">
        <v>1</v>
      </c>
      <c r="R145" s="5">
        <v>2</v>
      </c>
      <c r="S145" s="5">
        <v>2</v>
      </c>
      <c r="T145" s="5">
        <v>2</v>
      </c>
      <c r="U145" s="5">
        <v>2</v>
      </c>
      <c r="V145" s="5">
        <v>2</v>
      </c>
      <c r="W145" s="5" t="s">
        <v>532</v>
      </c>
      <c r="X145" s="5">
        <v>15.1</v>
      </c>
      <c r="Y145" s="5">
        <v>45.3</v>
      </c>
      <c r="Z145" s="5">
        <v>85.9</v>
      </c>
      <c r="AA145" s="5">
        <v>24.49</v>
      </c>
      <c r="AB145" s="5">
        <v>5.2</v>
      </c>
      <c r="AC145" s="5"/>
      <c r="AD145" s="5"/>
      <c r="AE145" s="5"/>
      <c r="AF145" s="5"/>
      <c r="AG145" s="5"/>
      <c r="AH145" s="5">
        <v>148</v>
      </c>
      <c r="AI145" s="5"/>
      <c r="AJ145" s="5"/>
      <c r="AK145" s="5" t="s">
        <v>533</v>
      </c>
      <c r="AL145" s="5" t="s">
        <v>326</v>
      </c>
      <c r="AM145" s="5"/>
      <c r="AN145" s="5">
        <v>10</v>
      </c>
      <c r="AO145" s="5">
        <v>1</v>
      </c>
      <c r="AP145" s="5">
        <v>3</v>
      </c>
      <c r="AQ145" s="5">
        <v>3</v>
      </c>
      <c r="AR145" s="5">
        <v>5</v>
      </c>
      <c r="AS145" s="5"/>
      <c r="AT145" s="5">
        <v>1</v>
      </c>
      <c r="AU145" s="5">
        <v>1</v>
      </c>
      <c r="AV145" s="5">
        <v>1</v>
      </c>
      <c r="AW145" s="5">
        <v>2</v>
      </c>
      <c r="AX145" s="5"/>
      <c r="AY145" s="5"/>
      <c r="AZ145" s="5"/>
      <c r="BA145" s="5">
        <v>6</v>
      </c>
      <c r="BB145" s="5">
        <v>2</v>
      </c>
      <c r="BC145" s="5">
        <v>0</v>
      </c>
      <c r="BD145" s="5">
        <v>1</v>
      </c>
      <c r="BE145" s="5">
        <v>2</v>
      </c>
      <c r="BF145" s="5">
        <v>2</v>
      </c>
      <c r="BG145" s="5">
        <v>2</v>
      </c>
      <c r="BH145" s="5">
        <v>1</v>
      </c>
      <c r="BI145" s="5">
        <v>1</v>
      </c>
      <c r="BJ145" s="5">
        <v>1</v>
      </c>
      <c r="BK145" s="5">
        <v>1</v>
      </c>
      <c r="BL145" s="5">
        <v>2</v>
      </c>
      <c r="BM145" s="5">
        <v>2</v>
      </c>
      <c r="BN145" s="5">
        <v>2</v>
      </c>
      <c r="BO145" s="5">
        <v>1</v>
      </c>
      <c r="BP145" s="5">
        <v>1</v>
      </c>
      <c r="BQ145" s="5">
        <v>1</v>
      </c>
      <c r="BR145" s="5">
        <v>20</v>
      </c>
      <c r="BS145" s="5">
        <v>1</v>
      </c>
      <c r="BT145" s="5">
        <v>1</v>
      </c>
      <c r="BU145" s="5"/>
    </row>
    <row r="146" spans="1:73" x14ac:dyDescent="0.25">
      <c r="A146" s="5" t="s">
        <v>681</v>
      </c>
      <c r="B146" s="5">
        <v>0</v>
      </c>
      <c r="C146" s="5">
        <v>0.27605200000000002</v>
      </c>
      <c r="D146" s="6">
        <v>230202594</v>
      </c>
      <c r="E146" s="5">
        <v>68</v>
      </c>
      <c r="F146" s="5">
        <v>1</v>
      </c>
      <c r="G146" s="7"/>
      <c r="H146" s="5"/>
      <c r="I146" s="7">
        <v>44970</v>
      </c>
      <c r="J146" s="7">
        <v>44972</v>
      </c>
      <c r="K146" s="5">
        <v>9820924658</v>
      </c>
      <c r="L146" s="5"/>
      <c r="M146" s="5">
        <v>8</v>
      </c>
      <c r="N146" s="5">
        <v>2</v>
      </c>
      <c r="O146" s="5">
        <v>2</v>
      </c>
      <c r="P146" s="5">
        <v>1</v>
      </c>
      <c r="Q146" s="5">
        <v>2</v>
      </c>
      <c r="R146" s="5">
        <v>2</v>
      </c>
      <c r="S146" s="5">
        <v>2</v>
      </c>
      <c r="T146" s="5">
        <v>1</v>
      </c>
      <c r="U146" s="5">
        <v>2</v>
      </c>
      <c r="V146" s="5">
        <v>2</v>
      </c>
      <c r="W146" s="5" t="s">
        <v>682</v>
      </c>
      <c r="X146" s="5">
        <v>12.1</v>
      </c>
      <c r="Y146" s="5">
        <v>35</v>
      </c>
      <c r="Z146" s="5"/>
      <c r="AA146" s="5">
        <v>66</v>
      </c>
      <c r="AB146" s="5">
        <v>4.7</v>
      </c>
      <c r="AC146" s="5">
        <v>88</v>
      </c>
      <c r="AD146" s="5">
        <v>24</v>
      </c>
      <c r="AE146" s="5">
        <v>6</v>
      </c>
      <c r="AF146" s="5">
        <v>59</v>
      </c>
      <c r="AG146" s="5">
        <v>295</v>
      </c>
      <c r="AH146" s="5">
        <v>1898</v>
      </c>
      <c r="AI146" s="5" t="s">
        <v>683</v>
      </c>
      <c r="AJ146" s="5"/>
      <c r="AK146" s="5" t="s">
        <v>684</v>
      </c>
      <c r="AL146" s="5" t="s">
        <v>685</v>
      </c>
      <c r="AM146" s="5"/>
      <c r="AN146" s="5">
        <v>10</v>
      </c>
      <c r="AO146" s="5"/>
      <c r="AP146" s="5"/>
      <c r="AQ146" s="5"/>
      <c r="AR146" s="5"/>
      <c r="AS146" s="5"/>
      <c r="AT146" s="5">
        <v>1</v>
      </c>
      <c r="AU146" s="5">
        <v>1</v>
      </c>
      <c r="AV146" s="5">
        <v>1</v>
      </c>
      <c r="AW146" s="5">
        <v>1</v>
      </c>
      <c r="AX146" s="5">
        <v>8</v>
      </c>
      <c r="AY146" s="5"/>
      <c r="AZ146" s="5"/>
      <c r="BA146" s="5">
        <v>6</v>
      </c>
      <c r="BB146" s="5">
        <v>2</v>
      </c>
      <c r="BC146" s="5">
        <v>0</v>
      </c>
      <c r="BD146" s="5"/>
      <c r="BE146" s="5"/>
      <c r="BF146" s="5"/>
      <c r="BG146" s="5"/>
      <c r="BH146" s="5"/>
      <c r="BI146" s="5"/>
      <c r="BJ146" s="5"/>
      <c r="BK146" s="5"/>
      <c r="BL146" s="5"/>
      <c r="BM146" s="5"/>
      <c r="BN146" s="5"/>
      <c r="BO146" s="5"/>
      <c r="BP146" s="5"/>
      <c r="BQ146" s="5"/>
      <c r="BR146" s="5"/>
      <c r="BS146" s="5"/>
      <c r="BT146" s="5"/>
      <c r="BU146" s="5" t="s">
        <v>594</v>
      </c>
    </row>
    <row r="147" spans="1:73" x14ac:dyDescent="0.25">
      <c r="A147" s="22" t="s">
        <v>702</v>
      </c>
      <c r="B147" s="22"/>
      <c r="C147" s="22">
        <v>1.78227</v>
      </c>
      <c r="D147" s="22"/>
      <c r="E147" s="22">
        <v>45</v>
      </c>
      <c r="F147" s="22">
        <v>1</v>
      </c>
      <c r="G147" s="23">
        <v>45471</v>
      </c>
      <c r="H147" s="24">
        <v>0.5</v>
      </c>
      <c r="I147" s="23">
        <v>45471</v>
      </c>
      <c r="J147" s="23">
        <v>45474</v>
      </c>
      <c r="K147" s="22">
        <v>9763443333</v>
      </c>
      <c r="L147" s="22"/>
      <c r="M147" s="22">
        <v>8</v>
      </c>
      <c r="N147" s="22">
        <v>1</v>
      </c>
      <c r="O147" s="22">
        <v>1</v>
      </c>
      <c r="P147" s="22">
        <v>2</v>
      </c>
      <c r="Q147" s="22">
        <v>2</v>
      </c>
      <c r="R147" s="22">
        <v>2</v>
      </c>
      <c r="S147" s="22">
        <v>2</v>
      </c>
      <c r="T147" s="22">
        <v>2</v>
      </c>
      <c r="U147" s="22">
        <v>2</v>
      </c>
      <c r="V147" s="22">
        <v>2</v>
      </c>
      <c r="W147" s="22"/>
      <c r="X147" s="22">
        <v>11.4</v>
      </c>
      <c r="Y147" s="22">
        <v>36.700000000000003</v>
      </c>
      <c r="Z147" s="22">
        <v>63.4</v>
      </c>
      <c r="AA147" s="22">
        <v>8.7100000000000009</v>
      </c>
      <c r="AB147" s="22">
        <v>10.4</v>
      </c>
      <c r="AC147" s="22">
        <v>86</v>
      </c>
      <c r="AD147" s="22">
        <v>35.4</v>
      </c>
      <c r="AE147" s="22">
        <v>24</v>
      </c>
      <c r="AF147" s="22">
        <v>26.6</v>
      </c>
      <c r="AG147" s="22">
        <v>133</v>
      </c>
      <c r="AH147" s="22">
        <v>519</v>
      </c>
      <c r="AI147" s="22"/>
      <c r="AJ147" s="22"/>
      <c r="AK147" s="22" t="s">
        <v>703</v>
      </c>
      <c r="AL147" s="22" t="s">
        <v>704</v>
      </c>
      <c r="AM147" s="22"/>
      <c r="AN147" s="22">
        <v>10</v>
      </c>
      <c r="AO147" s="22">
        <v>1</v>
      </c>
      <c r="AP147" s="22">
        <v>3</v>
      </c>
      <c r="AQ147" s="22">
        <v>2</v>
      </c>
      <c r="AR147" s="22">
        <v>5</v>
      </c>
      <c r="AS147" s="22"/>
      <c r="AT147" s="22">
        <v>1</v>
      </c>
      <c r="AU147" s="22">
        <v>1</v>
      </c>
      <c r="AV147" s="22">
        <v>2</v>
      </c>
      <c r="AW147" s="22"/>
      <c r="AX147" s="22"/>
      <c r="AY147" s="22">
        <v>2</v>
      </c>
      <c r="AZ147" s="22">
        <v>2</v>
      </c>
      <c r="BA147" s="22">
        <v>1</v>
      </c>
      <c r="BB147" s="5">
        <v>1</v>
      </c>
      <c r="BC147" s="22">
        <v>100</v>
      </c>
      <c r="BD147" s="22">
        <v>1</v>
      </c>
      <c r="BE147" s="22">
        <v>2</v>
      </c>
      <c r="BF147" s="22">
        <v>2</v>
      </c>
      <c r="BG147" s="22">
        <v>2</v>
      </c>
      <c r="BH147" s="22">
        <v>1</v>
      </c>
      <c r="BI147" s="22">
        <v>1</v>
      </c>
      <c r="BJ147" s="22">
        <v>1</v>
      </c>
      <c r="BK147" s="22">
        <v>1</v>
      </c>
      <c r="BL147" s="22">
        <v>2</v>
      </c>
      <c r="BM147" s="22">
        <v>2</v>
      </c>
      <c r="BN147" s="22">
        <v>2</v>
      </c>
      <c r="BO147" s="22">
        <v>1</v>
      </c>
      <c r="BP147" s="5">
        <v>1</v>
      </c>
      <c r="BQ147" s="5">
        <v>1</v>
      </c>
      <c r="BR147" s="5">
        <v>20</v>
      </c>
      <c r="BS147" s="5">
        <v>1</v>
      </c>
      <c r="BT147" s="5">
        <v>1</v>
      </c>
    </row>
    <row r="148" spans="1:73" x14ac:dyDescent="0.25">
      <c r="A148" s="22" t="s">
        <v>708</v>
      </c>
      <c r="B148" s="22"/>
      <c r="C148" s="22">
        <v>0.27121600000000001</v>
      </c>
      <c r="D148" s="22">
        <v>240000056787</v>
      </c>
      <c r="E148" s="22">
        <v>70</v>
      </c>
      <c r="F148" s="22">
        <v>2</v>
      </c>
      <c r="G148" s="23">
        <v>45471</v>
      </c>
      <c r="H148" s="24">
        <v>0.27083333333333331</v>
      </c>
      <c r="I148" s="23">
        <v>45472</v>
      </c>
      <c r="J148" s="23">
        <v>45474</v>
      </c>
      <c r="K148" s="22">
        <v>9975357000</v>
      </c>
      <c r="L148" s="22"/>
      <c r="M148" s="22">
        <v>0</v>
      </c>
      <c r="N148" s="22">
        <v>1</v>
      </c>
      <c r="O148" s="22">
        <v>2</v>
      </c>
      <c r="P148" s="22">
        <v>2</v>
      </c>
      <c r="Q148" s="22">
        <v>2</v>
      </c>
      <c r="R148" s="22">
        <v>1</v>
      </c>
      <c r="S148" s="22">
        <v>2</v>
      </c>
      <c r="T148" s="22">
        <v>2</v>
      </c>
      <c r="U148" s="22">
        <v>2</v>
      </c>
      <c r="V148" s="22">
        <v>2</v>
      </c>
      <c r="W148" s="22"/>
      <c r="X148" s="22">
        <v>12.6</v>
      </c>
      <c r="Y148" s="22">
        <v>38.1</v>
      </c>
      <c r="Z148" s="22">
        <v>84</v>
      </c>
      <c r="AA148" s="22">
        <v>20.7</v>
      </c>
      <c r="AB148" s="22">
        <v>6.1</v>
      </c>
      <c r="AC148" s="22">
        <v>193</v>
      </c>
      <c r="AD148" s="22">
        <v>115.8</v>
      </c>
      <c r="AE148" s="22">
        <v>38</v>
      </c>
      <c r="AF148" s="22">
        <v>39.200000000000003</v>
      </c>
      <c r="AG148" s="22">
        <v>196</v>
      </c>
      <c r="AH148" s="22">
        <v>169</v>
      </c>
      <c r="AI148" s="22"/>
      <c r="AJ148" s="22"/>
      <c r="AK148" s="22" t="s">
        <v>709</v>
      </c>
      <c r="AL148" s="22" t="s">
        <v>710</v>
      </c>
      <c r="AM148" s="22" t="s">
        <v>711</v>
      </c>
      <c r="AN148" s="22">
        <v>10</v>
      </c>
      <c r="AO148" s="22"/>
      <c r="AP148" s="22"/>
      <c r="AQ148" s="22"/>
      <c r="AR148" s="22"/>
      <c r="AS148" s="22"/>
      <c r="AT148" s="22">
        <v>1</v>
      </c>
      <c r="AU148" s="22">
        <v>1</v>
      </c>
      <c r="AV148" s="22">
        <v>2</v>
      </c>
      <c r="AW148" s="22"/>
      <c r="AX148" s="22"/>
      <c r="AY148" s="22"/>
      <c r="AZ148" s="22"/>
      <c r="BA148" s="22">
        <v>0</v>
      </c>
      <c r="BB148" s="5">
        <v>1</v>
      </c>
      <c r="BC148" s="22">
        <v>100</v>
      </c>
      <c r="BD148" s="22"/>
      <c r="BE148" s="22"/>
      <c r="BF148" s="22"/>
      <c r="BG148" s="22"/>
      <c r="BH148" s="22"/>
      <c r="BI148" s="22"/>
      <c r="BJ148" s="22"/>
      <c r="BK148" s="22"/>
      <c r="BL148" s="22"/>
      <c r="BM148" s="22"/>
      <c r="BN148" s="22"/>
      <c r="BO148" s="22"/>
      <c r="BU148" t="s">
        <v>594</v>
      </c>
    </row>
    <row r="149" spans="1:73" x14ac:dyDescent="0.25">
      <c r="A149" s="12" t="s">
        <v>94</v>
      </c>
      <c r="B149" s="5">
        <v>1</v>
      </c>
      <c r="C149" s="12">
        <v>24.2254</v>
      </c>
      <c r="D149" s="13"/>
      <c r="E149" s="12">
        <v>53</v>
      </c>
      <c r="F149" s="12">
        <v>1</v>
      </c>
      <c r="G149" s="14">
        <v>44953</v>
      </c>
      <c r="H149" s="12"/>
      <c r="I149" s="14">
        <v>44959</v>
      </c>
      <c r="J149" s="14">
        <v>44960</v>
      </c>
      <c r="K149" s="12">
        <v>7875077954</v>
      </c>
      <c r="L149" s="12"/>
      <c r="M149" s="12">
        <v>7</v>
      </c>
      <c r="N149" s="12">
        <v>2</v>
      </c>
      <c r="O149" s="12">
        <v>1</v>
      </c>
      <c r="P149" s="12">
        <v>2</v>
      </c>
      <c r="Q149" s="12">
        <v>2</v>
      </c>
      <c r="R149" s="12">
        <v>2</v>
      </c>
      <c r="S149" s="12">
        <v>2</v>
      </c>
      <c r="T149" s="12">
        <v>2</v>
      </c>
      <c r="U149" s="12">
        <v>2</v>
      </c>
      <c r="V149" s="12">
        <v>2</v>
      </c>
      <c r="W149" s="12"/>
      <c r="X149" s="12">
        <v>13</v>
      </c>
      <c r="Y149" s="12">
        <v>39.6</v>
      </c>
      <c r="Z149" s="12"/>
      <c r="AA149" s="12">
        <v>10.9</v>
      </c>
      <c r="AB149" s="12">
        <v>6.5</v>
      </c>
      <c r="AC149" s="12">
        <v>191</v>
      </c>
      <c r="AD149" s="12">
        <v>131.80000000000001</v>
      </c>
      <c r="AE149" s="12">
        <v>45</v>
      </c>
      <c r="AF149" s="12">
        <v>14.2</v>
      </c>
      <c r="AG149" s="12">
        <v>71</v>
      </c>
      <c r="AH149" s="12">
        <v>2000</v>
      </c>
      <c r="AI149" s="12" t="s">
        <v>95</v>
      </c>
      <c r="AJ149" s="12"/>
      <c r="AK149" s="12" t="s">
        <v>96</v>
      </c>
      <c r="AL149" s="12" t="s">
        <v>97</v>
      </c>
      <c r="AM149" s="12"/>
      <c r="AN149" s="12"/>
      <c r="AO149" s="12"/>
      <c r="AP149" s="12"/>
      <c r="AQ149" s="12"/>
      <c r="AR149" s="12"/>
      <c r="AS149" s="12"/>
      <c r="AT149" s="12">
        <v>1</v>
      </c>
      <c r="AU149" s="12">
        <v>2</v>
      </c>
      <c r="AV149" s="12">
        <v>1</v>
      </c>
      <c r="AW149" s="12">
        <v>1</v>
      </c>
      <c r="AX149" s="12"/>
      <c r="AY149" s="12"/>
      <c r="AZ149" s="12"/>
      <c r="BA149" s="12">
        <v>0</v>
      </c>
      <c r="BB149" s="12">
        <v>1</v>
      </c>
      <c r="BC149" s="12">
        <v>100</v>
      </c>
      <c r="BD149" s="12">
        <v>0</v>
      </c>
      <c r="BE149" s="12">
        <v>1</v>
      </c>
      <c r="BF149" s="12">
        <v>2</v>
      </c>
      <c r="BG149" s="12">
        <v>2</v>
      </c>
      <c r="BH149" s="12">
        <v>1</v>
      </c>
      <c r="BI149" s="12">
        <v>1</v>
      </c>
      <c r="BJ149" s="12">
        <v>1</v>
      </c>
      <c r="BK149" s="12">
        <v>0</v>
      </c>
      <c r="BL149" s="12">
        <v>1</v>
      </c>
      <c r="BM149" s="12">
        <v>0</v>
      </c>
      <c r="BN149" s="12">
        <v>2</v>
      </c>
      <c r="BO149" s="12">
        <v>1</v>
      </c>
      <c r="BP149" s="12">
        <v>1</v>
      </c>
      <c r="BQ149" s="12">
        <v>1</v>
      </c>
      <c r="BR149" s="12">
        <v>14</v>
      </c>
      <c r="BS149" s="12">
        <v>1</v>
      </c>
      <c r="BT149" s="12">
        <v>1</v>
      </c>
      <c r="BU149" s="12"/>
    </row>
    <row r="150" spans="1:73" x14ac:dyDescent="0.25">
      <c r="A150" s="5" t="s">
        <v>131</v>
      </c>
      <c r="B150" s="5">
        <v>1</v>
      </c>
      <c r="C150" s="5">
        <v>48.421700000000001</v>
      </c>
      <c r="D150" s="6">
        <v>110103214</v>
      </c>
      <c r="E150" s="5">
        <v>90</v>
      </c>
      <c r="F150" s="5">
        <v>1</v>
      </c>
      <c r="G150" s="7">
        <v>45103</v>
      </c>
      <c r="H150" s="11">
        <v>0.81944444444444453</v>
      </c>
      <c r="I150" s="7">
        <v>45103</v>
      </c>
      <c r="J150" s="7">
        <v>45104</v>
      </c>
      <c r="K150" s="5">
        <v>9552409447</v>
      </c>
      <c r="L150" s="5"/>
      <c r="M150" s="5">
        <v>24</v>
      </c>
      <c r="N150" s="5">
        <v>1</v>
      </c>
      <c r="O150" s="5">
        <v>1</v>
      </c>
      <c r="P150" s="5">
        <v>2</v>
      </c>
      <c r="Q150" s="5">
        <v>2</v>
      </c>
      <c r="R150" s="5">
        <v>2</v>
      </c>
      <c r="S150" s="5">
        <v>2</v>
      </c>
      <c r="T150" s="5">
        <v>2</v>
      </c>
      <c r="U150" s="5">
        <v>2</v>
      </c>
      <c r="V150" s="5">
        <v>2</v>
      </c>
      <c r="W150" s="5"/>
      <c r="X150" s="5">
        <v>8.6999999999999993</v>
      </c>
      <c r="Y150" s="5">
        <v>27.7</v>
      </c>
      <c r="Z150" s="5">
        <v>64.2</v>
      </c>
      <c r="AA150" s="5">
        <v>5.0599999999999996</v>
      </c>
      <c r="AB150" s="5">
        <v>5.8</v>
      </c>
      <c r="AC150" s="5">
        <v>98</v>
      </c>
      <c r="AD150" s="5">
        <v>49.6</v>
      </c>
      <c r="AE150" s="5">
        <v>25</v>
      </c>
      <c r="AF150" s="5">
        <v>23.4</v>
      </c>
      <c r="AG150" s="5">
        <v>117</v>
      </c>
      <c r="AH150" s="5">
        <v>2000</v>
      </c>
      <c r="AI150" s="5"/>
      <c r="AJ150" s="5"/>
      <c r="AK150" s="5" t="s">
        <v>132</v>
      </c>
      <c r="AL150" s="5" t="s">
        <v>133</v>
      </c>
      <c r="AM150" s="5"/>
      <c r="AN150" s="5"/>
      <c r="AO150" s="5"/>
      <c r="AP150" s="5"/>
      <c r="AQ150" s="5"/>
      <c r="AR150" s="5"/>
      <c r="AS150" s="5"/>
      <c r="AT150" s="5">
        <v>1</v>
      </c>
      <c r="AU150" s="5"/>
      <c r="AV150" s="5">
        <v>2</v>
      </c>
      <c r="AW150" s="5"/>
      <c r="AX150" s="5"/>
      <c r="AY150" s="5"/>
      <c r="AZ150" s="5"/>
      <c r="BA150" s="5">
        <v>0</v>
      </c>
      <c r="BB150" s="5">
        <v>1</v>
      </c>
      <c r="BC150" s="5">
        <v>100</v>
      </c>
      <c r="BD150" s="5">
        <v>0</v>
      </c>
      <c r="BE150" s="5">
        <v>1</v>
      </c>
      <c r="BF150" s="5">
        <v>2</v>
      </c>
      <c r="BG150" s="5">
        <v>2</v>
      </c>
      <c r="BH150" s="5">
        <v>1</v>
      </c>
      <c r="BI150" s="5">
        <v>1</v>
      </c>
      <c r="BJ150" s="5">
        <v>1</v>
      </c>
      <c r="BK150" s="5">
        <v>0</v>
      </c>
      <c r="BL150" s="5">
        <v>1</v>
      </c>
      <c r="BM150" s="5">
        <v>2</v>
      </c>
      <c r="BN150" s="5">
        <v>2</v>
      </c>
      <c r="BO150" s="5">
        <v>1</v>
      </c>
      <c r="BP150" s="5">
        <v>1</v>
      </c>
      <c r="BQ150" s="5">
        <v>1</v>
      </c>
      <c r="BR150" s="5">
        <v>16</v>
      </c>
      <c r="BS150" s="5">
        <v>0</v>
      </c>
      <c r="BT150" s="5">
        <v>1</v>
      </c>
      <c r="BU150" s="5"/>
    </row>
    <row r="151" spans="1:73" x14ac:dyDescent="0.25">
      <c r="A151" s="12" t="s">
        <v>155</v>
      </c>
      <c r="B151" s="5">
        <v>1</v>
      </c>
      <c r="C151" s="12">
        <v>10.412800000000001</v>
      </c>
      <c r="D151" s="13">
        <v>180201236</v>
      </c>
      <c r="E151" s="12">
        <v>64</v>
      </c>
      <c r="F151" s="12">
        <v>2</v>
      </c>
      <c r="G151" s="14">
        <v>44932</v>
      </c>
      <c r="H151" s="16">
        <v>0.45833333333333331</v>
      </c>
      <c r="I151" s="14">
        <v>44934</v>
      </c>
      <c r="J151" s="14">
        <v>44938</v>
      </c>
      <c r="K151" s="12">
        <v>8208450620</v>
      </c>
      <c r="L151" s="12"/>
      <c r="M151" s="12">
        <v>7</v>
      </c>
      <c r="N151" s="12">
        <v>1</v>
      </c>
      <c r="O151" s="12">
        <v>1</v>
      </c>
      <c r="P151" s="12">
        <v>2</v>
      </c>
      <c r="Q151" s="12">
        <v>2</v>
      </c>
      <c r="R151" s="12">
        <v>2</v>
      </c>
      <c r="S151" s="12">
        <v>2</v>
      </c>
      <c r="T151" s="12">
        <v>2</v>
      </c>
      <c r="U151" s="12">
        <v>1</v>
      </c>
      <c r="V151" s="12">
        <v>2</v>
      </c>
      <c r="W151" s="12"/>
      <c r="X151" s="12">
        <v>9.6999999999999993</v>
      </c>
      <c r="Y151" s="12">
        <v>31.7</v>
      </c>
      <c r="Z151" s="12"/>
      <c r="AA151" s="12">
        <v>29.9</v>
      </c>
      <c r="AB151" s="12">
        <v>11.2</v>
      </c>
      <c r="AC151" s="12"/>
      <c r="AD151" s="12"/>
      <c r="AE151" s="12"/>
      <c r="AF151" s="12"/>
      <c r="AG151" s="12"/>
      <c r="AH151" s="12">
        <v>260</v>
      </c>
      <c r="AI151" s="12" t="s">
        <v>156</v>
      </c>
      <c r="AJ151" s="12"/>
      <c r="AK151" s="12" t="s">
        <v>157</v>
      </c>
      <c r="AL151" s="12" t="s">
        <v>158</v>
      </c>
      <c r="AM151" s="12"/>
      <c r="AN151" s="12"/>
      <c r="AO151" s="12"/>
      <c r="AP151" s="12"/>
      <c r="AQ151" s="12"/>
      <c r="AR151" s="12"/>
      <c r="AS151" s="12"/>
      <c r="AT151" s="12">
        <v>1</v>
      </c>
      <c r="AU151" s="12">
        <v>1</v>
      </c>
      <c r="AV151" s="12">
        <v>2</v>
      </c>
      <c r="AW151" s="12"/>
      <c r="AX151" s="12"/>
      <c r="AY151" s="12"/>
      <c r="AZ151" s="12"/>
      <c r="BA151" s="12">
        <v>0</v>
      </c>
      <c r="BB151" s="5">
        <v>1</v>
      </c>
      <c r="BC151" s="12">
        <v>100</v>
      </c>
      <c r="BD151" s="12">
        <v>0</v>
      </c>
      <c r="BE151" s="12">
        <v>2</v>
      </c>
      <c r="BF151" s="12">
        <v>2</v>
      </c>
      <c r="BG151" s="12">
        <v>2</v>
      </c>
      <c r="BH151" s="12">
        <v>1</v>
      </c>
      <c r="BI151" s="12">
        <v>1</v>
      </c>
      <c r="BJ151" s="12">
        <v>1</v>
      </c>
      <c r="BK151" s="12">
        <v>0</v>
      </c>
      <c r="BL151" s="12">
        <v>1</v>
      </c>
      <c r="BM151" s="12">
        <v>2</v>
      </c>
      <c r="BN151" s="12">
        <v>2</v>
      </c>
      <c r="BO151" s="12">
        <v>1</v>
      </c>
      <c r="BP151" s="12">
        <v>1</v>
      </c>
      <c r="BQ151" s="12">
        <v>1</v>
      </c>
      <c r="BR151" s="12">
        <v>17</v>
      </c>
      <c r="BS151" s="12">
        <v>1</v>
      </c>
      <c r="BT151" s="12">
        <v>1</v>
      </c>
      <c r="BU151" s="12"/>
    </row>
    <row r="152" spans="1:73" x14ac:dyDescent="0.25">
      <c r="A152" s="12" t="s">
        <v>159</v>
      </c>
      <c r="B152" s="5">
        <v>1</v>
      </c>
      <c r="C152" s="12">
        <v>10.5968</v>
      </c>
      <c r="D152" s="13">
        <v>200103233</v>
      </c>
      <c r="E152" s="12">
        <v>66</v>
      </c>
      <c r="F152" s="12">
        <v>1</v>
      </c>
      <c r="G152" s="14">
        <v>45028</v>
      </c>
      <c r="H152" s="16">
        <v>0.85416666666666663</v>
      </c>
      <c r="I152" s="14">
        <v>45028</v>
      </c>
      <c r="J152" s="14">
        <v>45029</v>
      </c>
      <c r="K152" s="12">
        <v>9850068182</v>
      </c>
      <c r="L152" s="12">
        <v>8055509303</v>
      </c>
      <c r="M152" s="12">
        <v>4</v>
      </c>
      <c r="N152" s="12">
        <v>1</v>
      </c>
      <c r="O152" s="12">
        <v>2</v>
      </c>
      <c r="P152" s="12">
        <v>2</v>
      </c>
      <c r="Q152" s="12">
        <v>2</v>
      </c>
      <c r="R152" s="12">
        <v>2</v>
      </c>
      <c r="S152" s="12">
        <v>2</v>
      </c>
      <c r="T152" s="12">
        <v>2</v>
      </c>
      <c r="U152" s="12">
        <v>2</v>
      </c>
      <c r="V152" s="12">
        <v>1</v>
      </c>
      <c r="W152" s="12" t="s">
        <v>160</v>
      </c>
      <c r="X152" s="12">
        <v>15.2</v>
      </c>
      <c r="Y152" s="12">
        <v>43.6</v>
      </c>
      <c r="Z152" s="12"/>
      <c r="AA152" s="12">
        <v>14</v>
      </c>
      <c r="AB152" s="12">
        <v>5.5</v>
      </c>
      <c r="AC152" s="12">
        <v>164</v>
      </c>
      <c r="AD152" s="12">
        <v>106</v>
      </c>
      <c r="AE152" s="12">
        <v>40</v>
      </c>
      <c r="AF152" s="12">
        <v>17</v>
      </c>
      <c r="AG152" s="12">
        <v>87</v>
      </c>
      <c r="AH152" s="12">
        <v>222</v>
      </c>
      <c r="AI152" s="12" t="s">
        <v>161</v>
      </c>
      <c r="AJ152" s="12"/>
      <c r="AK152" s="12" t="s">
        <v>162</v>
      </c>
      <c r="AL152" s="12" t="s">
        <v>163</v>
      </c>
      <c r="AM152" s="12" t="s">
        <v>164</v>
      </c>
      <c r="AN152" s="12"/>
      <c r="AO152" s="12"/>
      <c r="AP152" s="12"/>
      <c r="AQ152" s="12"/>
      <c r="AR152" s="12"/>
      <c r="AS152" s="12"/>
      <c r="AT152" s="12">
        <v>1</v>
      </c>
      <c r="AU152" s="12">
        <v>1</v>
      </c>
      <c r="AV152" s="12">
        <v>2</v>
      </c>
      <c r="AW152" s="12"/>
      <c r="AX152" s="12"/>
      <c r="AY152" s="12"/>
      <c r="AZ152" s="12"/>
      <c r="BA152" s="12">
        <v>0</v>
      </c>
      <c r="BB152" s="5">
        <v>1</v>
      </c>
      <c r="BC152" s="12">
        <v>100</v>
      </c>
      <c r="BD152" s="12">
        <v>1</v>
      </c>
      <c r="BE152" s="12">
        <v>1</v>
      </c>
      <c r="BF152" s="12">
        <v>2</v>
      </c>
      <c r="BG152" s="12">
        <v>2</v>
      </c>
      <c r="BH152" s="12">
        <v>1</v>
      </c>
      <c r="BI152" s="12">
        <v>1</v>
      </c>
      <c r="BJ152" s="12">
        <v>1</v>
      </c>
      <c r="BK152" s="12">
        <v>1</v>
      </c>
      <c r="BL152" s="12">
        <v>1</v>
      </c>
      <c r="BM152" s="12">
        <v>1</v>
      </c>
      <c r="BN152" s="12">
        <v>2</v>
      </c>
      <c r="BO152" s="12">
        <v>1</v>
      </c>
      <c r="BP152" s="12">
        <v>1</v>
      </c>
      <c r="BQ152" s="12">
        <v>1</v>
      </c>
      <c r="BR152" s="12">
        <v>17</v>
      </c>
      <c r="BS152" s="12">
        <v>1</v>
      </c>
      <c r="BT152" s="12">
        <v>1</v>
      </c>
      <c r="BU152" s="12"/>
    </row>
    <row r="153" spans="1:73" x14ac:dyDescent="0.25">
      <c r="A153" s="5" t="s">
        <v>171</v>
      </c>
      <c r="B153" s="5">
        <v>1</v>
      </c>
      <c r="C153" s="5">
        <v>33.3934</v>
      </c>
      <c r="D153" s="6">
        <v>230205341</v>
      </c>
      <c r="E153" s="5">
        <v>58</v>
      </c>
      <c r="F153" s="5">
        <v>1</v>
      </c>
      <c r="G153" s="7">
        <v>44980</v>
      </c>
      <c r="H153" s="5"/>
      <c r="I153" s="7">
        <v>44984</v>
      </c>
      <c r="J153" s="7">
        <v>44988</v>
      </c>
      <c r="K153" s="5">
        <v>9673959376</v>
      </c>
      <c r="L153" s="5"/>
      <c r="M153" s="5">
        <v>7</v>
      </c>
      <c r="N153" s="5">
        <v>2</v>
      </c>
      <c r="O153" s="5">
        <v>2</v>
      </c>
      <c r="P153" s="5">
        <v>1</v>
      </c>
      <c r="Q153" s="5">
        <v>2</v>
      </c>
      <c r="R153" s="5">
        <v>2</v>
      </c>
      <c r="S153" s="5">
        <v>2</v>
      </c>
      <c r="T153" s="5">
        <v>2</v>
      </c>
      <c r="U153" s="5">
        <v>2</v>
      </c>
      <c r="V153" s="5">
        <v>2</v>
      </c>
      <c r="W153" s="5"/>
      <c r="X153" s="5">
        <v>15.4</v>
      </c>
      <c r="Y153" s="5">
        <v>45.8</v>
      </c>
      <c r="Z153" s="5"/>
      <c r="AA153" s="5">
        <v>15.67</v>
      </c>
      <c r="AB153" s="5">
        <v>5.6</v>
      </c>
      <c r="AC153" s="5"/>
      <c r="AD153" s="5"/>
      <c r="AE153" s="5"/>
      <c r="AF153" s="5"/>
      <c r="AG153" s="5"/>
      <c r="AH153" s="5">
        <v>2000</v>
      </c>
      <c r="AI153" s="5" t="s">
        <v>172</v>
      </c>
      <c r="AJ153" s="5"/>
      <c r="AK153" s="5" t="s">
        <v>173</v>
      </c>
      <c r="AL153" s="5" t="s">
        <v>174</v>
      </c>
      <c r="AM153" s="5"/>
      <c r="AN153" s="5"/>
      <c r="AO153" s="5"/>
      <c r="AP153" s="5"/>
      <c r="AQ153" s="5"/>
      <c r="AR153" s="5"/>
      <c r="AS153" s="5"/>
      <c r="AT153" s="5">
        <v>1</v>
      </c>
      <c r="AU153" s="5">
        <v>1</v>
      </c>
      <c r="AV153" s="5">
        <v>2</v>
      </c>
      <c r="AW153" s="5">
        <v>4</v>
      </c>
      <c r="AX153" s="5">
        <v>8</v>
      </c>
      <c r="AY153" s="5">
        <v>2</v>
      </c>
      <c r="AZ153" s="5">
        <v>2</v>
      </c>
      <c r="BA153" s="5">
        <v>0</v>
      </c>
      <c r="BB153" s="5">
        <v>1</v>
      </c>
      <c r="BC153" s="5">
        <v>100</v>
      </c>
      <c r="BD153" s="5">
        <v>0</v>
      </c>
      <c r="BE153" s="5">
        <v>2</v>
      </c>
      <c r="BF153" s="5">
        <v>1</v>
      </c>
      <c r="BG153" s="5">
        <v>2</v>
      </c>
      <c r="BH153" s="5">
        <v>1</v>
      </c>
      <c r="BI153" s="5">
        <v>1</v>
      </c>
      <c r="BJ153" s="5">
        <v>1</v>
      </c>
      <c r="BK153" s="5">
        <v>0</v>
      </c>
      <c r="BL153" s="5">
        <v>2</v>
      </c>
      <c r="BM153" s="5">
        <v>2</v>
      </c>
      <c r="BN153" s="5">
        <v>2</v>
      </c>
      <c r="BO153" s="5">
        <v>1</v>
      </c>
      <c r="BP153" s="5">
        <v>1</v>
      </c>
      <c r="BQ153" s="5">
        <v>1</v>
      </c>
      <c r="BR153" s="5">
        <v>17</v>
      </c>
      <c r="BS153" s="5">
        <v>1</v>
      </c>
      <c r="BT153" s="5">
        <v>1</v>
      </c>
      <c r="BU153" s="5"/>
    </row>
    <row r="154" spans="1:73" x14ac:dyDescent="0.25">
      <c r="A154" s="12" t="s">
        <v>193</v>
      </c>
      <c r="B154" s="5">
        <v>1</v>
      </c>
      <c r="C154" s="12">
        <v>9.8848500000000001</v>
      </c>
      <c r="D154" s="13">
        <v>230000000000</v>
      </c>
      <c r="E154" s="12">
        <v>72</v>
      </c>
      <c r="F154" s="12">
        <v>1</v>
      </c>
      <c r="G154" s="14">
        <v>45156</v>
      </c>
      <c r="H154" s="16">
        <v>0.35416666666666669</v>
      </c>
      <c r="I154" s="14">
        <v>45156</v>
      </c>
      <c r="J154" s="14">
        <v>45159</v>
      </c>
      <c r="K154" s="12">
        <v>9890513032</v>
      </c>
      <c r="L154" s="12"/>
      <c r="M154" s="12">
        <v>2</v>
      </c>
      <c r="N154" s="12">
        <v>1</v>
      </c>
      <c r="O154" s="12">
        <v>2</v>
      </c>
      <c r="P154" s="12">
        <v>2</v>
      </c>
      <c r="Q154" s="12">
        <v>2</v>
      </c>
      <c r="R154" s="12">
        <v>2</v>
      </c>
      <c r="S154" s="12">
        <v>2</v>
      </c>
      <c r="T154" s="12">
        <v>2</v>
      </c>
      <c r="U154" s="12">
        <v>2</v>
      </c>
      <c r="V154" s="12">
        <v>2</v>
      </c>
      <c r="W154" s="12" t="s">
        <v>194</v>
      </c>
      <c r="X154" s="12">
        <v>12.1</v>
      </c>
      <c r="Y154" s="12"/>
      <c r="Z154" s="12"/>
      <c r="AA154" s="12">
        <v>15.44</v>
      </c>
      <c r="AB154" s="12"/>
      <c r="AC154" s="12">
        <v>203</v>
      </c>
      <c r="AD154" s="12">
        <v>145.4</v>
      </c>
      <c r="AE154" s="12">
        <v>28</v>
      </c>
      <c r="AF154" s="12"/>
      <c r="AG154" s="12">
        <v>148</v>
      </c>
      <c r="AH154" s="12">
        <v>476</v>
      </c>
      <c r="AI154" s="12"/>
      <c r="AJ154" s="12"/>
      <c r="AK154" s="12" t="s">
        <v>195</v>
      </c>
      <c r="AL154" s="12" t="s">
        <v>196</v>
      </c>
      <c r="AM154" s="12"/>
      <c r="AN154" s="12"/>
      <c r="AO154" s="12"/>
      <c r="AP154" s="12"/>
      <c r="AQ154" s="12"/>
      <c r="AR154" s="12"/>
      <c r="AS154" s="12"/>
      <c r="AT154" s="12">
        <v>1</v>
      </c>
      <c r="AU154" s="12">
        <v>1</v>
      </c>
      <c r="AV154" s="12">
        <v>2</v>
      </c>
      <c r="AW154" s="12"/>
      <c r="AX154" s="12"/>
      <c r="AY154" s="12"/>
      <c r="AZ154" s="12"/>
      <c r="BA154" s="12">
        <v>0</v>
      </c>
      <c r="BB154" s="5">
        <v>1</v>
      </c>
      <c r="BC154" s="12">
        <v>100</v>
      </c>
      <c r="BD154" s="12">
        <v>1</v>
      </c>
      <c r="BE154" s="12">
        <v>1</v>
      </c>
      <c r="BF154" s="12">
        <v>2</v>
      </c>
      <c r="BG154" s="12">
        <v>2</v>
      </c>
      <c r="BH154" s="12">
        <v>1</v>
      </c>
      <c r="BI154" s="12">
        <v>1</v>
      </c>
      <c r="BJ154" s="12">
        <v>1</v>
      </c>
      <c r="BK154" s="12">
        <v>1</v>
      </c>
      <c r="BL154" s="12">
        <v>1</v>
      </c>
      <c r="BM154" s="12">
        <v>2</v>
      </c>
      <c r="BN154" s="12">
        <v>2</v>
      </c>
      <c r="BO154" s="12">
        <v>1</v>
      </c>
      <c r="BP154" s="12">
        <v>1</v>
      </c>
      <c r="BQ154" s="12">
        <v>1</v>
      </c>
      <c r="BR154" s="12">
        <v>18</v>
      </c>
      <c r="BS154" s="12">
        <v>1</v>
      </c>
      <c r="BT154" s="12">
        <v>1</v>
      </c>
      <c r="BU154" s="12" t="s">
        <v>197</v>
      </c>
    </row>
    <row r="155" spans="1:73" x14ac:dyDescent="0.25">
      <c r="A155" s="12" t="s">
        <v>198</v>
      </c>
      <c r="B155" s="5">
        <v>1</v>
      </c>
      <c r="C155" s="12">
        <v>14.3163</v>
      </c>
      <c r="D155" s="13">
        <v>230704763</v>
      </c>
      <c r="E155" s="12">
        <v>50</v>
      </c>
      <c r="F155" s="12">
        <v>1</v>
      </c>
      <c r="G155" s="14">
        <v>45135</v>
      </c>
      <c r="H155" s="16">
        <v>0.83333333333333337</v>
      </c>
      <c r="I155" s="14">
        <v>45136</v>
      </c>
      <c r="J155" s="14">
        <v>45141</v>
      </c>
      <c r="K155" s="12">
        <v>9665061962</v>
      </c>
      <c r="L155" s="12"/>
      <c r="M155" s="12">
        <v>6</v>
      </c>
      <c r="N155" s="12">
        <v>1</v>
      </c>
      <c r="O155" s="12">
        <v>2</v>
      </c>
      <c r="P155" s="12">
        <v>2</v>
      </c>
      <c r="Q155" s="12">
        <v>2</v>
      </c>
      <c r="R155" s="12">
        <v>2</v>
      </c>
      <c r="S155" s="12">
        <v>2</v>
      </c>
      <c r="T155" s="12">
        <v>2</v>
      </c>
      <c r="U155" s="12">
        <v>2</v>
      </c>
      <c r="V155" s="12">
        <v>2</v>
      </c>
      <c r="W155" s="12" t="s">
        <v>199</v>
      </c>
      <c r="X155" s="12">
        <v>14.5</v>
      </c>
      <c r="Y155" s="12">
        <v>43.3</v>
      </c>
      <c r="Z155" s="12">
        <v>97.9</v>
      </c>
      <c r="AA155" s="12">
        <v>109</v>
      </c>
      <c r="AB155" s="12">
        <v>5.6</v>
      </c>
      <c r="AC155" s="12">
        <v>183</v>
      </c>
      <c r="AD155" s="12">
        <v>93</v>
      </c>
      <c r="AE155" s="12">
        <v>35</v>
      </c>
      <c r="AF155" s="12">
        <v>54</v>
      </c>
      <c r="AG155" s="12">
        <v>274</v>
      </c>
      <c r="AH155" s="12">
        <v>148</v>
      </c>
      <c r="AI155" s="12"/>
      <c r="AJ155" s="12"/>
      <c r="AK155" s="12" t="s">
        <v>200</v>
      </c>
      <c r="AL155" s="12" t="s">
        <v>201</v>
      </c>
      <c r="AM155" s="12"/>
      <c r="AN155" s="12"/>
      <c r="AO155" s="12"/>
      <c r="AP155" s="12"/>
      <c r="AQ155" s="12"/>
      <c r="AR155" s="12"/>
      <c r="AS155" s="12"/>
      <c r="AT155" s="12">
        <v>1</v>
      </c>
      <c r="AU155" s="12">
        <v>2</v>
      </c>
      <c r="AV155" s="12">
        <v>1</v>
      </c>
      <c r="AW155" s="12">
        <v>1</v>
      </c>
      <c r="AX155" s="12"/>
      <c r="AY155" s="12"/>
      <c r="AZ155" s="12"/>
      <c r="BA155" s="12">
        <v>0</v>
      </c>
      <c r="BB155" s="5">
        <v>1</v>
      </c>
      <c r="BC155" s="12">
        <v>100</v>
      </c>
      <c r="BD155" s="12">
        <v>1</v>
      </c>
      <c r="BE155" s="12">
        <v>2</v>
      </c>
      <c r="BF155" s="12">
        <v>2</v>
      </c>
      <c r="BG155" s="12">
        <v>2</v>
      </c>
      <c r="BH155" s="12">
        <v>1</v>
      </c>
      <c r="BI155" s="12">
        <v>0</v>
      </c>
      <c r="BJ155" s="12">
        <v>1</v>
      </c>
      <c r="BK155" s="12">
        <v>1</v>
      </c>
      <c r="BL155" s="12">
        <v>2</v>
      </c>
      <c r="BM155" s="12">
        <v>2</v>
      </c>
      <c r="BN155" s="12">
        <v>2</v>
      </c>
      <c r="BO155" s="12">
        <v>1</v>
      </c>
      <c r="BP155" s="12">
        <v>1</v>
      </c>
      <c r="BQ155" s="12">
        <v>1</v>
      </c>
      <c r="BR155" s="12">
        <v>18</v>
      </c>
      <c r="BS155" s="12">
        <v>1</v>
      </c>
      <c r="BT155" s="12">
        <v>1</v>
      </c>
      <c r="BU155" s="12"/>
    </row>
    <row r="156" spans="1:73" x14ac:dyDescent="0.25">
      <c r="A156" s="12" t="s">
        <v>202</v>
      </c>
      <c r="B156" s="5">
        <v>1</v>
      </c>
      <c r="C156" s="12">
        <v>14.4374</v>
      </c>
      <c r="D156" s="13">
        <v>230607917</v>
      </c>
      <c r="E156" s="12">
        <v>88</v>
      </c>
      <c r="F156" s="12">
        <v>1</v>
      </c>
      <c r="G156" s="14"/>
      <c r="H156" s="12"/>
      <c r="I156" s="14">
        <v>45103</v>
      </c>
      <c r="J156" s="14">
        <v>45105</v>
      </c>
      <c r="K156" s="12">
        <v>9423567145</v>
      </c>
      <c r="L156" s="12"/>
      <c r="M156" s="12">
        <v>5</v>
      </c>
      <c r="N156" s="12">
        <v>1</v>
      </c>
      <c r="O156" s="12">
        <v>1</v>
      </c>
      <c r="P156" s="12">
        <v>2</v>
      </c>
      <c r="Q156" s="12">
        <v>2</v>
      </c>
      <c r="R156" s="12">
        <v>2</v>
      </c>
      <c r="S156" s="12">
        <v>2</v>
      </c>
      <c r="T156" s="12">
        <v>2</v>
      </c>
      <c r="U156" s="12">
        <v>2</v>
      </c>
      <c r="V156" s="12">
        <v>2</v>
      </c>
      <c r="W156" s="12" t="s">
        <v>203</v>
      </c>
      <c r="X156" s="12">
        <v>14.2</v>
      </c>
      <c r="Y156" s="12">
        <v>44.3</v>
      </c>
      <c r="Z156" s="12">
        <v>78.599999999999994</v>
      </c>
      <c r="AA156" s="12">
        <v>17</v>
      </c>
      <c r="AB156" s="12">
        <v>9.5</v>
      </c>
      <c r="AC156" s="12">
        <v>146</v>
      </c>
      <c r="AD156" s="12">
        <v>84</v>
      </c>
      <c r="AE156" s="12">
        <v>37</v>
      </c>
      <c r="AF156" s="12">
        <v>24</v>
      </c>
      <c r="AG156" s="12">
        <v>123</v>
      </c>
      <c r="AH156" s="12">
        <v>270</v>
      </c>
      <c r="AI156" s="12"/>
      <c r="AJ156" s="12"/>
      <c r="AK156" s="12" t="s">
        <v>204</v>
      </c>
      <c r="AL156" s="12" t="s">
        <v>205</v>
      </c>
      <c r="AM156" s="12"/>
      <c r="AN156" s="12"/>
      <c r="AO156" s="12"/>
      <c r="AP156" s="12"/>
      <c r="AQ156" s="12"/>
      <c r="AR156" s="12"/>
      <c r="AS156" s="12"/>
      <c r="AT156" s="12">
        <v>1</v>
      </c>
      <c r="AU156" s="12">
        <v>1</v>
      </c>
      <c r="AV156" s="12">
        <v>1</v>
      </c>
      <c r="AW156" s="12">
        <v>1</v>
      </c>
      <c r="AX156" s="12"/>
      <c r="AY156" s="12"/>
      <c r="AZ156" s="12"/>
      <c r="BA156" s="12">
        <v>0</v>
      </c>
      <c r="BB156" s="5">
        <v>1</v>
      </c>
      <c r="BC156" s="12">
        <v>100</v>
      </c>
      <c r="BD156" s="12">
        <v>0</v>
      </c>
      <c r="BE156" s="12">
        <v>2</v>
      </c>
      <c r="BF156" s="12">
        <v>2</v>
      </c>
      <c r="BG156" s="12">
        <v>2</v>
      </c>
      <c r="BH156" s="12">
        <v>1</v>
      </c>
      <c r="BI156" s="12">
        <v>1</v>
      </c>
      <c r="BJ156" s="12">
        <v>1</v>
      </c>
      <c r="BK156" s="12">
        <v>0</v>
      </c>
      <c r="BL156" s="12">
        <v>2</v>
      </c>
      <c r="BM156" s="12">
        <v>2</v>
      </c>
      <c r="BN156" s="12">
        <v>2</v>
      </c>
      <c r="BO156" s="12">
        <v>1</v>
      </c>
      <c r="BP156" s="12">
        <v>1</v>
      </c>
      <c r="BQ156" s="12">
        <v>1</v>
      </c>
      <c r="BR156" s="12">
        <v>18</v>
      </c>
      <c r="BS156" s="12">
        <v>1</v>
      </c>
      <c r="BT156" s="12">
        <v>1</v>
      </c>
      <c r="BU156" s="12"/>
    </row>
    <row r="157" spans="1:73" x14ac:dyDescent="0.25">
      <c r="A157" s="12" t="s">
        <v>209</v>
      </c>
      <c r="B157" s="5">
        <v>1</v>
      </c>
      <c r="C157" s="12">
        <v>27.6204</v>
      </c>
      <c r="D157" s="13"/>
      <c r="E157" s="12">
        <v>67</v>
      </c>
      <c r="F157" s="12">
        <v>1</v>
      </c>
      <c r="G157" s="14">
        <v>45044</v>
      </c>
      <c r="H157" s="12"/>
      <c r="I157" s="14">
        <v>45051</v>
      </c>
      <c r="J157" s="14">
        <v>45052</v>
      </c>
      <c r="K157" s="12">
        <v>9765047875</v>
      </c>
      <c r="L157" s="12"/>
      <c r="M157" s="12">
        <v>7</v>
      </c>
      <c r="N157" s="12">
        <v>1</v>
      </c>
      <c r="O157" s="12">
        <v>1</v>
      </c>
      <c r="P157" s="12">
        <v>2</v>
      </c>
      <c r="Q157" s="12">
        <v>2</v>
      </c>
      <c r="R157" s="12">
        <v>1</v>
      </c>
      <c r="S157" s="12">
        <v>2</v>
      </c>
      <c r="T157" s="12">
        <v>2</v>
      </c>
      <c r="U157" s="12">
        <v>2</v>
      </c>
      <c r="V157" s="12">
        <v>2</v>
      </c>
      <c r="W157" s="12" t="s">
        <v>210</v>
      </c>
      <c r="X157" s="12">
        <v>12.9</v>
      </c>
      <c r="Y157" s="12">
        <v>40.1</v>
      </c>
      <c r="Z157" s="12"/>
      <c r="AA157" s="12">
        <v>4.7699999999999996</v>
      </c>
      <c r="AB157" s="12">
        <v>10.4</v>
      </c>
      <c r="AC157" s="12">
        <v>202</v>
      </c>
      <c r="AD157" s="12">
        <v>111</v>
      </c>
      <c r="AE157" s="12">
        <v>32</v>
      </c>
      <c r="AF157" s="12">
        <v>58.8</v>
      </c>
      <c r="AG157" s="12">
        <v>294</v>
      </c>
      <c r="AH157" s="12">
        <v>770</v>
      </c>
      <c r="AI157" s="12" t="s">
        <v>211</v>
      </c>
      <c r="AJ157" s="12"/>
      <c r="AK157" s="12" t="s">
        <v>212</v>
      </c>
      <c r="AL157" s="12" t="s">
        <v>213</v>
      </c>
      <c r="AM157" s="12"/>
      <c r="AN157" s="12"/>
      <c r="AO157" s="12"/>
      <c r="AP157" s="12"/>
      <c r="AQ157" s="12"/>
      <c r="AR157" s="12"/>
      <c r="AS157" s="12"/>
      <c r="AT157" s="12">
        <v>1</v>
      </c>
      <c r="AU157" s="12">
        <v>2</v>
      </c>
      <c r="AV157" s="12">
        <v>2</v>
      </c>
      <c r="AW157" s="12"/>
      <c r="AX157" s="12"/>
      <c r="AY157" s="12"/>
      <c r="AZ157" s="12"/>
      <c r="BA157" s="12">
        <v>0</v>
      </c>
      <c r="BB157" s="5">
        <v>1</v>
      </c>
      <c r="BC157" s="12">
        <v>100</v>
      </c>
      <c r="BD157" s="12">
        <v>1</v>
      </c>
      <c r="BE157" s="12">
        <v>1</v>
      </c>
      <c r="BF157" s="12">
        <v>2</v>
      </c>
      <c r="BG157" s="12">
        <v>2</v>
      </c>
      <c r="BH157" s="12">
        <v>1</v>
      </c>
      <c r="BI157" s="12">
        <v>1</v>
      </c>
      <c r="BJ157" s="12">
        <v>1</v>
      </c>
      <c r="BK157" s="12">
        <v>0</v>
      </c>
      <c r="BL157" s="12">
        <v>2</v>
      </c>
      <c r="BM157" s="12">
        <v>2</v>
      </c>
      <c r="BN157" s="12">
        <v>2</v>
      </c>
      <c r="BO157" s="12">
        <v>1</v>
      </c>
      <c r="BP157" s="12">
        <v>1</v>
      </c>
      <c r="BQ157" s="12">
        <v>1</v>
      </c>
      <c r="BR157" s="12">
        <v>18</v>
      </c>
      <c r="BS157" s="12">
        <v>1</v>
      </c>
      <c r="BT157" s="12">
        <v>1</v>
      </c>
      <c r="BU157" s="12"/>
    </row>
    <row r="158" spans="1:73" x14ac:dyDescent="0.25">
      <c r="A158" s="5" t="s">
        <v>218</v>
      </c>
      <c r="B158" s="5">
        <v>1</v>
      </c>
      <c r="C158" s="5">
        <v>46.1357</v>
      </c>
      <c r="D158" s="6">
        <v>200400466</v>
      </c>
      <c r="E158" s="5">
        <v>54</v>
      </c>
      <c r="F158" s="5">
        <v>1</v>
      </c>
      <c r="G158" s="7">
        <v>44980</v>
      </c>
      <c r="H158" s="5"/>
      <c r="I158" s="7">
        <v>45008</v>
      </c>
      <c r="J158" s="7">
        <v>45033</v>
      </c>
      <c r="K158" s="5">
        <v>8087047741</v>
      </c>
      <c r="L158" s="5"/>
      <c r="M158" s="5">
        <v>4</v>
      </c>
      <c r="N158" s="5">
        <v>1</v>
      </c>
      <c r="O158" s="5">
        <v>1</v>
      </c>
      <c r="P158" s="5">
        <v>2</v>
      </c>
      <c r="Q158" s="5">
        <v>2</v>
      </c>
      <c r="R158" s="5">
        <v>2</v>
      </c>
      <c r="S158" s="5">
        <v>2</v>
      </c>
      <c r="T158" s="5">
        <v>2</v>
      </c>
      <c r="U158" s="5">
        <v>1</v>
      </c>
      <c r="V158" s="5">
        <v>1</v>
      </c>
      <c r="W158" s="5" t="s">
        <v>219</v>
      </c>
      <c r="X158" s="5">
        <v>13.9</v>
      </c>
      <c r="Y158" s="5">
        <v>43.1</v>
      </c>
      <c r="Z158" s="5"/>
      <c r="AA158" s="5">
        <v>26</v>
      </c>
      <c r="AB158" s="5">
        <v>6.3</v>
      </c>
      <c r="AC158" s="5"/>
      <c r="AD158" s="5"/>
      <c r="AE158" s="5"/>
      <c r="AF158" s="5"/>
      <c r="AG158" s="5"/>
      <c r="AH158" s="5">
        <v>236</v>
      </c>
      <c r="AI158" s="5" t="s">
        <v>220</v>
      </c>
      <c r="AJ158" s="5"/>
      <c r="AK158" s="5" t="s">
        <v>221</v>
      </c>
      <c r="AL158" s="5" t="s">
        <v>222</v>
      </c>
      <c r="AM158" s="5"/>
      <c r="AN158" s="5"/>
      <c r="AO158" s="5"/>
      <c r="AP158" s="5"/>
      <c r="AQ158" s="5"/>
      <c r="AR158" s="5"/>
      <c r="AS158" s="5"/>
      <c r="AT158" s="5">
        <v>1</v>
      </c>
      <c r="AU158" s="5">
        <v>1</v>
      </c>
      <c r="AV158" s="5">
        <v>2</v>
      </c>
      <c r="AW158" s="5">
        <v>4</v>
      </c>
      <c r="AX158" s="5">
        <v>8</v>
      </c>
      <c r="AY158" s="5">
        <v>2</v>
      </c>
      <c r="AZ158" s="5">
        <v>2</v>
      </c>
      <c r="BA158" s="5">
        <v>0</v>
      </c>
      <c r="BB158" s="5">
        <v>1</v>
      </c>
      <c r="BC158" s="5">
        <v>100</v>
      </c>
      <c r="BD158" s="5">
        <v>0</v>
      </c>
      <c r="BE158" s="5">
        <v>2</v>
      </c>
      <c r="BF158" s="5">
        <v>2</v>
      </c>
      <c r="BG158" s="5">
        <v>2</v>
      </c>
      <c r="BH158" s="5">
        <v>1</v>
      </c>
      <c r="BI158" s="5">
        <v>1</v>
      </c>
      <c r="BJ158" s="5">
        <v>1</v>
      </c>
      <c r="BK158" s="5">
        <v>0</v>
      </c>
      <c r="BL158" s="5">
        <v>2</v>
      </c>
      <c r="BM158" s="5">
        <v>2</v>
      </c>
      <c r="BN158" s="5">
        <v>2</v>
      </c>
      <c r="BO158" s="5">
        <v>1</v>
      </c>
      <c r="BP158" s="5">
        <v>1</v>
      </c>
      <c r="BQ158" s="5">
        <v>1</v>
      </c>
      <c r="BR158" s="5">
        <v>18</v>
      </c>
      <c r="BS158" s="5">
        <v>0</v>
      </c>
      <c r="BT158" s="5">
        <v>1</v>
      </c>
      <c r="BU158" s="5"/>
    </row>
    <row r="159" spans="1:73" x14ac:dyDescent="0.25">
      <c r="A159" s="12" t="s">
        <v>271</v>
      </c>
      <c r="B159" s="5">
        <v>1</v>
      </c>
      <c r="C159" s="12">
        <v>9.1632200000000008</v>
      </c>
      <c r="D159" s="13">
        <v>210410982</v>
      </c>
      <c r="E159" s="12">
        <v>73</v>
      </c>
      <c r="F159" s="12">
        <v>1</v>
      </c>
      <c r="G159" s="14">
        <v>45006</v>
      </c>
      <c r="H159" s="12"/>
      <c r="I159" s="14">
        <v>45008</v>
      </c>
      <c r="J159" s="14">
        <v>45012</v>
      </c>
      <c r="K159" s="12">
        <v>8805455466</v>
      </c>
      <c r="L159" s="12"/>
      <c r="M159" s="12">
        <v>14</v>
      </c>
      <c r="N159" s="12">
        <v>1</v>
      </c>
      <c r="O159" s="12">
        <v>2</v>
      </c>
      <c r="P159" s="12">
        <v>2</v>
      </c>
      <c r="Q159" s="12">
        <v>2</v>
      </c>
      <c r="R159" s="12">
        <v>2</v>
      </c>
      <c r="S159" s="12">
        <v>2</v>
      </c>
      <c r="T159" s="12">
        <v>2</v>
      </c>
      <c r="U159" s="12">
        <v>2</v>
      </c>
      <c r="V159" s="12">
        <v>2</v>
      </c>
      <c r="W159" s="12"/>
      <c r="X159" s="12">
        <v>13.7</v>
      </c>
      <c r="Y159" s="12">
        <v>42</v>
      </c>
      <c r="Z159" s="12"/>
      <c r="AA159" s="12">
        <v>23</v>
      </c>
      <c r="AB159" s="12">
        <v>6.4</v>
      </c>
      <c r="AC159" s="12">
        <v>199</v>
      </c>
      <c r="AD159" s="12">
        <v>146</v>
      </c>
      <c r="AE159" s="12">
        <v>37</v>
      </c>
      <c r="AF159" s="12">
        <v>15.2</v>
      </c>
      <c r="AG159" s="12">
        <v>76</v>
      </c>
      <c r="AH159" s="12">
        <v>121</v>
      </c>
      <c r="AI159" s="12" t="s">
        <v>272</v>
      </c>
      <c r="AJ159" s="12"/>
      <c r="AK159" s="12" t="s">
        <v>273</v>
      </c>
      <c r="AL159" s="12" t="s">
        <v>274</v>
      </c>
      <c r="AM159" s="12"/>
      <c r="AN159" s="12"/>
      <c r="AO159" s="12"/>
      <c r="AP159" s="12"/>
      <c r="AQ159" s="12"/>
      <c r="AR159" s="12"/>
      <c r="AS159" s="12"/>
      <c r="AT159" s="12">
        <v>1</v>
      </c>
      <c r="AU159" s="12">
        <v>1</v>
      </c>
      <c r="AV159" s="12">
        <v>2</v>
      </c>
      <c r="AW159" s="12"/>
      <c r="AX159" s="12"/>
      <c r="AY159" s="12"/>
      <c r="AZ159" s="12"/>
      <c r="BA159" s="12">
        <v>0</v>
      </c>
      <c r="BB159" s="5">
        <v>1</v>
      </c>
      <c r="BC159" s="12">
        <v>100</v>
      </c>
      <c r="BD159" s="12">
        <v>0</v>
      </c>
      <c r="BE159" s="12">
        <v>2</v>
      </c>
      <c r="BF159" s="12">
        <v>2</v>
      </c>
      <c r="BG159" s="12">
        <v>2</v>
      </c>
      <c r="BH159" s="12">
        <v>1</v>
      </c>
      <c r="BI159" s="12">
        <v>1</v>
      </c>
      <c r="BJ159" s="12">
        <v>1</v>
      </c>
      <c r="BK159" s="12">
        <v>1</v>
      </c>
      <c r="BL159" s="12">
        <v>2</v>
      </c>
      <c r="BM159" s="12">
        <v>2</v>
      </c>
      <c r="BN159" s="12">
        <v>2</v>
      </c>
      <c r="BO159" s="12">
        <v>1</v>
      </c>
      <c r="BP159" s="12">
        <v>1</v>
      </c>
      <c r="BQ159" s="12">
        <v>1</v>
      </c>
      <c r="BR159" s="12">
        <v>19</v>
      </c>
      <c r="BS159" s="12">
        <v>1</v>
      </c>
      <c r="BT159" s="12">
        <v>1</v>
      </c>
      <c r="BU159" s="12" t="s">
        <v>275</v>
      </c>
    </row>
    <row r="160" spans="1:73" x14ac:dyDescent="0.25">
      <c r="A160" s="5" t="s">
        <v>308</v>
      </c>
      <c r="B160" s="5">
        <v>1</v>
      </c>
      <c r="C160" s="5">
        <v>39.500599999999999</v>
      </c>
      <c r="D160" s="6">
        <v>230804009</v>
      </c>
      <c r="E160" s="5">
        <v>45</v>
      </c>
      <c r="F160" s="5">
        <v>2</v>
      </c>
      <c r="G160" s="7">
        <v>45163</v>
      </c>
      <c r="H160" s="11">
        <v>0.41666666666666669</v>
      </c>
      <c r="I160" s="7">
        <v>45163</v>
      </c>
      <c r="J160" s="7">
        <v>45166</v>
      </c>
      <c r="K160" s="5">
        <v>9850715056</v>
      </c>
      <c r="L160" s="5"/>
      <c r="M160" s="5">
        <v>11</v>
      </c>
      <c r="N160" s="5">
        <v>1</v>
      </c>
      <c r="O160" s="5">
        <v>2</v>
      </c>
      <c r="P160" s="5">
        <v>2</v>
      </c>
      <c r="Q160" s="5">
        <v>2</v>
      </c>
      <c r="R160" s="5">
        <v>2</v>
      </c>
      <c r="S160" s="5">
        <v>2</v>
      </c>
      <c r="T160" s="5">
        <v>2</v>
      </c>
      <c r="U160" s="5">
        <v>2</v>
      </c>
      <c r="V160" s="5">
        <v>2</v>
      </c>
      <c r="W160" s="5" t="s">
        <v>309</v>
      </c>
      <c r="X160" s="5">
        <v>13.1</v>
      </c>
      <c r="Y160" s="5">
        <v>43.3</v>
      </c>
      <c r="Z160" s="5">
        <v>70.3</v>
      </c>
      <c r="AA160" s="5">
        <v>22.79</v>
      </c>
      <c r="AB160" s="5"/>
      <c r="AC160" s="5">
        <v>186</v>
      </c>
      <c r="AD160" s="5">
        <v>129.19999999999999</v>
      </c>
      <c r="AE160" s="5">
        <v>40</v>
      </c>
      <c r="AF160" s="5">
        <v>129.19999999999999</v>
      </c>
      <c r="AG160" s="5">
        <v>84</v>
      </c>
      <c r="AH160" s="5">
        <v>174</v>
      </c>
      <c r="AI160" s="5"/>
      <c r="AJ160" s="5"/>
      <c r="AK160" s="5" t="s">
        <v>310</v>
      </c>
      <c r="AL160" s="5" t="s">
        <v>311</v>
      </c>
      <c r="AM160" s="5"/>
      <c r="AN160" s="5"/>
      <c r="AO160" s="5"/>
      <c r="AP160" s="5"/>
      <c r="AQ160" s="5"/>
      <c r="AR160" s="5"/>
      <c r="AS160" s="5"/>
      <c r="AT160" s="5">
        <v>1</v>
      </c>
      <c r="AU160" s="5">
        <v>2</v>
      </c>
      <c r="AV160" s="5">
        <v>1</v>
      </c>
      <c r="AW160" s="5">
        <v>1</v>
      </c>
      <c r="AX160" s="5">
        <v>8</v>
      </c>
      <c r="AY160" s="5">
        <v>2</v>
      </c>
      <c r="AZ160" s="5">
        <v>2</v>
      </c>
      <c r="BA160" s="5">
        <v>0</v>
      </c>
      <c r="BB160" s="5">
        <v>1</v>
      </c>
      <c r="BC160" s="5">
        <v>100</v>
      </c>
      <c r="BD160" s="5">
        <v>1</v>
      </c>
      <c r="BE160" s="5">
        <v>2</v>
      </c>
      <c r="BF160" s="5">
        <v>2</v>
      </c>
      <c r="BG160" s="5">
        <v>2</v>
      </c>
      <c r="BH160" s="5">
        <v>1</v>
      </c>
      <c r="BI160" s="5">
        <v>1</v>
      </c>
      <c r="BJ160" s="5">
        <v>0</v>
      </c>
      <c r="BK160" s="5">
        <v>1</v>
      </c>
      <c r="BL160" s="5">
        <v>2</v>
      </c>
      <c r="BM160" s="5">
        <v>2</v>
      </c>
      <c r="BN160" s="5">
        <v>2</v>
      </c>
      <c r="BO160" s="5">
        <v>1</v>
      </c>
      <c r="BP160" s="5">
        <v>1</v>
      </c>
      <c r="BQ160" s="5">
        <v>1</v>
      </c>
      <c r="BR160" s="5">
        <v>19</v>
      </c>
      <c r="BS160" s="5">
        <v>1</v>
      </c>
      <c r="BT160" s="5">
        <v>1</v>
      </c>
      <c r="BU160" s="5"/>
    </row>
    <row r="161" spans="1:73" x14ac:dyDescent="0.25">
      <c r="A161" s="5" t="s">
        <v>317</v>
      </c>
      <c r="B161" s="5">
        <v>1</v>
      </c>
      <c r="C161" s="5">
        <v>60.287399999999998</v>
      </c>
      <c r="D161" s="6">
        <v>230200233</v>
      </c>
      <c r="E161" s="5">
        <v>57</v>
      </c>
      <c r="F161" s="5">
        <v>2</v>
      </c>
      <c r="G161" s="7">
        <v>44958</v>
      </c>
      <c r="H161" s="11">
        <v>0.67708333333333337</v>
      </c>
      <c r="I161" s="7">
        <v>44958</v>
      </c>
      <c r="J161" s="7">
        <v>44966</v>
      </c>
      <c r="K161" s="5">
        <v>8698424544</v>
      </c>
      <c r="L161" s="5"/>
      <c r="M161" s="5">
        <v>14</v>
      </c>
      <c r="N161" s="5">
        <v>2</v>
      </c>
      <c r="O161" s="5">
        <v>2</v>
      </c>
      <c r="P161" s="5">
        <v>2</v>
      </c>
      <c r="Q161" s="5">
        <v>2</v>
      </c>
      <c r="R161" s="5">
        <v>2</v>
      </c>
      <c r="S161" s="5">
        <v>2</v>
      </c>
      <c r="T161" s="5">
        <v>2</v>
      </c>
      <c r="U161" s="5">
        <v>2</v>
      </c>
      <c r="V161" s="5">
        <v>2</v>
      </c>
      <c r="W161" s="5" t="s">
        <v>318</v>
      </c>
      <c r="X161" s="5">
        <v>11.7</v>
      </c>
      <c r="Y161" s="5">
        <v>33.6</v>
      </c>
      <c r="Z161" s="5"/>
      <c r="AA161" s="5">
        <v>81.62</v>
      </c>
      <c r="AB161" s="5"/>
      <c r="AC161" s="5"/>
      <c r="AD161" s="5"/>
      <c r="AE161" s="5"/>
      <c r="AF161" s="5"/>
      <c r="AG161" s="5"/>
      <c r="AH161" s="5">
        <v>219</v>
      </c>
      <c r="AI161" s="5" t="s">
        <v>319</v>
      </c>
      <c r="AJ161" s="5"/>
      <c r="AK161" s="5" t="s">
        <v>320</v>
      </c>
      <c r="AL161" s="5" t="s">
        <v>321</v>
      </c>
      <c r="AM161" s="5" t="s">
        <v>322</v>
      </c>
      <c r="AN161" s="5"/>
      <c r="AO161" s="5"/>
      <c r="AP161" s="5"/>
      <c r="AQ161" s="5"/>
      <c r="AR161" s="5"/>
      <c r="AS161" s="5"/>
      <c r="AT161" s="5">
        <v>1</v>
      </c>
      <c r="AU161" s="5">
        <v>1</v>
      </c>
      <c r="AV161" s="5">
        <v>2</v>
      </c>
      <c r="AW161" s="5">
        <v>4</v>
      </c>
      <c r="AX161" s="5">
        <v>8</v>
      </c>
      <c r="AY161" s="5">
        <v>2</v>
      </c>
      <c r="AZ161" s="5">
        <v>2</v>
      </c>
      <c r="BA161" s="5">
        <v>0</v>
      </c>
      <c r="BB161" s="5">
        <v>1</v>
      </c>
      <c r="BC161" s="5">
        <v>100</v>
      </c>
      <c r="BD161" s="5">
        <v>1</v>
      </c>
      <c r="BE161" s="5">
        <v>2</v>
      </c>
      <c r="BF161" s="5">
        <v>2</v>
      </c>
      <c r="BG161" s="5">
        <v>1</v>
      </c>
      <c r="BH161" s="5">
        <v>1</v>
      </c>
      <c r="BI161" s="5">
        <v>1</v>
      </c>
      <c r="BJ161" s="5">
        <v>1</v>
      </c>
      <c r="BK161" s="5">
        <v>1</v>
      </c>
      <c r="BL161" s="5">
        <v>2</v>
      </c>
      <c r="BM161" s="5">
        <v>2</v>
      </c>
      <c r="BN161" s="5">
        <v>2</v>
      </c>
      <c r="BO161" s="5">
        <v>1</v>
      </c>
      <c r="BP161" s="5">
        <v>1</v>
      </c>
      <c r="BQ161" s="5">
        <v>1</v>
      </c>
      <c r="BR161" s="5">
        <v>19</v>
      </c>
      <c r="BS161" s="5">
        <v>1</v>
      </c>
      <c r="BT161" s="5">
        <v>0</v>
      </c>
      <c r="BU161" s="5"/>
    </row>
    <row r="162" spans="1:73" x14ac:dyDescent="0.25">
      <c r="A162" s="12" t="s">
        <v>379</v>
      </c>
      <c r="B162" s="5">
        <v>1</v>
      </c>
      <c r="C162" s="12">
        <v>12.001300000000001</v>
      </c>
      <c r="D162" s="13">
        <v>230602023</v>
      </c>
      <c r="E162" s="12">
        <v>73</v>
      </c>
      <c r="F162" s="12">
        <v>1</v>
      </c>
      <c r="G162" s="14"/>
      <c r="H162" s="12"/>
      <c r="I162" s="14">
        <v>45085</v>
      </c>
      <c r="J162" s="14">
        <v>45086</v>
      </c>
      <c r="K162" s="12">
        <v>7506372648</v>
      </c>
      <c r="L162" s="12"/>
      <c r="M162" s="12">
        <v>0</v>
      </c>
      <c r="N162" s="12">
        <v>1</v>
      </c>
      <c r="O162" s="12">
        <v>2</v>
      </c>
      <c r="P162" s="12">
        <v>2</v>
      </c>
      <c r="Q162" s="12">
        <v>2</v>
      </c>
      <c r="R162" s="12">
        <v>2</v>
      </c>
      <c r="S162" s="12">
        <v>2</v>
      </c>
      <c r="T162" s="12">
        <v>1</v>
      </c>
      <c r="U162" s="12">
        <v>2</v>
      </c>
      <c r="V162" s="12">
        <v>2</v>
      </c>
      <c r="W162" s="12"/>
      <c r="X162" s="12">
        <v>143</v>
      </c>
      <c r="Y162" s="12"/>
      <c r="Z162" s="12"/>
      <c r="AA162" s="12"/>
      <c r="AB162" s="12"/>
      <c r="AC162" s="12"/>
      <c r="AD162" s="12"/>
      <c r="AE162" s="12"/>
      <c r="AF162" s="12"/>
      <c r="AG162" s="12"/>
      <c r="AH162" s="12"/>
      <c r="AI162" s="12"/>
      <c r="AJ162" s="12"/>
      <c r="AK162" s="12" t="s">
        <v>380</v>
      </c>
      <c r="AL162" s="12" t="s">
        <v>381</v>
      </c>
      <c r="AM162" s="12"/>
      <c r="AN162" s="12"/>
      <c r="AO162" s="12"/>
      <c r="AP162" s="12"/>
      <c r="AQ162" s="12"/>
      <c r="AR162" s="12"/>
      <c r="AS162" s="12"/>
      <c r="AT162" s="12">
        <v>1</v>
      </c>
      <c r="AU162" s="12">
        <v>1</v>
      </c>
      <c r="AV162" s="12">
        <v>1</v>
      </c>
      <c r="AW162" s="12">
        <v>1</v>
      </c>
      <c r="AX162" s="12"/>
      <c r="AY162" s="12"/>
      <c r="AZ162" s="12"/>
      <c r="BA162" s="12">
        <v>0</v>
      </c>
      <c r="BB162" s="5">
        <v>1</v>
      </c>
      <c r="BC162" s="12">
        <v>100</v>
      </c>
      <c r="BD162" s="12">
        <v>1</v>
      </c>
      <c r="BE162" s="12">
        <v>2</v>
      </c>
      <c r="BF162" s="12">
        <v>2</v>
      </c>
      <c r="BG162" s="12">
        <v>2</v>
      </c>
      <c r="BH162" s="12">
        <v>1</v>
      </c>
      <c r="BI162" s="12">
        <v>1</v>
      </c>
      <c r="BJ162" s="12">
        <v>1</v>
      </c>
      <c r="BK162" s="12">
        <v>1</v>
      </c>
      <c r="BL162" s="12">
        <v>2</v>
      </c>
      <c r="BM162" s="12">
        <v>2</v>
      </c>
      <c r="BN162" s="12">
        <v>2</v>
      </c>
      <c r="BO162" s="12">
        <v>1</v>
      </c>
      <c r="BP162" s="12">
        <v>1</v>
      </c>
      <c r="BQ162" s="12">
        <v>1</v>
      </c>
      <c r="BR162" s="12">
        <v>20</v>
      </c>
      <c r="BS162" s="12">
        <v>1</v>
      </c>
      <c r="BT162" s="12">
        <v>1</v>
      </c>
      <c r="BU162" s="12"/>
    </row>
    <row r="163" spans="1:73" x14ac:dyDescent="0.25">
      <c r="A163" s="12" t="s">
        <v>382</v>
      </c>
      <c r="B163" s="5">
        <v>1</v>
      </c>
      <c r="C163" s="12">
        <v>13.2799</v>
      </c>
      <c r="D163" s="13">
        <v>230102526</v>
      </c>
      <c r="E163" s="12">
        <v>65</v>
      </c>
      <c r="F163" s="12">
        <v>1</v>
      </c>
      <c r="G163" s="14">
        <v>44937</v>
      </c>
      <c r="H163" s="12"/>
      <c r="I163" s="14">
        <v>44939</v>
      </c>
      <c r="J163" s="14">
        <v>44942</v>
      </c>
      <c r="K163" s="12">
        <v>8888887372</v>
      </c>
      <c r="L163" s="12"/>
      <c r="M163" s="12">
        <v>3</v>
      </c>
      <c r="N163" s="12">
        <v>1</v>
      </c>
      <c r="O163" s="12">
        <v>2</v>
      </c>
      <c r="P163" s="12">
        <v>2</v>
      </c>
      <c r="Q163" s="12">
        <v>2</v>
      </c>
      <c r="R163" s="12">
        <v>2</v>
      </c>
      <c r="S163" s="12">
        <v>2</v>
      </c>
      <c r="T163" s="12">
        <v>2</v>
      </c>
      <c r="U163" s="12">
        <v>2</v>
      </c>
      <c r="V163" s="12">
        <v>2</v>
      </c>
      <c r="W163" s="12" t="s">
        <v>383</v>
      </c>
      <c r="X163" s="12">
        <v>13.3</v>
      </c>
      <c r="Y163" s="12">
        <v>42</v>
      </c>
      <c r="Z163" s="12"/>
      <c r="AA163" s="12">
        <v>7.35</v>
      </c>
      <c r="AB163" s="12"/>
      <c r="AC163" s="12">
        <v>167</v>
      </c>
      <c r="AD163" s="12">
        <v>114</v>
      </c>
      <c r="AE163" s="12">
        <v>33</v>
      </c>
      <c r="AF163" s="12">
        <v>19</v>
      </c>
      <c r="AG163" s="12">
        <v>98</v>
      </c>
      <c r="AH163" s="12">
        <v>2000</v>
      </c>
      <c r="AI163" s="12" t="s">
        <v>384</v>
      </c>
      <c r="AJ163" s="12"/>
      <c r="AK163" s="12" t="s">
        <v>385</v>
      </c>
      <c r="AL163" s="12" t="s">
        <v>386</v>
      </c>
      <c r="AM163" s="12"/>
      <c r="AN163" s="12"/>
      <c r="AO163" s="12"/>
      <c r="AP163" s="12"/>
      <c r="AQ163" s="12"/>
      <c r="AR163" s="12"/>
      <c r="AS163" s="12"/>
      <c r="AT163" s="12">
        <v>1</v>
      </c>
      <c r="AU163" s="12">
        <v>1</v>
      </c>
      <c r="AV163" s="12">
        <v>2</v>
      </c>
      <c r="AW163" s="12"/>
      <c r="AX163" s="12"/>
      <c r="AY163" s="12"/>
      <c r="AZ163" s="12"/>
      <c r="BA163" s="12">
        <v>0</v>
      </c>
      <c r="BB163" s="5">
        <v>1</v>
      </c>
      <c r="BC163" s="12">
        <v>100</v>
      </c>
      <c r="BD163" s="12">
        <v>1</v>
      </c>
      <c r="BE163" s="12">
        <v>2</v>
      </c>
      <c r="BF163" s="12">
        <v>2</v>
      </c>
      <c r="BG163" s="12">
        <v>2</v>
      </c>
      <c r="BH163" s="12">
        <v>1</v>
      </c>
      <c r="BI163" s="12">
        <v>1</v>
      </c>
      <c r="BJ163" s="12">
        <v>1</v>
      </c>
      <c r="BK163" s="12">
        <v>1</v>
      </c>
      <c r="BL163" s="12">
        <v>2</v>
      </c>
      <c r="BM163" s="12">
        <v>2</v>
      </c>
      <c r="BN163" s="12">
        <v>2</v>
      </c>
      <c r="BO163" s="12">
        <v>1</v>
      </c>
      <c r="BP163" s="12">
        <v>1</v>
      </c>
      <c r="BQ163" s="12">
        <v>1</v>
      </c>
      <c r="BR163" s="12">
        <v>20</v>
      </c>
      <c r="BS163" s="12">
        <v>1</v>
      </c>
      <c r="BT163" s="12">
        <v>0</v>
      </c>
      <c r="BU163" s="12"/>
    </row>
    <row r="164" spans="1:73" x14ac:dyDescent="0.25">
      <c r="A164" s="5" t="s">
        <v>391</v>
      </c>
      <c r="B164" s="5">
        <v>1</v>
      </c>
      <c r="C164" s="5">
        <v>43.631900000000002</v>
      </c>
      <c r="D164" s="6">
        <v>230000000000</v>
      </c>
      <c r="E164" s="5">
        <v>75</v>
      </c>
      <c r="F164" s="5">
        <v>1</v>
      </c>
      <c r="G164" s="7">
        <v>45269</v>
      </c>
      <c r="H164" s="11">
        <v>0.625</v>
      </c>
      <c r="I164" s="7">
        <v>45269</v>
      </c>
      <c r="J164" s="7">
        <v>45270</v>
      </c>
      <c r="K164" s="5">
        <v>9604558802</v>
      </c>
      <c r="L164" s="5"/>
      <c r="M164" s="5">
        <v>20</v>
      </c>
      <c r="N164" s="5">
        <v>2</v>
      </c>
      <c r="O164" s="5">
        <v>2</v>
      </c>
      <c r="P164" s="5">
        <v>2</v>
      </c>
      <c r="Q164" s="5">
        <v>2</v>
      </c>
      <c r="R164" s="5">
        <v>2</v>
      </c>
      <c r="S164" s="5">
        <v>2</v>
      </c>
      <c r="T164" s="5">
        <v>2</v>
      </c>
      <c r="U164" s="5">
        <v>2</v>
      </c>
      <c r="V164" s="5">
        <v>2</v>
      </c>
      <c r="W164" s="5"/>
      <c r="X164" s="5">
        <v>13.9</v>
      </c>
      <c r="Y164" s="5">
        <v>43.1</v>
      </c>
      <c r="Z164" s="5">
        <v>88.6</v>
      </c>
      <c r="AA164" s="5">
        <v>14.73</v>
      </c>
      <c r="AB164" s="5">
        <v>6.4</v>
      </c>
      <c r="AC164" s="5">
        <v>220</v>
      </c>
      <c r="AD164" s="5">
        <v>146</v>
      </c>
      <c r="AE164" s="5">
        <v>58</v>
      </c>
      <c r="AF164" s="5">
        <v>16</v>
      </c>
      <c r="AG164" s="5">
        <v>80</v>
      </c>
      <c r="AH164" s="5">
        <v>1613</v>
      </c>
      <c r="AI164" s="5"/>
      <c r="AJ164" s="5"/>
      <c r="AK164" s="5" t="s">
        <v>392</v>
      </c>
      <c r="AL164" s="5" t="s">
        <v>393</v>
      </c>
      <c r="AM164" s="5"/>
      <c r="AN164" s="5"/>
      <c r="AO164" s="5"/>
      <c r="AP164" s="5"/>
      <c r="AQ164" s="5"/>
      <c r="AR164" s="5"/>
      <c r="AS164" s="5"/>
      <c r="AT164" s="5">
        <v>1</v>
      </c>
      <c r="AU164" s="5">
        <v>1</v>
      </c>
      <c r="AV164" s="5">
        <v>2</v>
      </c>
      <c r="AW164" s="5"/>
      <c r="AX164" s="5"/>
      <c r="AY164" s="5"/>
      <c r="AZ164" s="5"/>
      <c r="BA164" s="5">
        <v>0</v>
      </c>
      <c r="BB164" s="5">
        <v>1</v>
      </c>
      <c r="BC164" s="5">
        <v>100</v>
      </c>
      <c r="BD164" s="5">
        <v>1</v>
      </c>
      <c r="BE164" s="5">
        <v>2</v>
      </c>
      <c r="BF164" s="5">
        <v>2</v>
      </c>
      <c r="BG164" s="5">
        <v>2</v>
      </c>
      <c r="BH164" s="5">
        <v>1</v>
      </c>
      <c r="BI164" s="5">
        <v>1</v>
      </c>
      <c r="BJ164" s="5">
        <v>1</v>
      </c>
      <c r="BK164" s="5">
        <v>1</v>
      </c>
      <c r="BL164" s="5">
        <v>2</v>
      </c>
      <c r="BM164" s="5">
        <v>2</v>
      </c>
      <c r="BN164" s="5">
        <v>2</v>
      </c>
      <c r="BO164" s="5">
        <v>1</v>
      </c>
      <c r="BP164" s="5">
        <v>1</v>
      </c>
      <c r="BQ164" s="5">
        <v>1</v>
      </c>
      <c r="BR164" s="5">
        <v>20</v>
      </c>
      <c r="BS164" s="5">
        <v>1</v>
      </c>
      <c r="BT164" s="5">
        <v>1</v>
      </c>
      <c r="BU164" s="5" t="s">
        <v>316</v>
      </c>
    </row>
    <row r="165" spans="1:73" x14ac:dyDescent="0.25">
      <c r="A165" s="5" t="s">
        <v>589</v>
      </c>
      <c r="B165" s="5">
        <v>0</v>
      </c>
      <c r="C165" s="5">
        <v>9.0276200000000006</v>
      </c>
      <c r="D165" s="6">
        <v>24000009968</v>
      </c>
      <c r="E165" s="5">
        <v>65</v>
      </c>
      <c r="F165" s="5">
        <v>2</v>
      </c>
      <c r="G165" s="7">
        <v>45319</v>
      </c>
      <c r="H165" s="20">
        <v>0.47916666666666669</v>
      </c>
      <c r="I165" s="7">
        <v>45319</v>
      </c>
      <c r="J165" s="7"/>
      <c r="K165" s="5">
        <v>9881642502</v>
      </c>
      <c r="L165" s="5">
        <v>7058256094</v>
      </c>
      <c r="M165" s="5">
        <v>2</v>
      </c>
      <c r="N165" s="5">
        <v>2</v>
      </c>
      <c r="O165" s="5">
        <v>2</v>
      </c>
      <c r="P165" s="5">
        <v>2</v>
      </c>
      <c r="Q165" s="5">
        <v>2</v>
      </c>
      <c r="R165" s="5">
        <v>1</v>
      </c>
      <c r="S165" s="5">
        <v>2</v>
      </c>
      <c r="T165" s="5">
        <v>2</v>
      </c>
      <c r="U165" s="5">
        <v>2</v>
      </c>
      <c r="V165" s="5">
        <v>2</v>
      </c>
      <c r="W165" s="5"/>
      <c r="X165" s="5">
        <v>12.6</v>
      </c>
      <c r="Y165" s="5">
        <v>38.299999999999997</v>
      </c>
      <c r="Z165" s="5">
        <v>88.9</v>
      </c>
      <c r="AA165" s="5">
        <v>24</v>
      </c>
      <c r="AB165" s="5">
        <v>5.0999999999999996</v>
      </c>
      <c r="AC165" s="5"/>
      <c r="AD165" s="5"/>
      <c r="AE165" s="5"/>
      <c r="AF165" s="5"/>
      <c r="AG165" s="5"/>
      <c r="AH165" s="5">
        <v>448</v>
      </c>
      <c r="AI165" s="5"/>
      <c r="AJ165" s="5"/>
      <c r="AK165" s="5" t="s">
        <v>590</v>
      </c>
      <c r="AL165" s="5"/>
      <c r="AM165" s="5"/>
      <c r="AN165" s="5"/>
      <c r="AO165" s="5"/>
      <c r="AP165" s="5"/>
      <c r="AQ165" s="5"/>
      <c r="AR165" s="5"/>
      <c r="AS165" s="5"/>
      <c r="AT165" s="5"/>
      <c r="AU165" s="5"/>
      <c r="AV165" s="5"/>
      <c r="AW165" s="5"/>
      <c r="AX165" s="5"/>
      <c r="AY165" s="5"/>
      <c r="AZ165" s="5"/>
      <c r="BA165" s="5">
        <v>0</v>
      </c>
      <c r="BB165" s="5">
        <v>1</v>
      </c>
      <c r="BC165" s="5">
        <v>100</v>
      </c>
      <c r="BD165" s="5"/>
      <c r="BE165" s="5"/>
      <c r="BF165" s="5"/>
      <c r="BG165" s="5"/>
      <c r="BH165" s="5"/>
      <c r="BI165" s="5"/>
      <c r="BJ165" s="5"/>
      <c r="BK165" s="5"/>
      <c r="BL165" s="5"/>
      <c r="BM165" s="5"/>
      <c r="BN165" s="5"/>
      <c r="BO165" s="5"/>
      <c r="BP165" s="5"/>
      <c r="BQ165" s="5"/>
      <c r="BR165" s="5"/>
      <c r="BS165" s="5"/>
      <c r="BT165" s="5"/>
      <c r="BU165" s="5" t="s">
        <v>591</v>
      </c>
    </row>
    <row r="166" spans="1:73" x14ac:dyDescent="0.25">
      <c r="A166" s="5" t="s">
        <v>593</v>
      </c>
      <c r="B166" s="5">
        <v>0</v>
      </c>
      <c r="C166" s="5">
        <v>10.9933</v>
      </c>
      <c r="D166" s="6">
        <v>220901611</v>
      </c>
      <c r="E166" s="5">
        <v>45</v>
      </c>
      <c r="F166" s="5">
        <v>1</v>
      </c>
      <c r="G166" s="7"/>
      <c r="H166" s="5"/>
      <c r="I166" s="7"/>
      <c r="J166" s="7"/>
      <c r="K166" s="5"/>
      <c r="L166" s="5"/>
      <c r="M166" s="5">
        <v>2</v>
      </c>
      <c r="N166" s="5">
        <v>1</v>
      </c>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v>1</v>
      </c>
      <c r="AU166" s="5">
        <v>1</v>
      </c>
      <c r="AV166" s="5">
        <v>2</v>
      </c>
      <c r="AW166" s="5"/>
      <c r="AX166" s="5">
        <v>4</v>
      </c>
      <c r="AY166" s="5">
        <v>2</v>
      </c>
      <c r="AZ166" s="5">
        <v>2</v>
      </c>
      <c r="BA166" s="5">
        <v>0</v>
      </c>
      <c r="BB166" s="5">
        <v>1</v>
      </c>
      <c r="BC166" s="5">
        <v>100</v>
      </c>
      <c r="BD166" s="5"/>
      <c r="BE166" s="5"/>
      <c r="BF166" s="5"/>
      <c r="BG166" s="5"/>
      <c r="BH166" s="5"/>
      <c r="BI166" s="5"/>
      <c r="BJ166" s="5"/>
      <c r="BK166" s="5"/>
      <c r="BL166" s="5"/>
      <c r="BM166" s="5"/>
      <c r="BN166" s="5"/>
      <c r="BO166" s="5"/>
      <c r="BP166" s="5"/>
      <c r="BQ166" s="5"/>
      <c r="BR166" s="5"/>
      <c r="BS166" s="5"/>
      <c r="BT166" s="5"/>
      <c r="BU166" s="5" t="s">
        <v>594</v>
      </c>
    </row>
    <row r="167" spans="1:73" x14ac:dyDescent="0.25">
      <c r="A167" s="5" t="s">
        <v>595</v>
      </c>
      <c r="B167" s="5">
        <v>0</v>
      </c>
      <c r="C167" s="5">
        <v>11.178000000000001</v>
      </c>
      <c r="D167" s="6">
        <v>230802341</v>
      </c>
      <c r="E167" s="5">
        <v>36</v>
      </c>
      <c r="F167" s="5">
        <v>1</v>
      </c>
      <c r="G167" s="7">
        <v>45155</v>
      </c>
      <c r="H167" s="11">
        <v>0.16666666666666666</v>
      </c>
      <c r="I167" s="7">
        <v>45155</v>
      </c>
      <c r="J167" s="7">
        <v>45156</v>
      </c>
      <c r="K167" s="5">
        <v>7875611954</v>
      </c>
      <c r="L167" s="5"/>
      <c r="M167" s="5">
        <v>2</v>
      </c>
      <c r="N167" s="5">
        <v>2</v>
      </c>
      <c r="O167" s="5">
        <v>1</v>
      </c>
      <c r="P167" s="5">
        <v>1</v>
      </c>
      <c r="Q167" s="5">
        <v>2</v>
      </c>
      <c r="R167" s="5">
        <v>1</v>
      </c>
      <c r="S167" s="5">
        <v>1</v>
      </c>
      <c r="T167" s="5">
        <v>2</v>
      </c>
      <c r="U167" s="5">
        <v>2</v>
      </c>
      <c r="V167" s="5">
        <v>2</v>
      </c>
      <c r="W167" s="5" t="s">
        <v>596</v>
      </c>
      <c r="X167" s="5">
        <v>17</v>
      </c>
      <c r="Y167" s="5"/>
      <c r="Z167" s="5"/>
      <c r="AA167" s="5">
        <v>26</v>
      </c>
      <c r="AB167" s="5">
        <v>9.6</v>
      </c>
      <c r="AC167" s="5">
        <v>252</v>
      </c>
      <c r="AD167" s="5">
        <v>163</v>
      </c>
      <c r="AE167" s="5">
        <v>44</v>
      </c>
      <c r="AF167" s="5">
        <v>44.6</v>
      </c>
      <c r="AG167" s="5">
        <v>223</v>
      </c>
      <c r="AH167" s="5">
        <v>148</v>
      </c>
      <c r="AI167" s="5"/>
      <c r="AJ167" s="5"/>
      <c r="AK167" s="5" t="s">
        <v>597</v>
      </c>
      <c r="AL167" s="5" t="s">
        <v>598</v>
      </c>
      <c r="AM167" s="5"/>
      <c r="AN167" s="5"/>
      <c r="AO167" s="5"/>
      <c r="AP167" s="5"/>
      <c r="AQ167" s="5"/>
      <c r="AR167" s="5"/>
      <c r="AS167" s="5"/>
      <c r="AT167" s="5">
        <v>1</v>
      </c>
      <c r="AU167" s="5">
        <v>1</v>
      </c>
      <c r="AV167" s="5">
        <v>2</v>
      </c>
      <c r="AW167" s="5">
        <v>4</v>
      </c>
      <c r="AX167" s="5">
        <v>8</v>
      </c>
      <c r="AY167" s="5">
        <v>2</v>
      </c>
      <c r="AZ167" s="5">
        <v>2</v>
      </c>
      <c r="BA167" s="5">
        <v>0</v>
      </c>
      <c r="BB167" s="5">
        <v>1</v>
      </c>
      <c r="BC167" s="5">
        <v>100</v>
      </c>
      <c r="BD167" s="5"/>
      <c r="BE167" s="5"/>
      <c r="BF167" s="5"/>
      <c r="BG167" s="5"/>
      <c r="BH167" s="5"/>
      <c r="BI167" s="5"/>
      <c r="BJ167" s="5"/>
      <c r="BK167" s="5"/>
      <c r="BL167" s="5"/>
      <c r="BM167" s="5"/>
      <c r="BN167" s="5"/>
      <c r="BO167" s="5"/>
      <c r="BP167" s="5"/>
      <c r="BQ167" s="5"/>
      <c r="BR167" s="5"/>
      <c r="BS167" s="5"/>
      <c r="BT167" s="5"/>
      <c r="BU167" s="5" t="s">
        <v>599</v>
      </c>
    </row>
    <row r="168" spans="1:73" x14ac:dyDescent="0.25">
      <c r="A168" s="5" t="s">
        <v>600</v>
      </c>
      <c r="B168" s="5">
        <v>0</v>
      </c>
      <c r="C168" s="5">
        <v>12.1175</v>
      </c>
      <c r="D168" s="6">
        <v>180700881</v>
      </c>
      <c r="E168" s="5">
        <v>52</v>
      </c>
      <c r="F168" s="5">
        <v>1</v>
      </c>
      <c r="G168" s="7">
        <v>45172</v>
      </c>
      <c r="H168" s="11">
        <v>0.77083333333333337</v>
      </c>
      <c r="I168" s="7">
        <v>45175</v>
      </c>
      <c r="J168" s="7">
        <v>45176</v>
      </c>
      <c r="K168" s="5">
        <v>9689123544</v>
      </c>
      <c r="L168" s="5"/>
      <c r="M168" s="5">
        <v>1</v>
      </c>
      <c r="N168" s="5">
        <v>1</v>
      </c>
      <c r="O168" s="5">
        <v>2</v>
      </c>
      <c r="P168" s="5">
        <v>2</v>
      </c>
      <c r="Q168" s="5">
        <v>2</v>
      </c>
      <c r="R168" s="5">
        <v>1</v>
      </c>
      <c r="S168" s="5">
        <v>2</v>
      </c>
      <c r="T168" s="5">
        <v>2</v>
      </c>
      <c r="U168" s="5">
        <v>2</v>
      </c>
      <c r="V168" s="5">
        <v>2</v>
      </c>
      <c r="W168" s="5" t="s">
        <v>601</v>
      </c>
      <c r="X168" s="5">
        <v>11.6</v>
      </c>
      <c r="Y168" s="5">
        <v>36.5</v>
      </c>
      <c r="Z168" s="5">
        <v>76.3</v>
      </c>
      <c r="AA168" s="5">
        <v>23.31</v>
      </c>
      <c r="AB168" s="5">
        <v>6.3</v>
      </c>
      <c r="AC168" s="5">
        <v>169</v>
      </c>
      <c r="AD168" s="5">
        <v>111.2</v>
      </c>
      <c r="AE168" s="5">
        <v>45</v>
      </c>
      <c r="AF168" s="5">
        <v>12.8</v>
      </c>
      <c r="AG168" s="5">
        <v>64</v>
      </c>
      <c r="AH168" s="5">
        <v>148</v>
      </c>
      <c r="AI168" s="5"/>
      <c r="AJ168" s="5"/>
      <c r="AK168" s="5" t="s">
        <v>602</v>
      </c>
      <c r="AL168" s="5" t="s">
        <v>603</v>
      </c>
      <c r="AM168" s="5"/>
      <c r="AN168" s="5"/>
      <c r="AO168" s="5"/>
      <c r="AP168" s="5"/>
      <c r="AQ168" s="5"/>
      <c r="AR168" s="5"/>
      <c r="AS168" s="5"/>
      <c r="AT168" s="5">
        <v>1</v>
      </c>
      <c r="AU168" s="5">
        <v>1</v>
      </c>
      <c r="AV168" s="5">
        <v>2</v>
      </c>
      <c r="AW168" s="5"/>
      <c r="AX168" s="5"/>
      <c r="AY168" s="5"/>
      <c r="AZ168" s="5"/>
      <c r="BA168" s="5">
        <v>0</v>
      </c>
      <c r="BB168" s="5">
        <v>1</v>
      </c>
      <c r="BC168" s="5">
        <v>100</v>
      </c>
      <c r="BD168" s="5"/>
      <c r="BE168" s="5"/>
      <c r="BF168" s="5"/>
      <c r="BG168" s="5"/>
      <c r="BH168" s="5"/>
      <c r="BI168" s="5"/>
      <c r="BJ168" s="5"/>
      <c r="BK168" s="5"/>
      <c r="BL168" s="5"/>
      <c r="BM168" s="5"/>
      <c r="BN168" s="5"/>
      <c r="BO168" s="5"/>
      <c r="BP168" s="5"/>
      <c r="BQ168" s="5"/>
      <c r="BR168" s="5"/>
      <c r="BS168" s="5"/>
      <c r="BT168" s="5"/>
      <c r="BU168" s="5" t="s">
        <v>594</v>
      </c>
    </row>
    <row r="169" spans="1:73" x14ac:dyDescent="0.25">
      <c r="A169" s="5" t="s">
        <v>612</v>
      </c>
      <c r="B169" s="5">
        <v>0</v>
      </c>
      <c r="C169" s="5">
        <v>27.165199999999999</v>
      </c>
      <c r="D169" s="6">
        <v>230800399</v>
      </c>
      <c r="E169" s="5">
        <v>78</v>
      </c>
      <c r="F169" s="5">
        <v>1</v>
      </c>
      <c r="G169" s="7">
        <v>45507</v>
      </c>
      <c r="H169" s="11">
        <v>0.10416666666666667</v>
      </c>
      <c r="I169" s="7">
        <v>45513</v>
      </c>
      <c r="J169" s="7"/>
      <c r="K169" s="5">
        <v>9822117746</v>
      </c>
      <c r="L169" s="5"/>
      <c r="M169" s="5">
        <v>12</v>
      </c>
      <c r="N169" s="5">
        <v>2</v>
      </c>
      <c r="O169" s="5">
        <v>2</v>
      </c>
      <c r="P169" s="5">
        <v>2</v>
      </c>
      <c r="Q169" s="5">
        <v>2</v>
      </c>
      <c r="R169" s="5">
        <v>1</v>
      </c>
      <c r="S169" s="5">
        <v>2</v>
      </c>
      <c r="T169" s="5">
        <v>1</v>
      </c>
      <c r="U169" s="5">
        <v>2</v>
      </c>
      <c r="V169" s="5">
        <v>2</v>
      </c>
      <c r="W169" s="5" t="s">
        <v>613</v>
      </c>
      <c r="X169" s="5">
        <v>16</v>
      </c>
      <c r="Y169" s="5">
        <v>92</v>
      </c>
      <c r="Z169" s="5">
        <v>46</v>
      </c>
      <c r="AA169" s="5"/>
      <c r="AB169" s="5"/>
      <c r="AC169" s="5">
        <v>143</v>
      </c>
      <c r="AD169" s="5">
        <v>95</v>
      </c>
      <c r="AE169" s="5">
        <v>32</v>
      </c>
      <c r="AF169" s="5">
        <v>15</v>
      </c>
      <c r="AG169" s="5">
        <v>76</v>
      </c>
      <c r="AH169" s="5"/>
      <c r="AI169" s="5"/>
      <c r="AJ169" s="5"/>
      <c r="AK169" s="5" t="s">
        <v>614</v>
      </c>
      <c r="AL169" s="5" t="s">
        <v>615</v>
      </c>
      <c r="AM169" s="5"/>
      <c r="AN169" s="5"/>
      <c r="AO169" s="5"/>
      <c r="AP169" s="5"/>
      <c r="AQ169" s="5"/>
      <c r="AR169" s="5"/>
      <c r="AS169" s="5" t="s">
        <v>616</v>
      </c>
      <c r="AT169" s="5">
        <v>1</v>
      </c>
      <c r="AU169" s="5">
        <v>1</v>
      </c>
      <c r="AV169" s="5">
        <v>2</v>
      </c>
      <c r="AW169" s="5"/>
      <c r="AX169" s="5"/>
      <c r="AY169" s="5"/>
      <c r="AZ169" s="5"/>
      <c r="BA169" s="5">
        <v>0</v>
      </c>
      <c r="BB169" s="5">
        <v>1</v>
      </c>
      <c r="BC169" s="5">
        <v>100</v>
      </c>
      <c r="BD169" s="5"/>
      <c r="BE169" s="5"/>
      <c r="BF169" s="5"/>
      <c r="BG169" s="5"/>
      <c r="BH169" s="5"/>
      <c r="BI169" s="5"/>
      <c r="BJ169" s="5"/>
      <c r="BK169" s="5"/>
      <c r="BL169" s="5"/>
      <c r="BM169" s="5"/>
      <c r="BN169" s="5"/>
      <c r="BO169" s="5"/>
      <c r="BP169" s="5"/>
      <c r="BQ169" s="5"/>
      <c r="BR169" s="5"/>
      <c r="BS169" s="5"/>
      <c r="BT169" s="5"/>
      <c r="BU169" s="5" t="s">
        <v>594</v>
      </c>
    </row>
    <row r="170" spans="1:73" x14ac:dyDescent="0.25">
      <c r="A170" s="5" t="s">
        <v>617</v>
      </c>
      <c r="B170" s="5">
        <v>0</v>
      </c>
      <c r="C170" s="5">
        <v>32.914000000000001</v>
      </c>
      <c r="D170" s="6">
        <v>24000010664</v>
      </c>
      <c r="E170" s="5">
        <v>41</v>
      </c>
      <c r="F170" s="5">
        <v>1</v>
      </c>
      <c r="G170" s="7">
        <v>45321</v>
      </c>
      <c r="H170" s="20">
        <v>0.33333333333333331</v>
      </c>
      <c r="I170" s="7">
        <v>45321</v>
      </c>
      <c r="J170" s="7"/>
      <c r="K170" s="5">
        <v>7020196083</v>
      </c>
      <c r="L170" s="5"/>
      <c r="M170" s="5">
        <v>12</v>
      </c>
      <c r="N170" s="5">
        <v>1</v>
      </c>
      <c r="O170" s="5">
        <v>2</v>
      </c>
      <c r="P170" s="5">
        <v>1</v>
      </c>
      <c r="Q170" s="5">
        <v>2</v>
      </c>
      <c r="R170" s="5">
        <v>1</v>
      </c>
      <c r="S170" s="5">
        <v>2</v>
      </c>
      <c r="T170" s="5">
        <v>2</v>
      </c>
      <c r="U170" s="5">
        <v>2</v>
      </c>
      <c r="V170" s="5">
        <v>2</v>
      </c>
      <c r="W170" s="5"/>
      <c r="X170" s="5">
        <v>17</v>
      </c>
      <c r="Y170" s="5">
        <v>52.3</v>
      </c>
      <c r="Z170" s="5">
        <v>85</v>
      </c>
      <c r="AA170" s="5">
        <v>14.7</v>
      </c>
      <c r="AB170" s="5">
        <v>5.7</v>
      </c>
      <c r="AC170" s="5"/>
      <c r="AD170" s="5"/>
      <c r="AE170" s="5"/>
      <c r="AF170" s="5"/>
      <c r="AG170" s="5"/>
      <c r="AH170" s="5">
        <v>296</v>
      </c>
      <c r="AI170" s="5"/>
      <c r="AJ170" s="5"/>
      <c r="AK170" s="5" t="s">
        <v>618</v>
      </c>
      <c r="AL170" s="5" t="s">
        <v>619</v>
      </c>
      <c r="AM170" s="5"/>
      <c r="AN170" s="5"/>
      <c r="AO170" s="5"/>
      <c r="AP170" s="5"/>
      <c r="AQ170" s="5"/>
      <c r="AR170" s="5"/>
      <c r="AS170" s="5"/>
      <c r="AT170" s="5">
        <v>1</v>
      </c>
      <c r="AU170" s="5">
        <v>1</v>
      </c>
      <c r="AV170" s="5">
        <v>1</v>
      </c>
      <c r="AW170" s="5">
        <v>1</v>
      </c>
      <c r="AX170" s="5"/>
      <c r="AY170" s="5"/>
      <c r="AZ170" s="5"/>
      <c r="BA170" s="5">
        <v>0</v>
      </c>
      <c r="BB170" s="5">
        <v>1</v>
      </c>
      <c r="BC170" s="5">
        <v>100</v>
      </c>
      <c r="BD170" s="5"/>
      <c r="BE170" s="5"/>
      <c r="BF170" s="5"/>
      <c r="BG170" s="5"/>
      <c r="BH170" s="5"/>
      <c r="BI170" s="5"/>
      <c r="BJ170" s="5"/>
      <c r="BK170" s="5"/>
      <c r="BL170" s="5"/>
      <c r="BM170" s="5"/>
      <c r="BN170" s="5"/>
      <c r="BO170" s="5"/>
      <c r="BP170" s="5"/>
      <c r="BQ170" s="5"/>
      <c r="BR170" s="5"/>
      <c r="BS170" s="5"/>
      <c r="BT170" s="5"/>
      <c r="BU170" s="5" t="s">
        <v>594</v>
      </c>
    </row>
    <row r="171" spans="1:73" x14ac:dyDescent="0.25">
      <c r="A171" s="5" t="s">
        <v>621</v>
      </c>
      <c r="B171" s="5">
        <v>0</v>
      </c>
      <c r="C171" s="5">
        <v>59.570599999999999</v>
      </c>
      <c r="D171" s="6">
        <v>230801267</v>
      </c>
      <c r="E171" s="5">
        <v>53</v>
      </c>
      <c r="F171" s="5">
        <v>1</v>
      </c>
      <c r="G171" s="7">
        <v>45148</v>
      </c>
      <c r="H171" s="11">
        <v>0.375</v>
      </c>
      <c r="I171" s="7">
        <v>45148</v>
      </c>
      <c r="J171" s="7">
        <v>45150</v>
      </c>
      <c r="K171" s="5">
        <v>7767882395</v>
      </c>
      <c r="L171" s="5"/>
      <c r="M171" s="5">
        <v>20</v>
      </c>
      <c r="N171" s="5">
        <v>1</v>
      </c>
      <c r="O171" s="5">
        <v>1</v>
      </c>
      <c r="P171" s="5">
        <v>2</v>
      </c>
      <c r="Q171" s="5">
        <v>2</v>
      </c>
      <c r="R171" s="5">
        <v>2</v>
      </c>
      <c r="S171" s="5">
        <v>2</v>
      </c>
      <c r="T171" s="5">
        <v>2</v>
      </c>
      <c r="U171" s="5">
        <v>2</v>
      </c>
      <c r="V171" s="5">
        <v>2</v>
      </c>
      <c r="W171" s="5"/>
      <c r="X171" s="5">
        <v>15.2</v>
      </c>
      <c r="Y171" s="5">
        <v>45.4</v>
      </c>
      <c r="Z171" s="5"/>
      <c r="AA171" s="5">
        <v>18.36</v>
      </c>
      <c r="AB171" s="5">
        <v>9.5</v>
      </c>
      <c r="AC171" s="5">
        <v>200</v>
      </c>
      <c r="AD171" s="5">
        <v>140.80000000000001</v>
      </c>
      <c r="AE171" s="5">
        <v>34</v>
      </c>
      <c r="AF171" s="5"/>
      <c r="AG171" s="5">
        <v>126</v>
      </c>
      <c r="AH171" s="5"/>
      <c r="AI171" s="5" t="s">
        <v>616</v>
      </c>
      <c r="AJ171" s="5"/>
      <c r="AK171" s="5" t="s">
        <v>622</v>
      </c>
      <c r="AL171" s="5"/>
      <c r="AM171" s="5"/>
      <c r="AN171" s="5"/>
      <c r="AO171" s="5"/>
      <c r="AP171" s="5"/>
      <c r="AQ171" s="5"/>
      <c r="AR171" s="5"/>
      <c r="AS171" s="5"/>
      <c r="AT171" s="5">
        <v>1</v>
      </c>
      <c r="AU171" s="5">
        <v>1</v>
      </c>
      <c r="AV171" s="5">
        <v>2</v>
      </c>
      <c r="AW171" s="5">
        <v>4</v>
      </c>
      <c r="AX171" s="5">
        <v>8</v>
      </c>
      <c r="AY171" s="5">
        <v>2</v>
      </c>
      <c r="AZ171" s="5">
        <v>2</v>
      </c>
      <c r="BA171" s="5">
        <v>0</v>
      </c>
      <c r="BB171" s="5">
        <v>1</v>
      </c>
      <c r="BC171" s="5">
        <v>100</v>
      </c>
      <c r="BD171" s="5"/>
      <c r="BE171" s="5"/>
      <c r="BF171" s="5"/>
      <c r="BG171" s="5"/>
      <c r="BH171" s="5"/>
      <c r="BI171" s="5"/>
      <c r="BJ171" s="5"/>
      <c r="BK171" s="5"/>
      <c r="BL171" s="5"/>
      <c r="BM171" s="5"/>
      <c r="BN171" s="5"/>
      <c r="BO171" s="5"/>
      <c r="BP171" s="5"/>
      <c r="BQ171" s="5"/>
      <c r="BR171" s="5"/>
      <c r="BS171" s="5"/>
      <c r="BT171" s="5"/>
      <c r="BU171" s="5" t="s">
        <v>594</v>
      </c>
    </row>
    <row r="172" spans="1:73" x14ac:dyDescent="0.25">
      <c r="A172" s="5" t="s">
        <v>80</v>
      </c>
      <c r="B172" s="5">
        <v>1</v>
      </c>
      <c r="C172" s="5">
        <v>65.188599999999994</v>
      </c>
      <c r="D172" s="6">
        <v>230703109</v>
      </c>
      <c r="E172" s="5">
        <v>58</v>
      </c>
      <c r="F172" s="5">
        <v>1</v>
      </c>
      <c r="G172" s="7">
        <v>45130</v>
      </c>
      <c r="H172" s="11">
        <v>0.58333333333333337</v>
      </c>
      <c r="I172" s="7">
        <v>45130</v>
      </c>
      <c r="J172" s="7">
        <v>45141</v>
      </c>
      <c r="K172" s="5">
        <v>7276991493</v>
      </c>
      <c r="L172" s="5"/>
      <c r="M172" s="5">
        <v>6</v>
      </c>
      <c r="N172" s="5">
        <v>1</v>
      </c>
      <c r="O172" s="5">
        <v>1</v>
      </c>
      <c r="P172" s="5">
        <v>2</v>
      </c>
      <c r="Q172" s="5">
        <v>2</v>
      </c>
      <c r="R172" s="5">
        <v>2</v>
      </c>
      <c r="S172" s="5">
        <v>2</v>
      </c>
      <c r="T172" s="5">
        <v>2</v>
      </c>
      <c r="U172" s="5">
        <v>2</v>
      </c>
      <c r="V172" s="5">
        <v>2</v>
      </c>
      <c r="W172" s="5" t="s">
        <v>81</v>
      </c>
      <c r="X172" s="5">
        <v>14.9</v>
      </c>
      <c r="Y172" s="5"/>
      <c r="Z172" s="5"/>
      <c r="AA172" s="5">
        <v>26.58</v>
      </c>
      <c r="AB172" s="5">
        <v>11.2</v>
      </c>
      <c r="AC172" s="5">
        <v>177</v>
      </c>
      <c r="AD172" s="5">
        <v>118.8</v>
      </c>
      <c r="AE172" s="5">
        <v>50</v>
      </c>
      <c r="AF172" s="5">
        <v>8.1999999999999993</v>
      </c>
      <c r="AG172" s="5">
        <v>41</v>
      </c>
      <c r="AH172" s="5">
        <v>267</v>
      </c>
      <c r="AI172" s="5"/>
      <c r="AJ172" s="5"/>
      <c r="AK172" s="5" t="s">
        <v>82</v>
      </c>
      <c r="AL172" s="5" t="s">
        <v>83</v>
      </c>
      <c r="AM172" s="5"/>
      <c r="AN172" s="5"/>
      <c r="AO172" s="5"/>
      <c r="AP172" s="5"/>
      <c r="AQ172" s="5"/>
      <c r="AR172" s="5"/>
      <c r="AS172" s="5"/>
      <c r="AT172" s="5">
        <v>1</v>
      </c>
      <c r="AU172" s="5">
        <v>1</v>
      </c>
      <c r="AV172" s="5">
        <v>2</v>
      </c>
      <c r="AW172" s="5"/>
      <c r="AX172" s="5"/>
      <c r="AY172" s="5"/>
      <c r="AZ172" s="5"/>
      <c r="BA172" s="5">
        <v>1</v>
      </c>
      <c r="BB172" s="5">
        <v>1</v>
      </c>
      <c r="BC172" s="5">
        <v>100</v>
      </c>
      <c r="BD172" s="5">
        <v>1</v>
      </c>
      <c r="BE172" s="5">
        <v>2</v>
      </c>
      <c r="BF172" s="5">
        <v>2</v>
      </c>
      <c r="BG172" s="5">
        <v>2</v>
      </c>
      <c r="BH172" s="5">
        <v>1</v>
      </c>
      <c r="BI172" s="5">
        <v>1</v>
      </c>
      <c r="BJ172" s="5">
        <v>1</v>
      </c>
      <c r="BK172" s="5">
        <v>0</v>
      </c>
      <c r="BL172" s="5">
        <v>0</v>
      </c>
      <c r="BM172" s="5">
        <v>0</v>
      </c>
      <c r="BN172" s="5">
        <v>0</v>
      </c>
      <c r="BO172" s="5">
        <v>0</v>
      </c>
      <c r="BP172" s="5">
        <v>0</v>
      </c>
      <c r="BQ172" s="5">
        <v>1</v>
      </c>
      <c r="BR172" s="5">
        <v>11</v>
      </c>
      <c r="BS172" s="5">
        <v>0</v>
      </c>
      <c r="BT172" s="5">
        <v>1</v>
      </c>
      <c r="BU172" s="5"/>
    </row>
    <row r="173" spans="1:73" x14ac:dyDescent="0.25">
      <c r="A173" s="5" t="s">
        <v>113</v>
      </c>
      <c r="B173" s="5">
        <v>1</v>
      </c>
      <c r="C173" s="5">
        <v>3.48706</v>
      </c>
      <c r="D173" s="6">
        <v>230700732</v>
      </c>
      <c r="E173" s="5">
        <v>53</v>
      </c>
      <c r="F173" s="5">
        <v>1</v>
      </c>
      <c r="G173" s="7"/>
      <c r="H173" s="5"/>
      <c r="I173" s="7">
        <v>45113</v>
      </c>
      <c r="J173" s="7">
        <v>45117</v>
      </c>
      <c r="K173" s="5">
        <v>7870011688</v>
      </c>
      <c r="L173" s="5">
        <v>9272419999</v>
      </c>
      <c r="M173" s="5">
        <v>0</v>
      </c>
      <c r="N173" s="5">
        <v>1</v>
      </c>
      <c r="O173" s="5">
        <v>1</v>
      </c>
      <c r="P173" s="5">
        <v>2</v>
      </c>
      <c r="Q173" s="5">
        <v>2</v>
      </c>
      <c r="R173" s="5">
        <v>2</v>
      </c>
      <c r="S173" s="5">
        <v>2</v>
      </c>
      <c r="T173" s="5">
        <v>2</v>
      </c>
      <c r="U173" s="5">
        <v>2</v>
      </c>
      <c r="V173" s="5">
        <v>2</v>
      </c>
      <c r="W173" s="5"/>
      <c r="X173" s="5">
        <v>14.4</v>
      </c>
      <c r="Y173" s="5">
        <v>41.9</v>
      </c>
      <c r="Z173" s="5">
        <v>87.3</v>
      </c>
      <c r="AA173" s="5">
        <v>8.66</v>
      </c>
      <c r="AB173" s="5"/>
      <c r="AC173" s="5">
        <v>173</v>
      </c>
      <c r="AD173" s="5">
        <v>125.8</v>
      </c>
      <c r="AE173" s="5">
        <v>35</v>
      </c>
      <c r="AF173" s="5"/>
      <c r="AG173" s="5">
        <v>61</v>
      </c>
      <c r="AH173" s="5">
        <v>716</v>
      </c>
      <c r="AI173" s="5"/>
      <c r="AJ173" s="5"/>
      <c r="AK173" s="5" t="s">
        <v>114</v>
      </c>
      <c r="AL173" s="5" t="s">
        <v>115</v>
      </c>
      <c r="AM173" s="5"/>
      <c r="AN173" s="5"/>
      <c r="AO173" s="5"/>
      <c r="AP173" s="5"/>
      <c r="AQ173" s="5"/>
      <c r="AR173" s="5"/>
      <c r="AS173" s="5"/>
      <c r="AT173" s="5">
        <v>1</v>
      </c>
      <c r="AU173" s="5">
        <v>1</v>
      </c>
      <c r="AV173" s="5">
        <v>2</v>
      </c>
      <c r="AW173" s="5">
        <v>4</v>
      </c>
      <c r="AX173" s="5">
        <v>8</v>
      </c>
      <c r="AY173" s="5">
        <v>2</v>
      </c>
      <c r="AZ173" s="5">
        <v>2</v>
      </c>
      <c r="BA173" s="5">
        <v>1</v>
      </c>
      <c r="BB173" s="5">
        <v>1</v>
      </c>
      <c r="BC173" s="5">
        <v>85</v>
      </c>
      <c r="BD173" s="5">
        <v>0</v>
      </c>
      <c r="BE173" s="5">
        <v>0</v>
      </c>
      <c r="BF173" s="5">
        <v>1</v>
      </c>
      <c r="BG173" s="5">
        <v>2</v>
      </c>
      <c r="BH173" s="5">
        <v>1</v>
      </c>
      <c r="BI173" s="5">
        <v>1</v>
      </c>
      <c r="BJ173" s="5">
        <v>0</v>
      </c>
      <c r="BK173" s="5">
        <v>1</v>
      </c>
      <c r="BL173" s="5">
        <v>2</v>
      </c>
      <c r="BM173" s="5">
        <v>2</v>
      </c>
      <c r="BN173" s="5">
        <v>2</v>
      </c>
      <c r="BO173" s="5">
        <v>1</v>
      </c>
      <c r="BP173" s="5">
        <v>1</v>
      </c>
      <c r="BQ173" s="5">
        <v>1</v>
      </c>
      <c r="BR173" s="5">
        <v>15</v>
      </c>
      <c r="BS173" s="5">
        <v>1</v>
      </c>
      <c r="BT173" s="5">
        <v>0</v>
      </c>
      <c r="BU173" s="5"/>
    </row>
    <row r="174" spans="1:73" x14ac:dyDescent="0.25">
      <c r="A174" s="5" t="s">
        <v>144</v>
      </c>
      <c r="B174" s="5">
        <v>1</v>
      </c>
      <c r="C174" s="5">
        <v>35.122500000000002</v>
      </c>
      <c r="D174" s="6"/>
      <c r="E174" s="5">
        <v>32</v>
      </c>
      <c r="F174" s="5">
        <v>1</v>
      </c>
      <c r="G174" s="7">
        <v>44981</v>
      </c>
      <c r="H174" s="11">
        <v>0.375</v>
      </c>
      <c r="I174" s="7">
        <v>44981</v>
      </c>
      <c r="J174" s="7">
        <v>44988</v>
      </c>
      <c r="K174" s="5">
        <v>9822008662</v>
      </c>
      <c r="L174" s="5"/>
      <c r="M174" s="5">
        <v>10</v>
      </c>
      <c r="N174" s="5">
        <v>2</v>
      </c>
      <c r="O174" s="5">
        <v>2</v>
      </c>
      <c r="P174" s="5">
        <v>2</v>
      </c>
      <c r="Q174" s="5">
        <v>2</v>
      </c>
      <c r="R174" s="5">
        <v>2</v>
      </c>
      <c r="S174" s="5">
        <v>2</v>
      </c>
      <c r="T174" s="5">
        <v>2</v>
      </c>
      <c r="U174" s="5">
        <v>2</v>
      </c>
      <c r="V174" s="5">
        <v>1</v>
      </c>
      <c r="W174" s="5"/>
      <c r="X174" s="5">
        <v>14.5</v>
      </c>
      <c r="Y174" s="5">
        <v>44.6</v>
      </c>
      <c r="Z174" s="5"/>
      <c r="AA174" s="5">
        <v>11.6</v>
      </c>
      <c r="AB174" s="5"/>
      <c r="AC174" s="5">
        <v>138</v>
      </c>
      <c r="AD174" s="5">
        <v>81</v>
      </c>
      <c r="AE174" s="5">
        <v>34</v>
      </c>
      <c r="AF174" s="5">
        <v>23</v>
      </c>
      <c r="AG174" s="5">
        <v>115</v>
      </c>
      <c r="AH174" s="5">
        <v>313</v>
      </c>
      <c r="AI174" s="5" t="s">
        <v>145</v>
      </c>
      <c r="AJ174" s="5"/>
      <c r="AK174" s="5" t="s">
        <v>146</v>
      </c>
      <c r="AL174" s="5" t="s">
        <v>147</v>
      </c>
      <c r="AM174" s="5"/>
      <c r="AN174" s="5"/>
      <c r="AO174" s="5"/>
      <c r="AP174" s="5"/>
      <c r="AQ174" s="5"/>
      <c r="AR174" s="5"/>
      <c r="AS174" s="5"/>
      <c r="AT174" s="5">
        <v>1</v>
      </c>
      <c r="AU174" s="5">
        <v>1</v>
      </c>
      <c r="AV174" s="5">
        <v>2</v>
      </c>
      <c r="AW174" s="5"/>
      <c r="AX174" s="5">
        <v>1</v>
      </c>
      <c r="AY174" s="5"/>
      <c r="AZ174" s="5"/>
      <c r="BA174" s="5">
        <v>1</v>
      </c>
      <c r="BB174" s="5">
        <v>1</v>
      </c>
      <c r="BC174" s="5">
        <v>100</v>
      </c>
      <c r="BD174" s="5">
        <v>1</v>
      </c>
      <c r="BE174" s="5">
        <v>2</v>
      </c>
      <c r="BF174" s="5">
        <v>2</v>
      </c>
      <c r="BG174" s="5">
        <v>2</v>
      </c>
      <c r="BH174" s="5">
        <v>1</v>
      </c>
      <c r="BI174" s="5">
        <v>1</v>
      </c>
      <c r="BJ174" s="5">
        <v>1</v>
      </c>
      <c r="BK174" s="5">
        <v>1</v>
      </c>
      <c r="BL174" s="5">
        <v>2</v>
      </c>
      <c r="BM174" s="5">
        <v>0</v>
      </c>
      <c r="BN174" s="5">
        <v>0</v>
      </c>
      <c r="BO174" s="5">
        <v>1</v>
      </c>
      <c r="BP174" s="5">
        <v>1</v>
      </c>
      <c r="BQ174" s="5">
        <v>1</v>
      </c>
      <c r="BR174" s="5">
        <v>16</v>
      </c>
      <c r="BS174" s="5">
        <v>1</v>
      </c>
      <c r="BT174" s="5">
        <v>1</v>
      </c>
      <c r="BU174" s="5"/>
    </row>
    <row r="175" spans="1:73" x14ac:dyDescent="0.25">
      <c r="A175" s="12" t="s">
        <v>323</v>
      </c>
      <c r="B175" s="5">
        <v>1</v>
      </c>
      <c r="C175" s="12">
        <v>3.48706</v>
      </c>
      <c r="D175" s="13">
        <v>220403046</v>
      </c>
      <c r="E175" s="12">
        <v>75</v>
      </c>
      <c r="F175" s="12">
        <v>2</v>
      </c>
      <c r="G175" s="14">
        <v>45158</v>
      </c>
      <c r="H175" s="16">
        <v>0.40277777777777773</v>
      </c>
      <c r="I175" s="14">
        <v>45158</v>
      </c>
      <c r="J175" s="14">
        <v>45161</v>
      </c>
      <c r="K175" s="12">
        <v>8850292400</v>
      </c>
      <c r="L175" s="12"/>
      <c r="M175" s="12">
        <v>5</v>
      </c>
      <c r="N175" s="12">
        <v>1</v>
      </c>
      <c r="O175" s="12">
        <v>2</v>
      </c>
      <c r="P175" s="12">
        <v>2</v>
      </c>
      <c r="Q175" s="12">
        <v>2</v>
      </c>
      <c r="R175" s="12">
        <v>1</v>
      </c>
      <c r="S175" s="12">
        <v>2</v>
      </c>
      <c r="T175" s="12">
        <v>2</v>
      </c>
      <c r="U175" s="12">
        <v>2</v>
      </c>
      <c r="V175" s="12">
        <v>2</v>
      </c>
      <c r="W175" s="12" t="s">
        <v>324</v>
      </c>
      <c r="X175" s="12">
        <v>10.6</v>
      </c>
      <c r="Y175" s="12"/>
      <c r="Z175" s="12"/>
      <c r="AA175" s="12">
        <v>6.22</v>
      </c>
      <c r="AB175" s="12">
        <v>6</v>
      </c>
      <c r="AC175" s="12">
        <v>184</v>
      </c>
      <c r="AD175" s="12">
        <v>107.8</v>
      </c>
      <c r="AE175" s="12">
        <v>39</v>
      </c>
      <c r="AF175" s="12">
        <v>37.200000000000003</v>
      </c>
      <c r="AG175" s="12">
        <v>186</v>
      </c>
      <c r="AH175" s="12">
        <v>690</v>
      </c>
      <c r="AI175" s="12"/>
      <c r="AJ175" s="12"/>
      <c r="AK175" s="12" t="s">
        <v>325</v>
      </c>
      <c r="AL175" s="12" t="s">
        <v>326</v>
      </c>
      <c r="AM175" s="12"/>
      <c r="AN175" s="12"/>
      <c r="AO175" s="12"/>
      <c r="AP175" s="12"/>
      <c r="AQ175" s="12"/>
      <c r="AR175" s="12"/>
      <c r="AS175" s="12"/>
      <c r="AT175" s="12">
        <v>1</v>
      </c>
      <c r="AU175" s="12">
        <v>1</v>
      </c>
      <c r="AV175" s="12">
        <v>2</v>
      </c>
      <c r="AW175" s="12">
        <v>4</v>
      </c>
      <c r="AX175" s="12">
        <v>8</v>
      </c>
      <c r="AY175" s="12">
        <v>2</v>
      </c>
      <c r="AZ175" s="12">
        <v>2</v>
      </c>
      <c r="BA175" s="12">
        <v>1</v>
      </c>
      <c r="BB175" s="5">
        <v>1</v>
      </c>
      <c r="BC175" s="12">
        <v>85</v>
      </c>
      <c r="BD175" s="12">
        <v>0</v>
      </c>
      <c r="BE175" s="12">
        <v>2</v>
      </c>
      <c r="BF175" s="12">
        <v>2</v>
      </c>
      <c r="BG175" s="12">
        <v>2</v>
      </c>
      <c r="BH175" s="12">
        <v>1</v>
      </c>
      <c r="BI175" s="12">
        <v>1</v>
      </c>
      <c r="BJ175" s="12">
        <v>1</v>
      </c>
      <c r="BK175" s="12">
        <v>1</v>
      </c>
      <c r="BL175" s="12">
        <v>2</v>
      </c>
      <c r="BM175" s="12">
        <v>2</v>
      </c>
      <c r="BN175" s="12">
        <v>2</v>
      </c>
      <c r="BO175" s="12">
        <v>1</v>
      </c>
      <c r="BP175" s="12">
        <v>1</v>
      </c>
      <c r="BQ175" s="12">
        <v>1</v>
      </c>
      <c r="BR175" s="12">
        <v>19</v>
      </c>
      <c r="BS175" s="12">
        <v>1</v>
      </c>
      <c r="BT175" s="12">
        <v>1</v>
      </c>
      <c r="BU175" s="12"/>
    </row>
    <row r="176" spans="1:73" x14ac:dyDescent="0.25">
      <c r="A176" s="5" t="s">
        <v>327</v>
      </c>
      <c r="B176" s="5">
        <v>1</v>
      </c>
      <c r="C176" s="5">
        <v>4.4556899999999997</v>
      </c>
      <c r="D176" s="6">
        <v>151007079</v>
      </c>
      <c r="E176" s="5">
        <v>44</v>
      </c>
      <c r="F176" s="5">
        <v>2</v>
      </c>
      <c r="G176" s="7">
        <v>45119</v>
      </c>
      <c r="H176" s="11">
        <v>0.375</v>
      </c>
      <c r="I176" s="7">
        <v>45124</v>
      </c>
      <c r="J176" s="7">
        <v>45125</v>
      </c>
      <c r="K176" s="5">
        <v>9372311404</v>
      </c>
      <c r="L176" s="5"/>
      <c r="M176" s="5">
        <v>2</v>
      </c>
      <c r="N176" s="5">
        <v>1</v>
      </c>
      <c r="O176" s="5">
        <v>1</v>
      </c>
      <c r="P176" s="5">
        <v>2</v>
      </c>
      <c r="Q176" s="5">
        <v>2</v>
      </c>
      <c r="R176" s="5">
        <v>2</v>
      </c>
      <c r="S176" s="5">
        <v>2</v>
      </c>
      <c r="T176" s="5">
        <v>2</v>
      </c>
      <c r="U176" s="5">
        <v>2</v>
      </c>
      <c r="V176" s="5">
        <v>2</v>
      </c>
      <c r="W176" s="5" t="s">
        <v>328</v>
      </c>
      <c r="X176" s="5">
        <v>12.7</v>
      </c>
      <c r="Y176" s="5">
        <v>39.5</v>
      </c>
      <c r="Z176" s="5">
        <v>81.900000000000006</v>
      </c>
      <c r="AA176" s="5">
        <v>5.82</v>
      </c>
      <c r="AB176" s="5">
        <v>9.6999999999999993</v>
      </c>
      <c r="AC176" s="5">
        <v>136</v>
      </c>
      <c r="AD176" s="5">
        <v>76</v>
      </c>
      <c r="AE176" s="5">
        <v>27</v>
      </c>
      <c r="AF176" s="5">
        <v>33</v>
      </c>
      <c r="AG176" s="5">
        <v>165</v>
      </c>
      <c r="AH176" s="5">
        <v>2000</v>
      </c>
      <c r="AI176" s="5"/>
      <c r="AJ176" s="5"/>
      <c r="AK176" s="5" t="s">
        <v>329</v>
      </c>
      <c r="AL176" s="5" t="s">
        <v>330</v>
      </c>
      <c r="AM176" s="5"/>
      <c r="AN176" s="5"/>
      <c r="AO176" s="5"/>
      <c r="AP176" s="5"/>
      <c r="AQ176" s="5"/>
      <c r="AR176" s="5"/>
      <c r="AS176" s="5"/>
      <c r="AT176" s="5"/>
      <c r="AU176" s="5"/>
      <c r="AV176" s="5"/>
      <c r="AW176" s="5"/>
      <c r="AX176" s="5"/>
      <c r="AY176" s="5"/>
      <c r="AZ176" s="5"/>
      <c r="BA176" s="5">
        <v>1</v>
      </c>
      <c r="BB176" s="5">
        <v>1</v>
      </c>
      <c r="BC176" s="5">
        <v>90</v>
      </c>
      <c r="BD176" s="5">
        <v>1</v>
      </c>
      <c r="BE176" s="5">
        <v>2</v>
      </c>
      <c r="BF176" s="5">
        <v>2</v>
      </c>
      <c r="BG176" s="5">
        <v>1</v>
      </c>
      <c r="BH176" s="5">
        <v>1</v>
      </c>
      <c r="BI176" s="5">
        <v>1</v>
      </c>
      <c r="BJ176" s="5">
        <v>1</v>
      </c>
      <c r="BK176" s="5">
        <v>1</v>
      </c>
      <c r="BL176" s="5">
        <v>2</v>
      </c>
      <c r="BM176" s="5">
        <v>2</v>
      </c>
      <c r="BN176" s="5">
        <v>2</v>
      </c>
      <c r="BO176" s="5">
        <v>1</v>
      </c>
      <c r="BP176" s="5">
        <v>1</v>
      </c>
      <c r="BQ176" s="5">
        <v>1</v>
      </c>
      <c r="BR176" s="5">
        <v>19</v>
      </c>
      <c r="BS176" s="5">
        <v>1</v>
      </c>
      <c r="BT176" s="5">
        <v>0</v>
      </c>
      <c r="BU176" s="5"/>
    </row>
    <row r="177" spans="1:73" x14ac:dyDescent="0.25">
      <c r="A177" s="12" t="s">
        <v>337</v>
      </c>
      <c r="B177" s="5">
        <v>1</v>
      </c>
      <c r="C177" s="12">
        <v>8.0977300000000003</v>
      </c>
      <c r="D177" s="13">
        <v>230704454</v>
      </c>
      <c r="E177" s="12">
        <v>45</v>
      </c>
      <c r="F177" s="12">
        <v>1</v>
      </c>
      <c r="G177" s="14">
        <v>45135</v>
      </c>
      <c r="H177" s="16">
        <v>0.47916666666666669</v>
      </c>
      <c r="I177" s="14">
        <v>45135</v>
      </c>
      <c r="J177" s="14">
        <v>45136</v>
      </c>
      <c r="K177" s="12">
        <v>7888249757</v>
      </c>
      <c r="L177" s="12"/>
      <c r="M177" s="12">
        <v>4</v>
      </c>
      <c r="N177" s="12">
        <v>2</v>
      </c>
      <c r="O177" s="12">
        <v>2</v>
      </c>
      <c r="P177" s="12">
        <v>2</v>
      </c>
      <c r="Q177" s="12">
        <v>2</v>
      </c>
      <c r="R177" s="12">
        <v>2</v>
      </c>
      <c r="S177" s="12">
        <v>2</v>
      </c>
      <c r="T177" s="12">
        <v>2</v>
      </c>
      <c r="U177" s="12">
        <v>2</v>
      </c>
      <c r="V177" s="12">
        <v>2</v>
      </c>
      <c r="W177" s="12"/>
      <c r="X177" s="12">
        <v>14.2</v>
      </c>
      <c r="Y177" s="12">
        <v>42.6</v>
      </c>
      <c r="Z177" s="12">
        <v>88.2</v>
      </c>
      <c r="AA177" s="12">
        <v>14.52</v>
      </c>
      <c r="AB177" s="12">
        <v>6.5</v>
      </c>
      <c r="AC177" s="12">
        <v>216</v>
      </c>
      <c r="AD177" s="12">
        <v>123.2</v>
      </c>
      <c r="AE177" s="12">
        <v>40</v>
      </c>
      <c r="AF177" s="12">
        <v>52.8</v>
      </c>
      <c r="AG177" s="12">
        <v>264</v>
      </c>
      <c r="AH177" s="12"/>
      <c r="AI177" s="12"/>
      <c r="AJ177" s="12"/>
      <c r="AK177" s="12" t="s">
        <v>338</v>
      </c>
      <c r="AL177" s="12" t="s">
        <v>326</v>
      </c>
      <c r="AM177" s="12"/>
      <c r="AN177" s="12"/>
      <c r="AO177" s="12"/>
      <c r="AP177" s="12"/>
      <c r="AQ177" s="12"/>
      <c r="AR177" s="12"/>
      <c r="AS177" s="12"/>
      <c r="AT177" s="12">
        <v>1</v>
      </c>
      <c r="AU177" s="12"/>
      <c r="AV177" s="12">
        <v>1</v>
      </c>
      <c r="AW177" s="12">
        <v>2</v>
      </c>
      <c r="AX177" s="12"/>
      <c r="AY177" s="12"/>
      <c r="AZ177" s="12"/>
      <c r="BA177" s="12">
        <v>1</v>
      </c>
      <c r="BB177" s="5">
        <v>1</v>
      </c>
      <c r="BC177" s="12">
        <v>95</v>
      </c>
      <c r="BD177" s="12">
        <v>1</v>
      </c>
      <c r="BE177" s="12">
        <v>2</v>
      </c>
      <c r="BF177" s="12">
        <v>2</v>
      </c>
      <c r="BG177" s="12">
        <v>2</v>
      </c>
      <c r="BH177" s="12">
        <v>1</v>
      </c>
      <c r="BI177" s="12">
        <v>1</v>
      </c>
      <c r="BJ177" s="12">
        <v>1</v>
      </c>
      <c r="BK177" s="12">
        <v>1</v>
      </c>
      <c r="BL177" s="12">
        <v>1</v>
      </c>
      <c r="BM177" s="12">
        <v>2</v>
      </c>
      <c r="BN177" s="12">
        <v>2</v>
      </c>
      <c r="BO177" s="12">
        <v>1</v>
      </c>
      <c r="BP177" s="12">
        <v>1</v>
      </c>
      <c r="BQ177" s="12">
        <v>1</v>
      </c>
      <c r="BR177" s="12">
        <v>19</v>
      </c>
      <c r="BS177" s="12">
        <v>1</v>
      </c>
      <c r="BT177" s="12">
        <v>1</v>
      </c>
      <c r="BU177" s="12"/>
    </row>
    <row r="178" spans="1:73" x14ac:dyDescent="0.25">
      <c r="A178" s="12" t="s">
        <v>339</v>
      </c>
      <c r="B178" s="5">
        <v>1</v>
      </c>
      <c r="C178" s="12">
        <v>14.218</v>
      </c>
      <c r="D178" s="13">
        <v>24000009353</v>
      </c>
      <c r="E178" s="12">
        <v>65</v>
      </c>
      <c r="F178" s="12">
        <v>1</v>
      </c>
      <c r="G178" s="14">
        <v>45332</v>
      </c>
      <c r="H178" s="15">
        <v>0.91666666666666663</v>
      </c>
      <c r="I178" s="14">
        <v>45333</v>
      </c>
      <c r="J178" s="14"/>
      <c r="K178" s="12">
        <v>8788726932</v>
      </c>
      <c r="L178" s="12"/>
      <c r="M178" s="12">
        <v>9</v>
      </c>
      <c r="N178" s="12">
        <v>1</v>
      </c>
      <c r="O178" s="12">
        <v>1</v>
      </c>
      <c r="P178" s="12">
        <v>2</v>
      </c>
      <c r="Q178" s="12">
        <v>2</v>
      </c>
      <c r="R178" s="12">
        <v>2</v>
      </c>
      <c r="S178" s="12">
        <v>2</v>
      </c>
      <c r="T178" s="12">
        <v>2</v>
      </c>
      <c r="U178" s="12">
        <v>1</v>
      </c>
      <c r="V178" s="12">
        <v>2</v>
      </c>
      <c r="W178" s="12" t="s">
        <v>340</v>
      </c>
      <c r="X178" s="12">
        <v>9.6</v>
      </c>
      <c r="Y178" s="12">
        <v>30.3</v>
      </c>
      <c r="Z178" s="12">
        <v>70</v>
      </c>
      <c r="AA178" s="12">
        <v>9.6999999999999993</v>
      </c>
      <c r="AB178" s="12">
        <v>8.6</v>
      </c>
      <c r="AC178" s="12">
        <v>101</v>
      </c>
      <c r="AD178" s="12">
        <v>44</v>
      </c>
      <c r="AE178" s="12">
        <v>31</v>
      </c>
      <c r="AF178" s="12">
        <v>126</v>
      </c>
      <c r="AG178" s="12">
        <v>25</v>
      </c>
      <c r="AH178" s="12">
        <v>363</v>
      </c>
      <c r="AI178" s="12"/>
      <c r="AJ178" s="12"/>
      <c r="AK178" s="12" t="s">
        <v>341</v>
      </c>
      <c r="AL178" s="12" t="s">
        <v>342</v>
      </c>
      <c r="AM178" s="12"/>
      <c r="AN178" s="12"/>
      <c r="AO178" s="12"/>
      <c r="AP178" s="12"/>
      <c r="AQ178" s="12"/>
      <c r="AR178" s="12"/>
      <c r="AS178" s="12"/>
      <c r="AT178" s="12">
        <v>1</v>
      </c>
      <c r="AU178" s="12">
        <v>1</v>
      </c>
      <c r="AV178" s="12">
        <v>2</v>
      </c>
      <c r="AW178" s="12"/>
      <c r="AX178" s="12">
        <v>1</v>
      </c>
      <c r="AY178" s="12"/>
      <c r="AZ178" s="12"/>
      <c r="BA178" s="12">
        <v>1</v>
      </c>
      <c r="BB178" s="5">
        <v>1</v>
      </c>
      <c r="BC178" s="12">
        <v>100</v>
      </c>
      <c r="BD178" s="12">
        <v>1</v>
      </c>
      <c r="BE178" s="12">
        <v>2</v>
      </c>
      <c r="BF178" s="12">
        <v>2</v>
      </c>
      <c r="BG178" s="12">
        <v>1</v>
      </c>
      <c r="BH178" s="12">
        <v>1</v>
      </c>
      <c r="BI178" s="12">
        <v>1</v>
      </c>
      <c r="BJ178" s="12">
        <v>1</v>
      </c>
      <c r="BK178" s="12">
        <v>1</v>
      </c>
      <c r="BL178" s="12">
        <v>2</v>
      </c>
      <c r="BM178" s="12">
        <v>2</v>
      </c>
      <c r="BN178" s="12">
        <v>2</v>
      </c>
      <c r="BO178" s="12">
        <v>1</v>
      </c>
      <c r="BP178" s="12">
        <v>1</v>
      </c>
      <c r="BQ178" s="12">
        <v>1</v>
      </c>
      <c r="BR178" s="12">
        <v>19</v>
      </c>
      <c r="BS178" s="12">
        <v>1</v>
      </c>
      <c r="BT178" s="12">
        <v>1</v>
      </c>
      <c r="BU178" s="12" t="s">
        <v>295</v>
      </c>
    </row>
    <row r="179" spans="1:73" x14ac:dyDescent="0.25">
      <c r="A179" s="12" t="s">
        <v>343</v>
      </c>
      <c r="B179" s="5">
        <v>1</v>
      </c>
      <c r="C179" s="12">
        <v>16.621700000000001</v>
      </c>
      <c r="D179" s="13">
        <v>131205306</v>
      </c>
      <c r="E179" s="12">
        <v>55</v>
      </c>
      <c r="F179" s="12">
        <v>1</v>
      </c>
      <c r="G179" s="14">
        <v>45091</v>
      </c>
      <c r="H179" s="16">
        <v>0.70833333333333337</v>
      </c>
      <c r="I179" s="14">
        <v>45092</v>
      </c>
      <c r="J179" s="14">
        <v>45097</v>
      </c>
      <c r="K179" s="12">
        <v>7506213289</v>
      </c>
      <c r="L179" s="12"/>
      <c r="M179" s="12">
        <v>8</v>
      </c>
      <c r="N179" s="12">
        <v>1</v>
      </c>
      <c r="O179" s="12">
        <v>2</v>
      </c>
      <c r="P179" s="12">
        <v>1</v>
      </c>
      <c r="Q179" s="12">
        <v>2</v>
      </c>
      <c r="R179" s="12">
        <v>2</v>
      </c>
      <c r="S179" s="12">
        <v>2</v>
      </c>
      <c r="T179" s="12">
        <v>2</v>
      </c>
      <c r="U179" s="12">
        <v>1</v>
      </c>
      <c r="V179" s="12">
        <v>2</v>
      </c>
      <c r="W179" s="12" t="s">
        <v>344</v>
      </c>
      <c r="X179" s="12">
        <v>15.2</v>
      </c>
      <c r="Y179" s="12">
        <v>46.1</v>
      </c>
      <c r="Z179" s="12"/>
      <c r="AA179" s="12">
        <v>24.49</v>
      </c>
      <c r="AB179" s="12"/>
      <c r="AC179" s="12">
        <v>125</v>
      </c>
      <c r="AD179" s="12">
        <v>89</v>
      </c>
      <c r="AE179" s="12">
        <v>45</v>
      </c>
      <c r="AF179" s="12">
        <v>10.8</v>
      </c>
      <c r="AG179" s="12">
        <v>54</v>
      </c>
      <c r="AH179" s="12">
        <v>2000</v>
      </c>
      <c r="AI179" s="12" t="s">
        <v>345</v>
      </c>
      <c r="AJ179" s="12"/>
      <c r="AK179" s="12" t="s">
        <v>346</v>
      </c>
      <c r="AL179" s="12" t="s">
        <v>347</v>
      </c>
      <c r="AM179" s="12"/>
      <c r="AN179" s="12"/>
      <c r="AO179" s="12"/>
      <c r="AP179" s="12"/>
      <c r="AQ179" s="12"/>
      <c r="AR179" s="12"/>
      <c r="AS179" s="12"/>
      <c r="AT179" s="12">
        <v>1</v>
      </c>
      <c r="AU179" s="12">
        <v>1</v>
      </c>
      <c r="AV179" s="12">
        <v>2</v>
      </c>
      <c r="AW179" s="12"/>
      <c r="AX179" s="12"/>
      <c r="AY179" s="12"/>
      <c r="AZ179" s="12"/>
      <c r="BA179" s="12">
        <v>1</v>
      </c>
      <c r="BB179" s="5">
        <v>1</v>
      </c>
      <c r="BC179" s="12">
        <v>100</v>
      </c>
      <c r="BD179" s="12">
        <v>1</v>
      </c>
      <c r="BE179" s="12">
        <v>2</v>
      </c>
      <c r="BF179" s="12">
        <v>2</v>
      </c>
      <c r="BG179" s="12">
        <v>2</v>
      </c>
      <c r="BH179" s="12">
        <v>1</v>
      </c>
      <c r="BI179" s="12">
        <v>1</v>
      </c>
      <c r="BJ179" s="12">
        <v>1</v>
      </c>
      <c r="BK179" s="12">
        <v>1</v>
      </c>
      <c r="BL179" s="12">
        <v>2</v>
      </c>
      <c r="BM179" s="12">
        <v>2</v>
      </c>
      <c r="BN179" s="12">
        <v>1</v>
      </c>
      <c r="BO179" s="12">
        <v>1</v>
      </c>
      <c r="BP179" s="12">
        <v>1</v>
      </c>
      <c r="BQ179" s="12">
        <v>1</v>
      </c>
      <c r="BR179" s="12">
        <v>19</v>
      </c>
      <c r="BS179" s="12">
        <v>1</v>
      </c>
      <c r="BT179" s="12">
        <v>1</v>
      </c>
      <c r="BU179" s="12"/>
    </row>
    <row r="180" spans="1:73" x14ac:dyDescent="0.25">
      <c r="A180" s="5" t="s">
        <v>349</v>
      </c>
      <c r="B180" s="5">
        <v>1</v>
      </c>
      <c r="C180" s="5">
        <v>36.410600000000002</v>
      </c>
      <c r="D180" s="6">
        <v>230008777</v>
      </c>
      <c r="E180" s="5">
        <v>71</v>
      </c>
      <c r="F180" s="5">
        <v>2</v>
      </c>
      <c r="G180" s="7">
        <v>45253</v>
      </c>
      <c r="H180" s="11">
        <v>0.95833333333333337</v>
      </c>
      <c r="I180" s="7">
        <v>45254</v>
      </c>
      <c r="J180" s="7"/>
      <c r="K180" s="5">
        <v>8087680269</v>
      </c>
      <c r="L180" s="5">
        <v>9850997793</v>
      </c>
      <c r="M180" s="5">
        <v>10</v>
      </c>
      <c r="N180" s="5">
        <v>2</v>
      </c>
      <c r="O180" s="5">
        <v>2</v>
      </c>
      <c r="P180" s="5">
        <v>2</v>
      </c>
      <c r="Q180" s="5">
        <v>2</v>
      </c>
      <c r="R180" s="5">
        <v>2</v>
      </c>
      <c r="S180" s="5">
        <v>2</v>
      </c>
      <c r="T180" s="5">
        <v>2</v>
      </c>
      <c r="U180" s="5">
        <v>2</v>
      </c>
      <c r="V180" s="5">
        <v>2</v>
      </c>
      <c r="W180" s="5" t="s">
        <v>350</v>
      </c>
      <c r="X180" s="5">
        <v>11.4</v>
      </c>
      <c r="Y180" s="5">
        <v>35</v>
      </c>
      <c r="Z180" s="5"/>
      <c r="AA180" s="5">
        <v>25.59</v>
      </c>
      <c r="AB180" s="5">
        <v>5.5</v>
      </c>
      <c r="AC180" s="5">
        <v>160</v>
      </c>
      <c r="AD180" s="5">
        <v>83.2</v>
      </c>
      <c r="AE180" s="5">
        <v>37</v>
      </c>
      <c r="AF180" s="5">
        <v>39.799999999999997</v>
      </c>
      <c r="AG180" s="5">
        <v>199</v>
      </c>
      <c r="AH180" s="5"/>
      <c r="AI180" s="5"/>
      <c r="AJ180" s="5"/>
      <c r="AK180" s="5" t="s">
        <v>351</v>
      </c>
      <c r="AL180" s="5" t="s">
        <v>122</v>
      </c>
      <c r="AM180" s="5"/>
      <c r="AN180" s="5"/>
      <c r="AO180" s="5"/>
      <c r="AP180" s="5"/>
      <c r="AQ180" s="5"/>
      <c r="AR180" s="5"/>
      <c r="AS180" s="5"/>
      <c r="AT180" s="5">
        <v>1</v>
      </c>
      <c r="AU180" s="5">
        <v>2</v>
      </c>
      <c r="AV180" s="5">
        <v>1</v>
      </c>
      <c r="AW180" s="5">
        <v>1</v>
      </c>
      <c r="AX180" s="5">
        <v>8</v>
      </c>
      <c r="AY180" s="5">
        <v>1</v>
      </c>
      <c r="AZ180" s="5">
        <v>2</v>
      </c>
      <c r="BA180" s="5">
        <v>1</v>
      </c>
      <c r="BB180" s="5">
        <v>1</v>
      </c>
      <c r="BC180" s="5">
        <v>100</v>
      </c>
      <c r="BD180" s="5">
        <v>1</v>
      </c>
      <c r="BE180" s="5">
        <v>2</v>
      </c>
      <c r="BF180" s="5">
        <v>1</v>
      </c>
      <c r="BG180" s="5">
        <v>2</v>
      </c>
      <c r="BH180" s="5">
        <v>1</v>
      </c>
      <c r="BI180" s="5">
        <v>1</v>
      </c>
      <c r="BJ180" s="5">
        <v>1</v>
      </c>
      <c r="BK180" s="5">
        <v>1</v>
      </c>
      <c r="BL180" s="5">
        <v>2</v>
      </c>
      <c r="BM180" s="5">
        <v>2</v>
      </c>
      <c r="BN180" s="5">
        <v>2</v>
      </c>
      <c r="BO180" s="5">
        <v>1</v>
      </c>
      <c r="BP180" s="5">
        <v>1</v>
      </c>
      <c r="BQ180" s="5">
        <v>1</v>
      </c>
      <c r="BR180" s="5">
        <v>19</v>
      </c>
      <c r="BS180" s="5">
        <v>1</v>
      </c>
      <c r="BT180" s="5">
        <v>0</v>
      </c>
      <c r="BU180" s="5"/>
    </row>
    <row r="181" spans="1:73" x14ac:dyDescent="0.25">
      <c r="A181" s="5" t="s">
        <v>395</v>
      </c>
      <c r="B181" s="5">
        <v>1</v>
      </c>
      <c r="C181" s="5">
        <v>6.4316899999999997</v>
      </c>
      <c r="D181" s="6">
        <v>230804300</v>
      </c>
      <c r="E181" s="5">
        <v>27</v>
      </c>
      <c r="F181" s="5">
        <v>2</v>
      </c>
      <c r="G181" s="7">
        <v>45165</v>
      </c>
      <c r="H181" s="11">
        <v>0.9375</v>
      </c>
      <c r="I181" s="7">
        <v>45165</v>
      </c>
      <c r="J181" s="7">
        <v>45168</v>
      </c>
      <c r="K181" s="5">
        <v>9371381501</v>
      </c>
      <c r="L181" s="5"/>
      <c r="M181" s="5">
        <v>6</v>
      </c>
      <c r="N181" s="5">
        <v>2</v>
      </c>
      <c r="O181" s="5">
        <v>2</v>
      </c>
      <c r="P181" s="5">
        <v>2</v>
      </c>
      <c r="Q181" s="5">
        <v>2</v>
      </c>
      <c r="R181" s="5">
        <v>1</v>
      </c>
      <c r="S181" s="5">
        <v>2</v>
      </c>
      <c r="T181" s="5">
        <v>2</v>
      </c>
      <c r="U181" s="5">
        <v>2</v>
      </c>
      <c r="V181" s="5">
        <v>2</v>
      </c>
      <c r="W181" s="5" t="s">
        <v>396</v>
      </c>
      <c r="X181" s="5">
        <v>9.6</v>
      </c>
      <c r="Y181" s="5">
        <v>31.4</v>
      </c>
      <c r="Z181" s="5"/>
      <c r="AA181" s="5">
        <v>11.35</v>
      </c>
      <c r="AB181" s="5">
        <v>5.3</v>
      </c>
      <c r="AC181" s="5">
        <v>125</v>
      </c>
      <c r="AD181" s="5">
        <v>66</v>
      </c>
      <c r="AE181" s="5">
        <v>34</v>
      </c>
      <c r="AF181" s="5">
        <v>24.2</v>
      </c>
      <c r="AG181" s="5">
        <v>121</v>
      </c>
      <c r="AH181" s="5"/>
      <c r="AI181" s="5"/>
      <c r="AJ181" s="5"/>
      <c r="AK181" s="5" t="s">
        <v>397</v>
      </c>
      <c r="AL181" s="5" t="s">
        <v>326</v>
      </c>
      <c r="AM181" s="5"/>
      <c r="AN181" s="5"/>
      <c r="AO181" s="5"/>
      <c r="AP181" s="5"/>
      <c r="AQ181" s="5"/>
      <c r="AR181" s="5"/>
      <c r="AS181" s="5"/>
      <c r="AT181" s="5">
        <v>1</v>
      </c>
      <c r="AU181" s="5">
        <v>1</v>
      </c>
      <c r="AV181" s="5">
        <v>2</v>
      </c>
      <c r="AW181" s="5">
        <v>4</v>
      </c>
      <c r="AX181" s="5">
        <v>8</v>
      </c>
      <c r="AY181" s="5">
        <v>2</v>
      </c>
      <c r="AZ181" s="5">
        <v>2</v>
      </c>
      <c r="BA181" s="5">
        <v>1</v>
      </c>
      <c r="BB181" s="5">
        <v>1</v>
      </c>
      <c r="BC181" s="5">
        <v>90</v>
      </c>
      <c r="BD181" s="5">
        <v>1</v>
      </c>
      <c r="BE181" s="5">
        <v>2</v>
      </c>
      <c r="BF181" s="5">
        <v>2</v>
      </c>
      <c r="BG181" s="5">
        <v>2</v>
      </c>
      <c r="BH181" s="5">
        <v>1</v>
      </c>
      <c r="BI181" s="5">
        <v>1</v>
      </c>
      <c r="BJ181" s="5">
        <v>1</v>
      </c>
      <c r="BK181" s="5">
        <v>1</v>
      </c>
      <c r="BL181" s="5">
        <v>2</v>
      </c>
      <c r="BM181" s="5">
        <v>2</v>
      </c>
      <c r="BN181" s="5">
        <v>2</v>
      </c>
      <c r="BO181" s="5">
        <v>1</v>
      </c>
      <c r="BP181" s="5">
        <v>1</v>
      </c>
      <c r="BQ181" s="5">
        <v>1</v>
      </c>
      <c r="BR181" s="5">
        <v>20</v>
      </c>
      <c r="BS181" s="5">
        <v>1</v>
      </c>
      <c r="BT181" s="5">
        <v>1</v>
      </c>
      <c r="BU181" s="5"/>
    </row>
    <row r="182" spans="1:73" x14ac:dyDescent="0.25">
      <c r="A182" s="5" t="s">
        <v>398</v>
      </c>
      <c r="B182" s="5">
        <v>1</v>
      </c>
      <c r="C182" s="5">
        <v>6.5866699999999998</v>
      </c>
      <c r="D182" s="6">
        <v>210404526</v>
      </c>
      <c r="E182" s="5">
        <v>66</v>
      </c>
      <c r="F182" s="5">
        <v>1</v>
      </c>
      <c r="G182" s="7">
        <v>45148</v>
      </c>
      <c r="H182" s="11">
        <v>0.95833333333333337</v>
      </c>
      <c r="I182" s="7">
        <v>45150</v>
      </c>
      <c r="J182" s="7">
        <v>45152</v>
      </c>
      <c r="K182" s="5">
        <v>7350328794</v>
      </c>
      <c r="L182" s="5"/>
      <c r="M182" s="5">
        <v>1</v>
      </c>
      <c r="N182" s="5">
        <v>1</v>
      </c>
      <c r="O182" s="5">
        <v>1</v>
      </c>
      <c r="P182" s="5">
        <v>2</v>
      </c>
      <c r="Q182" s="5">
        <v>2</v>
      </c>
      <c r="R182" s="5">
        <v>2</v>
      </c>
      <c r="S182" s="5">
        <v>2</v>
      </c>
      <c r="T182" s="5">
        <v>2</v>
      </c>
      <c r="U182" s="5">
        <v>2</v>
      </c>
      <c r="V182" s="5">
        <v>2</v>
      </c>
      <c r="W182" s="5"/>
      <c r="X182" s="5">
        <v>11</v>
      </c>
      <c r="Y182" s="5">
        <v>33.799999999999997</v>
      </c>
      <c r="Z182" s="5">
        <v>82</v>
      </c>
      <c r="AA182" s="5"/>
      <c r="AB182" s="5">
        <v>9.8000000000000007</v>
      </c>
      <c r="AC182" s="5">
        <v>169</v>
      </c>
      <c r="AD182" s="5">
        <v>124.4</v>
      </c>
      <c r="AE182" s="5">
        <v>21</v>
      </c>
      <c r="AF182" s="5">
        <v>23.6</v>
      </c>
      <c r="AG182" s="5">
        <v>118</v>
      </c>
      <c r="AH182" s="5">
        <v>148</v>
      </c>
      <c r="AI182" s="5"/>
      <c r="AJ182" s="5"/>
      <c r="AK182" s="5" t="s">
        <v>399</v>
      </c>
      <c r="AL182" s="5" t="s">
        <v>400</v>
      </c>
      <c r="AM182" s="5"/>
      <c r="AN182" s="5"/>
      <c r="AO182" s="5"/>
      <c r="AP182" s="5"/>
      <c r="AQ182" s="5"/>
      <c r="AR182" s="5"/>
      <c r="AS182" s="5"/>
      <c r="AT182" s="5">
        <v>1</v>
      </c>
      <c r="AU182" s="5">
        <v>1</v>
      </c>
      <c r="AV182" s="5"/>
      <c r="AW182" s="5"/>
      <c r="AX182" s="5"/>
      <c r="AY182" s="5"/>
      <c r="AZ182" s="5"/>
      <c r="BA182" s="5">
        <v>1</v>
      </c>
      <c r="BB182" s="5">
        <v>1</v>
      </c>
      <c r="BC182" s="5">
        <v>90</v>
      </c>
      <c r="BD182" s="5">
        <v>1</v>
      </c>
      <c r="BE182" s="5">
        <v>2</v>
      </c>
      <c r="BF182" s="5">
        <v>2</v>
      </c>
      <c r="BG182" s="5">
        <v>2</v>
      </c>
      <c r="BH182" s="5">
        <v>1</v>
      </c>
      <c r="BI182" s="5">
        <v>1</v>
      </c>
      <c r="BJ182" s="5">
        <v>1</v>
      </c>
      <c r="BK182" s="5">
        <v>1</v>
      </c>
      <c r="BL182" s="5">
        <v>2</v>
      </c>
      <c r="BM182" s="5">
        <v>2</v>
      </c>
      <c r="BN182" s="5">
        <v>2</v>
      </c>
      <c r="BO182" s="5">
        <v>1</v>
      </c>
      <c r="BP182" s="5">
        <v>1</v>
      </c>
      <c r="BQ182" s="5">
        <v>1</v>
      </c>
      <c r="BR182" s="5">
        <v>20</v>
      </c>
      <c r="BS182" s="5">
        <v>1</v>
      </c>
      <c r="BT182" s="5">
        <v>1</v>
      </c>
      <c r="BU182" s="5"/>
    </row>
    <row r="183" spans="1:73" x14ac:dyDescent="0.25">
      <c r="A183" s="5" t="s">
        <v>406</v>
      </c>
      <c r="B183" s="5">
        <v>1</v>
      </c>
      <c r="C183" s="5">
        <v>6.8245399999999998</v>
      </c>
      <c r="D183" s="6">
        <v>230503001</v>
      </c>
      <c r="E183" s="5">
        <v>77</v>
      </c>
      <c r="F183" s="5">
        <v>2</v>
      </c>
      <c r="G183" s="7"/>
      <c r="H183" s="5"/>
      <c r="I183" s="7">
        <v>45068</v>
      </c>
      <c r="J183" s="7">
        <v>45070</v>
      </c>
      <c r="K183" s="5">
        <v>7722077659</v>
      </c>
      <c r="L183" s="5"/>
      <c r="M183" s="5">
        <v>6</v>
      </c>
      <c r="N183" s="5">
        <v>2</v>
      </c>
      <c r="O183" s="5">
        <v>2</v>
      </c>
      <c r="P183" s="5">
        <v>2</v>
      </c>
      <c r="Q183" s="5">
        <v>2</v>
      </c>
      <c r="R183" s="5">
        <v>2</v>
      </c>
      <c r="S183" s="5">
        <v>2</v>
      </c>
      <c r="T183" s="5">
        <v>2</v>
      </c>
      <c r="U183" s="5">
        <v>2</v>
      </c>
      <c r="V183" s="5">
        <v>2</v>
      </c>
      <c r="W183" s="5"/>
      <c r="X183" s="5">
        <v>11.7</v>
      </c>
      <c r="Y183" s="5">
        <v>35.299999999999997</v>
      </c>
      <c r="Z183" s="5"/>
      <c r="AA183" s="5">
        <v>12.81</v>
      </c>
      <c r="AB183" s="5">
        <v>5.2</v>
      </c>
      <c r="AC183" s="5">
        <v>239</v>
      </c>
      <c r="AD183" s="5">
        <v>168</v>
      </c>
      <c r="AE183" s="5">
        <v>57</v>
      </c>
      <c r="AF183" s="5">
        <v>14</v>
      </c>
      <c r="AG183" s="5">
        <v>70</v>
      </c>
      <c r="AH183" s="5">
        <v>449</v>
      </c>
      <c r="AI183" s="5"/>
      <c r="AJ183" s="5"/>
      <c r="AK183" s="5" t="s">
        <v>407</v>
      </c>
      <c r="AL183" s="5"/>
      <c r="AM183" s="5"/>
      <c r="AN183" s="5"/>
      <c r="AO183" s="5"/>
      <c r="AP183" s="5"/>
      <c r="AQ183" s="5"/>
      <c r="AR183" s="5"/>
      <c r="AS183" s="5"/>
      <c r="AT183" s="5">
        <v>1</v>
      </c>
      <c r="AU183" s="5">
        <v>1</v>
      </c>
      <c r="AV183" s="5">
        <v>2</v>
      </c>
      <c r="AW183" s="5"/>
      <c r="AX183" s="5"/>
      <c r="AY183" s="5"/>
      <c r="AZ183" s="5"/>
      <c r="BA183" s="5">
        <v>1</v>
      </c>
      <c r="BB183" s="5">
        <v>1</v>
      </c>
      <c r="BC183" s="5">
        <v>95</v>
      </c>
      <c r="BD183" s="5">
        <v>1</v>
      </c>
      <c r="BE183" s="5">
        <v>2</v>
      </c>
      <c r="BF183" s="5">
        <v>2</v>
      </c>
      <c r="BG183" s="5">
        <v>2</v>
      </c>
      <c r="BH183" s="5">
        <v>1</v>
      </c>
      <c r="BI183" s="5">
        <v>1</v>
      </c>
      <c r="BJ183" s="5">
        <v>1</v>
      </c>
      <c r="BK183" s="5">
        <v>1</v>
      </c>
      <c r="BL183" s="5">
        <v>2</v>
      </c>
      <c r="BM183" s="5">
        <v>2</v>
      </c>
      <c r="BN183" s="5">
        <v>2</v>
      </c>
      <c r="BO183" s="5">
        <v>1</v>
      </c>
      <c r="BP183" s="5">
        <v>1</v>
      </c>
      <c r="BQ183" s="5">
        <v>1</v>
      </c>
      <c r="BR183" s="5">
        <v>20</v>
      </c>
      <c r="BS183" s="5">
        <v>1</v>
      </c>
      <c r="BT183" s="5">
        <v>1</v>
      </c>
      <c r="BU183" s="5"/>
    </row>
    <row r="184" spans="1:73" x14ac:dyDescent="0.25">
      <c r="A184" s="12" t="s">
        <v>419</v>
      </c>
      <c r="B184" s="5">
        <v>1</v>
      </c>
      <c r="C184" s="12">
        <v>20.573699999999999</v>
      </c>
      <c r="D184" s="13">
        <v>230000000000</v>
      </c>
      <c r="E184" s="12">
        <v>81</v>
      </c>
      <c r="F184" s="12">
        <v>1</v>
      </c>
      <c r="G184" s="14">
        <v>45253</v>
      </c>
      <c r="H184" s="12"/>
      <c r="I184" s="14">
        <v>45253</v>
      </c>
      <c r="J184" s="14"/>
      <c r="K184" s="12"/>
      <c r="L184" s="12"/>
      <c r="M184" s="12">
        <v>2</v>
      </c>
      <c r="N184" s="12">
        <v>2</v>
      </c>
      <c r="O184" s="12">
        <v>2</v>
      </c>
      <c r="P184" s="12">
        <v>2</v>
      </c>
      <c r="Q184" s="12">
        <v>2</v>
      </c>
      <c r="R184" s="12">
        <v>2</v>
      </c>
      <c r="S184" s="12">
        <v>2</v>
      </c>
      <c r="T184" s="12">
        <v>2</v>
      </c>
      <c r="U184" s="12">
        <v>2</v>
      </c>
      <c r="V184" s="12">
        <v>2</v>
      </c>
      <c r="W184" s="12"/>
      <c r="X184" s="12">
        <v>11.6</v>
      </c>
      <c r="Y184" s="12">
        <v>35.1</v>
      </c>
      <c r="Z184" s="12">
        <v>87.6</v>
      </c>
      <c r="AA184" s="12"/>
      <c r="AB184" s="12"/>
      <c r="AC184" s="12">
        <v>173</v>
      </c>
      <c r="AD184" s="12">
        <v>112</v>
      </c>
      <c r="AE184" s="12">
        <v>49</v>
      </c>
      <c r="AF184" s="12">
        <v>12</v>
      </c>
      <c r="AG184" s="12">
        <v>60</v>
      </c>
      <c r="AH184" s="12"/>
      <c r="AI184" s="12"/>
      <c r="AJ184" s="12"/>
      <c r="AK184" s="12" t="s">
        <v>420</v>
      </c>
      <c r="AL184" s="12" t="s">
        <v>421</v>
      </c>
      <c r="AM184" s="12"/>
      <c r="AN184" s="12"/>
      <c r="AO184" s="12"/>
      <c r="AP184" s="12"/>
      <c r="AQ184" s="12"/>
      <c r="AR184" s="12"/>
      <c r="AS184" s="12"/>
      <c r="AT184" s="12">
        <v>1</v>
      </c>
      <c r="AU184" s="12">
        <v>1</v>
      </c>
      <c r="AV184" s="12">
        <v>2</v>
      </c>
      <c r="AW184" s="12"/>
      <c r="AX184" s="12"/>
      <c r="AY184" s="12"/>
      <c r="AZ184" s="12"/>
      <c r="BA184" s="12">
        <v>1</v>
      </c>
      <c r="BB184" s="5">
        <v>1</v>
      </c>
      <c r="BC184" s="12">
        <v>100</v>
      </c>
      <c r="BD184" s="12">
        <v>1</v>
      </c>
      <c r="BE184" s="12">
        <v>2</v>
      </c>
      <c r="BF184" s="12">
        <v>2</v>
      </c>
      <c r="BG184" s="12">
        <v>2</v>
      </c>
      <c r="BH184" s="12">
        <v>1</v>
      </c>
      <c r="BI184" s="12">
        <v>1</v>
      </c>
      <c r="BJ184" s="12">
        <v>1</v>
      </c>
      <c r="BK184" s="12">
        <v>1</v>
      </c>
      <c r="BL184" s="12">
        <v>2</v>
      </c>
      <c r="BM184" s="12">
        <v>2</v>
      </c>
      <c r="BN184" s="12">
        <v>2</v>
      </c>
      <c r="BO184" s="12">
        <v>1</v>
      </c>
      <c r="BP184" s="12">
        <v>1</v>
      </c>
      <c r="BQ184" s="12">
        <v>1</v>
      </c>
      <c r="BR184" s="12">
        <v>20</v>
      </c>
      <c r="BS184" s="12">
        <v>0</v>
      </c>
      <c r="BT184" s="12">
        <v>0</v>
      </c>
      <c r="BU184" s="12"/>
    </row>
    <row r="185" spans="1:73" x14ac:dyDescent="0.25">
      <c r="A185" s="5" t="s">
        <v>630</v>
      </c>
      <c r="B185" s="5">
        <v>0</v>
      </c>
      <c r="C185" s="5">
        <v>4.3267800000000003</v>
      </c>
      <c r="D185" s="6">
        <v>200356230</v>
      </c>
      <c r="E185" s="5">
        <v>48</v>
      </c>
      <c r="F185" s="5">
        <v>1</v>
      </c>
      <c r="G185" s="7">
        <v>45229</v>
      </c>
      <c r="H185" s="11">
        <v>0.58333333333333337</v>
      </c>
      <c r="I185" s="7">
        <v>45230</v>
      </c>
      <c r="J185" s="7">
        <v>45233</v>
      </c>
      <c r="K185" s="5">
        <v>8888331366</v>
      </c>
      <c r="L185" s="5"/>
      <c r="M185" s="5">
        <v>2</v>
      </c>
      <c r="N185" s="5">
        <v>1</v>
      </c>
      <c r="O185" s="5">
        <v>1</v>
      </c>
      <c r="P185" s="5">
        <v>1</v>
      </c>
      <c r="Q185" s="5">
        <v>2</v>
      </c>
      <c r="R185" s="5">
        <v>1</v>
      </c>
      <c r="S185" s="5">
        <v>2</v>
      </c>
      <c r="T185" s="5">
        <v>2</v>
      </c>
      <c r="U185" s="5">
        <v>2</v>
      </c>
      <c r="V185" s="5">
        <v>2</v>
      </c>
      <c r="W185" s="5"/>
      <c r="X185" s="5">
        <v>15.8</v>
      </c>
      <c r="Y185" s="5">
        <v>48.2</v>
      </c>
      <c r="Z185" s="5"/>
      <c r="AA185" s="5"/>
      <c r="AB185" s="5"/>
      <c r="AC185" s="5">
        <v>200</v>
      </c>
      <c r="AD185" s="5">
        <v>95.6</v>
      </c>
      <c r="AE185" s="5">
        <v>36</v>
      </c>
      <c r="AF185" s="5">
        <v>68.400000000000006</v>
      </c>
      <c r="AG185" s="5">
        <v>342</v>
      </c>
      <c r="AH185" s="5"/>
      <c r="AI185" s="5"/>
      <c r="AJ185" s="5"/>
      <c r="AK185" s="5"/>
      <c r="AL185" s="5"/>
      <c r="AM185" s="5"/>
      <c r="AN185" s="5"/>
      <c r="AO185" s="5"/>
      <c r="AP185" s="5"/>
      <c r="AQ185" s="5"/>
      <c r="AR185" s="5"/>
      <c r="AS185" s="5"/>
      <c r="AT185" s="5">
        <v>1</v>
      </c>
      <c r="AU185" s="5">
        <v>1</v>
      </c>
      <c r="AV185" s="5">
        <v>2</v>
      </c>
      <c r="AW185" s="5">
        <v>4</v>
      </c>
      <c r="AX185" s="5">
        <v>8</v>
      </c>
      <c r="AY185" s="5">
        <v>2</v>
      </c>
      <c r="AZ185" s="5">
        <v>2</v>
      </c>
      <c r="BA185" s="5">
        <v>1</v>
      </c>
      <c r="BB185" s="5">
        <v>1</v>
      </c>
      <c r="BC185" s="5">
        <v>90</v>
      </c>
      <c r="BD185" s="5"/>
      <c r="BE185" s="5"/>
      <c r="BF185" s="5"/>
      <c r="BG185" s="5"/>
      <c r="BH185" s="5"/>
      <c r="BI185" s="5"/>
      <c r="BJ185" s="5"/>
      <c r="BK185" s="5"/>
      <c r="BL185" s="5"/>
      <c r="BM185" s="5"/>
      <c r="BN185" s="5"/>
      <c r="BO185" s="5"/>
      <c r="BP185" s="5"/>
      <c r="BQ185" s="5"/>
      <c r="BR185" s="5"/>
      <c r="BS185" s="5"/>
      <c r="BT185" s="5"/>
      <c r="BU185" s="5" t="s">
        <v>594</v>
      </c>
    </row>
    <row r="186" spans="1:73" x14ac:dyDescent="0.25">
      <c r="A186" s="5" t="s">
        <v>631</v>
      </c>
      <c r="B186" s="5">
        <v>0</v>
      </c>
      <c r="C186" s="5">
        <v>8.5820399999999992</v>
      </c>
      <c r="D186" s="6">
        <v>230501316</v>
      </c>
      <c r="E186" s="5">
        <v>57</v>
      </c>
      <c r="F186" s="5">
        <v>1</v>
      </c>
      <c r="G186" s="7">
        <v>45056</v>
      </c>
      <c r="H186" s="11">
        <v>0.97916666666666663</v>
      </c>
      <c r="I186" s="7">
        <v>45056</v>
      </c>
      <c r="J186" s="7">
        <v>45061</v>
      </c>
      <c r="K186" s="5">
        <v>8983457887</v>
      </c>
      <c r="L186" s="5"/>
      <c r="M186" s="5">
        <v>4</v>
      </c>
      <c r="N186" s="5">
        <v>1</v>
      </c>
      <c r="O186" s="5">
        <v>1</v>
      </c>
      <c r="P186" s="5">
        <v>2</v>
      </c>
      <c r="Q186" s="5">
        <v>2</v>
      </c>
      <c r="R186" s="5">
        <v>2</v>
      </c>
      <c r="S186" s="5">
        <v>2</v>
      </c>
      <c r="T186" s="5">
        <v>2</v>
      </c>
      <c r="U186" s="5">
        <v>2</v>
      </c>
      <c r="V186" s="5">
        <v>2</v>
      </c>
      <c r="W186" s="5"/>
      <c r="X186" s="5">
        <v>16.600000000000001</v>
      </c>
      <c r="Y186" s="5">
        <v>48.6</v>
      </c>
      <c r="Z186" s="5"/>
      <c r="AA186" s="5">
        <v>18.02</v>
      </c>
      <c r="AB186" s="5">
        <v>7.4</v>
      </c>
      <c r="AC186" s="5">
        <v>238</v>
      </c>
      <c r="AD186" s="5">
        <v>10.35</v>
      </c>
      <c r="AE186" s="5">
        <v>23</v>
      </c>
      <c r="AF186" s="5">
        <v>113.8</v>
      </c>
      <c r="AG186" s="5">
        <v>569</v>
      </c>
      <c r="AH186" s="5">
        <v>215</v>
      </c>
      <c r="AI186" s="5" t="s">
        <v>632</v>
      </c>
      <c r="AJ186" s="5"/>
      <c r="AK186" s="5" t="s">
        <v>633</v>
      </c>
      <c r="AL186" s="5" t="s">
        <v>634</v>
      </c>
      <c r="AM186" s="5"/>
      <c r="AN186" s="5"/>
      <c r="AO186" s="5"/>
      <c r="AP186" s="5"/>
      <c r="AQ186" s="5"/>
      <c r="AR186" s="5"/>
      <c r="AS186" s="5"/>
      <c r="AT186" s="5">
        <v>1</v>
      </c>
      <c r="AU186" s="5">
        <v>1</v>
      </c>
      <c r="AV186" s="5">
        <v>2</v>
      </c>
      <c r="AW186" s="5"/>
      <c r="AX186" s="5"/>
      <c r="AY186" s="5"/>
      <c r="AZ186" s="5"/>
      <c r="BA186" s="5">
        <v>1</v>
      </c>
      <c r="BB186" s="5">
        <v>1</v>
      </c>
      <c r="BC186" s="5">
        <v>100</v>
      </c>
      <c r="BD186" s="5"/>
      <c r="BE186" s="5"/>
      <c r="BF186" s="5"/>
      <c r="BG186" s="5"/>
      <c r="BH186" s="5"/>
      <c r="BI186" s="5"/>
      <c r="BJ186" s="5"/>
      <c r="BK186" s="5"/>
      <c r="BL186" s="5"/>
      <c r="BM186" s="5"/>
      <c r="BN186" s="5"/>
      <c r="BO186" s="5"/>
      <c r="BP186" s="5"/>
      <c r="BQ186" s="5"/>
      <c r="BR186" s="5"/>
      <c r="BS186" s="5"/>
      <c r="BT186" s="5"/>
      <c r="BU186" s="5" t="s">
        <v>594</v>
      </c>
    </row>
    <row r="187" spans="1:73" x14ac:dyDescent="0.25">
      <c r="A187" s="12" t="s">
        <v>148</v>
      </c>
      <c r="B187" s="5">
        <v>1</v>
      </c>
      <c r="C187" s="12">
        <v>2.2731300000000001</v>
      </c>
      <c r="D187" s="13">
        <v>201200469</v>
      </c>
      <c r="E187" s="12">
        <v>73</v>
      </c>
      <c r="F187" s="12">
        <v>1</v>
      </c>
      <c r="G187" s="14">
        <v>45063</v>
      </c>
      <c r="H187" s="12"/>
      <c r="I187" s="14">
        <v>45065</v>
      </c>
      <c r="J187" s="14">
        <v>45075</v>
      </c>
      <c r="K187" s="12">
        <v>9822495454</v>
      </c>
      <c r="L187" s="12"/>
      <c r="M187" s="12">
        <v>6</v>
      </c>
      <c r="N187" s="12">
        <v>1</v>
      </c>
      <c r="O187" s="12">
        <v>1</v>
      </c>
      <c r="P187" s="12">
        <v>2</v>
      </c>
      <c r="Q187" s="12">
        <v>2</v>
      </c>
      <c r="R187" s="12">
        <v>2</v>
      </c>
      <c r="S187" s="12">
        <v>2</v>
      </c>
      <c r="T187" s="12">
        <v>2</v>
      </c>
      <c r="U187" s="12">
        <v>2</v>
      </c>
      <c r="V187" s="12">
        <v>2</v>
      </c>
      <c r="W187" s="12"/>
      <c r="X187" s="12">
        <v>13.5</v>
      </c>
      <c r="Y187" s="12">
        <v>40</v>
      </c>
      <c r="Z187" s="12"/>
      <c r="AA187" s="12">
        <v>16.170000000000002</v>
      </c>
      <c r="AB187" s="12">
        <v>7</v>
      </c>
      <c r="AC187" s="12"/>
      <c r="AD187" s="12"/>
      <c r="AE187" s="12"/>
      <c r="AF187" s="12"/>
      <c r="AG187" s="12"/>
      <c r="AH187" s="12">
        <v>215</v>
      </c>
      <c r="AI187" s="12" t="s">
        <v>149</v>
      </c>
      <c r="AJ187" s="12"/>
      <c r="AK187" s="12" t="s">
        <v>150</v>
      </c>
      <c r="AL187" s="12" t="s">
        <v>151</v>
      </c>
      <c r="AM187" s="12"/>
      <c r="AN187" s="12"/>
      <c r="AO187" s="12"/>
      <c r="AP187" s="12"/>
      <c r="AQ187" s="12"/>
      <c r="AR187" s="12"/>
      <c r="AS187" s="12"/>
      <c r="AT187" s="12"/>
      <c r="AU187" s="12"/>
      <c r="AV187" s="12"/>
      <c r="AW187" s="12"/>
      <c r="AX187" s="12"/>
      <c r="AY187" s="12"/>
      <c r="AZ187" s="12"/>
      <c r="BA187" s="12">
        <v>2</v>
      </c>
      <c r="BB187" s="5">
        <v>1</v>
      </c>
      <c r="BC187" s="12">
        <v>65</v>
      </c>
      <c r="BD187" s="12">
        <v>0</v>
      </c>
      <c r="BE187" s="12">
        <v>1</v>
      </c>
      <c r="BF187" s="12">
        <v>2</v>
      </c>
      <c r="BG187" s="12">
        <v>2</v>
      </c>
      <c r="BH187" s="12">
        <v>1</v>
      </c>
      <c r="BI187" s="12">
        <v>1</v>
      </c>
      <c r="BJ187" s="12">
        <v>1</v>
      </c>
      <c r="BK187" s="12">
        <v>0</v>
      </c>
      <c r="BL187" s="12">
        <v>1</v>
      </c>
      <c r="BM187" s="12">
        <v>2</v>
      </c>
      <c r="BN187" s="12">
        <v>2</v>
      </c>
      <c r="BO187" s="12">
        <v>1</v>
      </c>
      <c r="BP187" s="12">
        <v>1</v>
      </c>
      <c r="BQ187" s="12">
        <v>1</v>
      </c>
      <c r="BR187" s="12">
        <v>16</v>
      </c>
      <c r="BS187" s="12">
        <v>1</v>
      </c>
      <c r="BT187" s="12">
        <v>1</v>
      </c>
      <c r="BU187" s="12"/>
    </row>
    <row r="188" spans="1:73" x14ac:dyDescent="0.25">
      <c r="A188" s="12" t="s">
        <v>242</v>
      </c>
      <c r="B188" s="5">
        <v>1</v>
      </c>
      <c r="C188" s="12">
        <v>2.6346699999999998</v>
      </c>
      <c r="D188" s="13">
        <v>190701897</v>
      </c>
      <c r="E188" s="12">
        <v>74</v>
      </c>
      <c r="F188" s="12">
        <v>2</v>
      </c>
      <c r="G188" s="14">
        <v>45159</v>
      </c>
      <c r="H188" s="16">
        <v>0.29166666666666669</v>
      </c>
      <c r="I188" s="14">
        <v>45160</v>
      </c>
      <c r="J188" s="14">
        <v>45164</v>
      </c>
      <c r="K188" s="12">
        <v>9850336332</v>
      </c>
      <c r="L188" s="12"/>
      <c r="M188" s="12">
        <v>2</v>
      </c>
      <c r="N188" s="12">
        <v>1</v>
      </c>
      <c r="O188" s="12">
        <v>1</v>
      </c>
      <c r="P188" s="12">
        <v>2</v>
      </c>
      <c r="Q188" s="12">
        <v>2</v>
      </c>
      <c r="R188" s="12">
        <v>1</v>
      </c>
      <c r="S188" s="12">
        <v>2</v>
      </c>
      <c r="T188" s="12">
        <v>2</v>
      </c>
      <c r="U188" s="12">
        <v>2</v>
      </c>
      <c r="V188" s="12">
        <v>2</v>
      </c>
      <c r="W188" s="12" t="s">
        <v>243</v>
      </c>
      <c r="X188" s="12">
        <v>9.9</v>
      </c>
      <c r="Y188" s="12">
        <v>30.7</v>
      </c>
      <c r="Z188" s="12">
        <v>74.400000000000006</v>
      </c>
      <c r="AA188" s="12">
        <v>18.579999999999998</v>
      </c>
      <c r="AB188" s="12">
        <v>7.3</v>
      </c>
      <c r="AC188" s="12">
        <v>178</v>
      </c>
      <c r="AD188" s="12">
        <v>96</v>
      </c>
      <c r="AE188" s="12">
        <v>32</v>
      </c>
      <c r="AF188" s="12">
        <v>50</v>
      </c>
      <c r="AG188" s="12">
        <v>250</v>
      </c>
      <c r="AH188" s="12">
        <v>268</v>
      </c>
      <c r="AI188" s="12"/>
      <c r="AJ188" s="12"/>
      <c r="AK188" s="12" t="s">
        <v>244</v>
      </c>
      <c r="AL188" s="12" t="s">
        <v>245</v>
      </c>
      <c r="AM188" s="12"/>
      <c r="AN188" s="12"/>
      <c r="AO188" s="12"/>
      <c r="AP188" s="12"/>
      <c r="AQ188" s="12"/>
      <c r="AR188" s="12"/>
      <c r="AS188" s="12"/>
      <c r="AT188" s="12">
        <v>1</v>
      </c>
      <c r="AU188" s="12">
        <v>1</v>
      </c>
      <c r="AV188" s="12">
        <v>2</v>
      </c>
      <c r="AW188" s="12"/>
      <c r="AX188" s="12"/>
      <c r="AY188" s="12"/>
      <c r="AZ188" s="12"/>
      <c r="BA188" s="12">
        <v>2</v>
      </c>
      <c r="BB188" s="5">
        <v>1</v>
      </c>
      <c r="BC188" s="12">
        <v>70</v>
      </c>
      <c r="BD188" s="12">
        <v>0</v>
      </c>
      <c r="BE188" s="12">
        <v>2</v>
      </c>
      <c r="BF188" s="12">
        <v>2</v>
      </c>
      <c r="BG188" s="12">
        <v>2</v>
      </c>
      <c r="BH188" s="12">
        <v>1</v>
      </c>
      <c r="BI188" s="12">
        <v>1</v>
      </c>
      <c r="BJ188" s="12">
        <v>1</v>
      </c>
      <c r="BK188" s="12">
        <v>0</v>
      </c>
      <c r="BL188" s="12">
        <v>2</v>
      </c>
      <c r="BM188" s="12">
        <v>2</v>
      </c>
      <c r="BN188" s="12">
        <v>2</v>
      </c>
      <c r="BO188" s="12">
        <v>1</v>
      </c>
      <c r="BP188" s="12">
        <v>1</v>
      </c>
      <c r="BQ188" s="12">
        <v>1</v>
      </c>
      <c r="BR188" s="12">
        <v>18</v>
      </c>
      <c r="BS188" s="12">
        <v>0</v>
      </c>
      <c r="BT188" s="12">
        <v>0</v>
      </c>
      <c r="BU188" s="12"/>
    </row>
    <row r="189" spans="1:73" x14ac:dyDescent="0.25">
      <c r="A189" s="5" t="s">
        <v>640</v>
      </c>
      <c r="B189" s="5">
        <v>0</v>
      </c>
      <c r="C189" s="5">
        <v>1.93726</v>
      </c>
      <c r="D189" s="6">
        <v>160904213</v>
      </c>
      <c r="E189" s="5">
        <v>71</v>
      </c>
      <c r="F189" s="5">
        <v>2</v>
      </c>
      <c r="G189" s="7">
        <v>45057</v>
      </c>
      <c r="H189" s="5"/>
      <c r="I189" s="7">
        <v>45058</v>
      </c>
      <c r="J189" s="7">
        <v>45060</v>
      </c>
      <c r="K189" s="5">
        <v>9970961657</v>
      </c>
      <c r="L189" s="5"/>
      <c r="M189" s="5">
        <v>6</v>
      </c>
      <c r="N189" s="5">
        <v>1</v>
      </c>
      <c r="O189" s="5">
        <v>1</v>
      </c>
      <c r="P189" s="5">
        <v>2</v>
      </c>
      <c r="Q189" s="5">
        <v>2</v>
      </c>
      <c r="R189" s="5">
        <v>2</v>
      </c>
      <c r="S189" s="5">
        <v>2</v>
      </c>
      <c r="T189" s="5">
        <v>2</v>
      </c>
      <c r="U189" s="5">
        <v>2</v>
      </c>
      <c r="V189" s="5">
        <v>2</v>
      </c>
      <c r="W189" s="5"/>
      <c r="X189" s="5">
        <v>12.4</v>
      </c>
      <c r="Y189" s="5">
        <v>36.6</v>
      </c>
      <c r="Z189" s="5"/>
      <c r="AA189" s="5">
        <v>21</v>
      </c>
      <c r="AB189" s="5">
        <v>8.5</v>
      </c>
      <c r="AC189" s="5">
        <v>206</v>
      </c>
      <c r="AD189" s="5">
        <v>138</v>
      </c>
      <c r="AE189" s="5">
        <v>46</v>
      </c>
      <c r="AF189" s="5">
        <v>22</v>
      </c>
      <c r="AG189" s="5">
        <v>110</v>
      </c>
      <c r="AH189" s="5">
        <v>148</v>
      </c>
      <c r="AI189" s="5" t="s">
        <v>641</v>
      </c>
      <c r="AJ189" s="5"/>
      <c r="AK189" s="5" t="s">
        <v>642</v>
      </c>
      <c r="AL189" s="5" t="s">
        <v>643</v>
      </c>
      <c r="AM189" s="5"/>
      <c r="AN189" s="5"/>
      <c r="AO189" s="5"/>
      <c r="AP189" s="5"/>
      <c r="AQ189" s="5"/>
      <c r="AR189" s="5"/>
      <c r="AS189" s="5"/>
      <c r="AT189" s="5">
        <v>1</v>
      </c>
      <c r="AU189" s="5">
        <v>1</v>
      </c>
      <c r="AV189" s="5">
        <v>2</v>
      </c>
      <c r="AW189" s="5">
        <v>4</v>
      </c>
      <c r="AX189" s="5">
        <v>8</v>
      </c>
      <c r="AY189" s="5">
        <v>2</v>
      </c>
      <c r="AZ189" s="5">
        <v>2</v>
      </c>
      <c r="BA189" s="5">
        <v>2</v>
      </c>
      <c r="BB189" s="5">
        <v>1</v>
      </c>
      <c r="BC189" s="5">
        <v>60</v>
      </c>
      <c r="BD189" s="5"/>
      <c r="BE189" s="5"/>
      <c r="BF189" s="5"/>
      <c r="BG189" s="5"/>
      <c r="BH189" s="5"/>
      <c r="BI189" s="5"/>
      <c r="BJ189" s="5"/>
      <c r="BK189" s="5"/>
      <c r="BL189" s="5"/>
      <c r="BM189" s="5"/>
      <c r="BN189" s="5"/>
      <c r="BO189" s="5"/>
      <c r="BP189" s="5"/>
      <c r="BQ189" s="5"/>
      <c r="BR189" s="5"/>
      <c r="BS189" s="5"/>
      <c r="BT189" s="5"/>
      <c r="BU189" s="5" t="s">
        <v>594</v>
      </c>
    </row>
    <row r="190" spans="1:73" x14ac:dyDescent="0.25">
      <c r="A190" s="5" t="s">
        <v>648</v>
      </c>
      <c r="B190" s="5">
        <v>0</v>
      </c>
      <c r="C190" s="5">
        <v>4.37819</v>
      </c>
      <c r="D190" s="6">
        <v>2108006661</v>
      </c>
      <c r="E190" s="5">
        <v>60</v>
      </c>
      <c r="F190" s="5">
        <v>1</v>
      </c>
      <c r="G190" s="7">
        <v>45014</v>
      </c>
      <c r="H190" s="11">
        <v>0.75</v>
      </c>
      <c r="I190" s="7">
        <v>45008</v>
      </c>
      <c r="J190" s="7">
        <v>45016</v>
      </c>
      <c r="K190" s="5">
        <v>7304449578</v>
      </c>
      <c r="L190" s="5"/>
      <c r="M190" s="5"/>
      <c r="N190" s="5">
        <v>1</v>
      </c>
      <c r="O190" s="5">
        <v>1</v>
      </c>
      <c r="P190" s="5">
        <v>2</v>
      </c>
      <c r="Q190" s="5">
        <v>2</v>
      </c>
      <c r="R190" s="5">
        <v>2</v>
      </c>
      <c r="S190" s="5">
        <v>2</v>
      </c>
      <c r="T190" s="5">
        <v>2</v>
      </c>
      <c r="U190" s="5">
        <v>1</v>
      </c>
      <c r="V190" s="5">
        <v>2</v>
      </c>
      <c r="W190" s="5"/>
      <c r="X190" s="5">
        <v>10.5</v>
      </c>
      <c r="Y190" s="5">
        <v>34.200000000000003</v>
      </c>
      <c r="Z190" s="5"/>
      <c r="AA190" s="5">
        <v>14</v>
      </c>
      <c r="AB190" s="5">
        <v>8.1999999999999993</v>
      </c>
      <c r="AC190" s="5">
        <v>90</v>
      </c>
      <c r="AD190" s="5">
        <v>32</v>
      </c>
      <c r="AE190" s="5">
        <v>32</v>
      </c>
      <c r="AF190" s="5">
        <v>16</v>
      </c>
      <c r="AG190" s="5">
        <v>80</v>
      </c>
      <c r="AH190" s="5">
        <v>292</v>
      </c>
      <c r="AI190" s="5" t="s">
        <v>649</v>
      </c>
      <c r="AJ190" s="5"/>
      <c r="AK190" s="5" t="s">
        <v>650</v>
      </c>
      <c r="AL190" s="5" t="s">
        <v>326</v>
      </c>
      <c r="AM190" s="5"/>
      <c r="AN190" s="5"/>
      <c r="AO190" s="5"/>
      <c r="AP190" s="5"/>
      <c r="AQ190" s="5"/>
      <c r="AR190" s="5"/>
      <c r="AS190" s="5"/>
      <c r="AT190" s="5">
        <v>1</v>
      </c>
      <c r="AU190" s="5">
        <v>2</v>
      </c>
      <c r="AV190" s="5">
        <v>1</v>
      </c>
      <c r="AW190" s="5">
        <v>1</v>
      </c>
      <c r="AX190" s="5"/>
      <c r="AY190" s="5"/>
      <c r="AZ190" s="5"/>
      <c r="BA190" s="5">
        <v>2</v>
      </c>
      <c r="BB190" s="5">
        <v>1</v>
      </c>
      <c r="BC190" s="5">
        <v>90</v>
      </c>
      <c r="BD190" s="5"/>
      <c r="BE190" s="5"/>
      <c r="BF190" s="5"/>
      <c r="BG190" s="5"/>
      <c r="BH190" s="5"/>
      <c r="BI190" s="5"/>
      <c r="BJ190" s="5"/>
      <c r="BK190" s="5"/>
      <c r="BL190" s="5"/>
      <c r="BM190" s="5"/>
      <c r="BN190" s="5"/>
      <c r="BO190" s="5"/>
      <c r="BP190" s="5"/>
      <c r="BQ190" s="5"/>
      <c r="BR190" s="5"/>
      <c r="BS190" s="5"/>
      <c r="BT190" s="5"/>
      <c r="BU190" s="5" t="s">
        <v>594</v>
      </c>
    </row>
    <row r="191" spans="1:73" x14ac:dyDescent="0.25">
      <c r="A191" s="5" t="s">
        <v>426</v>
      </c>
      <c r="B191" s="5">
        <v>1</v>
      </c>
      <c r="C191" s="5">
        <v>2.0050300000000001</v>
      </c>
      <c r="D191" s="6">
        <v>230502703</v>
      </c>
      <c r="E191" s="5">
        <v>47</v>
      </c>
      <c r="F191" s="5">
        <v>1</v>
      </c>
      <c r="G191" s="7">
        <v>45063</v>
      </c>
      <c r="H191" s="11">
        <v>0.75</v>
      </c>
      <c r="I191" s="7">
        <v>45065</v>
      </c>
      <c r="J191" s="7">
        <v>45067</v>
      </c>
      <c r="K191" s="5">
        <v>9637820789</v>
      </c>
      <c r="L191" s="5"/>
      <c r="M191" s="5">
        <v>9</v>
      </c>
      <c r="N191" s="5">
        <v>2</v>
      </c>
      <c r="O191" s="5">
        <v>2</v>
      </c>
      <c r="P191" s="5">
        <v>1</v>
      </c>
      <c r="Q191" s="5">
        <v>1</v>
      </c>
      <c r="R191" s="5">
        <v>2</v>
      </c>
      <c r="S191" s="5">
        <v>2</v>
      </c>
      <c r="T191" s="5">
        <v>2</v>
      </c>
      <c r="U191" s="5">
        <v>2</v>
      </c>
      <c r="V191" s="5">
        <v>2</v>
      </c>
      <c r="W191" s="5" t="s">
        <v>427</v>
      </c>
      <c r="X191" s="5">
        <v>13.7</v>
      </c>
      <c r="Y191" s="5">
        <v>42.3</v>
      </c>
      <c r="Z191" s="5"/>
      <c r="AA191" s="5">
        <v>38.15</v>
      </c>
      <c r="AB191" s="5">
        <v>5</v>
      </c>
      <c r="AC191" s="5">
        <v>235</v>
      </c>
      <c r="AD191" s="5">
        <v>156.6</v>
      </c>
      <c r="AE191" s="5">
        <v>61</v>
      </c>
      <c r="AF191" s="5">
        <v>17.399999999999999</v>
      </c>
      <c r="AG191" s="5">
        <v>87</v>
      </c>
      <c r="AH191" s="5">
        <v>153</v>
      </c>
      <c r="AI191" s="5" t="s">
        <v>428</v>
      </c>
      <c r="AJ191" s="5"/>
      <c r="AK191" s="5" t="s">
        <v>429</v>
      </c>
      <c r="AL191" s="5" t="s">
        <v>430</v>
      </c>
      <c r="AM191" s="5"/>
      <c r="AN191" s="5"/>
      <c r="AO191" s="5"/>
      <c r="AP191" s="5"/>
      <c r="AQ191" s="5"/>
      <c r="AR191" s="5"/>
      <c r="AS191" s="5"/>
      <c r="AT191" s="5">
        <v>1</v>
      </c>
      <c r="AU191" s="5">
        <v>2</v>
      </c>
      <c r="AV191" s="5">
        <v>2</v>
      </c>
      <c r="AW191" s="5">
        <v>4</v>
      </c>
      <c r="AX191" s="5">
        <v>8</v>
      </c>
      <c r="AY191" s="5">
        <v>2</v>
      </c>
      <c r="AZ191" s="5">
        <v>2</v>
      </c>
      <c r="BA191" s="5">
        <v>3</v>
      </c>
      <c r="BB191" s="5">
        <v>2</v>
      </c>
      <c r="BC191" s="5">
        <v>60</v>
      </c>
      <c r="BD191" s="5">
        <v>1</v>
      </c>
      <c r="BE191" s="5">
        <v>2</v>
      </c>
      <c r="BF191" s="5">
        <v>2</v>
      </c>
      <c r="BG191" s="5">
        <v>2</v>
      </c>
      <c r="BH191" s="5">
        <v>1</v>
      </c>
      <c r="BI191" s="5">
        <v>1</v>
      </c>
      <c r="BJ191" s="5">
        <v>1</v>
      </c>
      <c r="BK191" s="5">
        <v>1</v>
      </c>
      <c r="BL191" s="5">
        <v>2</v>
      </c>
      <c r="BM191" s="5">
        <v>2</v>
      </c>
      <c r="BN191" s="5">
        <v>2</v>
      </c>
      <c r="BO191" s="5">
        <v>1</v>
      </c>
      <c r="BP191" s="5">
        <v>1</v>
      </c>
      <c r="BQ191" s="5">
        <v>1</v>
      </c>
      <c r="BR191" s="5">
        <v>20</v>
      </c>
      <c r="BS191" s="5">
        <v>1</v>
      </c>
      <c r="BT191" s="5">
        <v>1</v>
      </c>
      <c r="BU191" s="5"/>
    </row>
    <row r="192" spans="1:73" x14ac:dyDescent="0.25">
      <c r="A192" s="5" t="s">
        <v>72</v>
      </c>
      <c r="B192" s="5">
        <v>1</v>
      </c>
      <c r="C192" s="5">
        <v>1.8210200000000001</v>
      </c>
      <c r="D192" s="6">
        <v>230000000000</v>
      </c>
      <c r="E192" s="5">
        <v>62</v>
      </c>
      <c r="F192" s="5">
        <v>1</v>
      </c>
      <c r="G192" s="7">
        <v>45243</v>
      </c>
      <c r="H192" s="5"/>
      <c r="I192" s="7">
        <v>45243</v>
      </c>
      <c r="J192" s="7">
        <v>45245</v>
      </c>
      <c r="K192" s="5">
        <v>9158221010</v>
      </c>
      <c r="L192" s="5"/>
      <c r="M192" s="5">
        <v>2</v>
      </c>
      <c r="N192" s="5">
        <v>2</v>
      </c>
      <c r="O192" s="5">
        <v>1</v>
      </c>
      <c r="P192" s="5">
        <v>2</v>
      </c>
      <c r="Q192" s="5">
        <v>2</v>
      </c>
      <c r="R192" s="5">
        <v>2</v>
      </c>
      <c r="S192" s="5">
        <v>2</v>
      </c>
      <c r="T192" s="5">
        <v>2</v>
      </c>
      <c r="U192" s="5">
        <v>2</v>
      </c>
      <c r="V192" s="5">
        <v>2</v>
      </c>
      <c r="W192" s="5"/>
      <c r="X192" s="5">
        <v>13.4</v>
      </c>
      <c r="Y192" s="5"/>
      <c r="Z192" s="5"/>
      <c r="AA192" s="5">
        <v>138</v>
      </c>
      <c r="AB192" s="5">
        <v>7.2</v>
      </c>
      <c r="AC192" s="5"/>
      <c r="AD192" s="5"/>
      <c r="AE192" s="5"/>
      <c r="AF192" s="5"/>
      <c r="AG192" s="5"/>
      <c r="AH192" s="5">
        <v>148</v>
      </c>
      <c r="AI192" s="5"/>
      <c r="AJ192" s="5"/>
      <c r="AK192" s="5" t="s">
        <v>73</v>
      </c>
      <c r="AL192" s="5"/>
      <c r="AM192" s="5"/>
      <c r="AN192" s="5"/>
      <c r="AO192" s="5"/>
      <c r="AP192" s="5"/>
      <c r="AQ192" s="5"/>
      <c r="AR192" s="5"/>
      <c r="AS192" s="5"/>
      <c r="AT192" s="5">
        <v>1</v>
      </c>
      <c r="AU192" s="5">
        <v>1</v>
      </c>
      <c r="AV192" s="5">
        <v>2</v>
      </c>
      <c r="AW192" s="5">
        <v>4</v>
      </c>
      <c r="AX192" s="5">
        <v>8</v>
      </c>
      <c r="AY192" s="5">
        <v>2</v>
      </c>
      <c r="AZ192" s="5">
        <v>2</v>
      </c>
      <c r="BA192" s="5">
        <v>4</v>
      </c>
      <c r="BB192" s="5">
        <v>2</v>
      </c>
      <c r="BC192" s="5">
        <v>60</v>
      </c>
      <c r="BD192" s="5">
        <v>1</v>
      </c>
      <c r="BE192" s="5">
        <v>2</v>
      </c>
      <c r="BF192" s="5">
        <v>2</v>
      </c>
      <c r="BG192" s="5">
        <v>2</v>
      </c>
      <c r="BH192" s="5">
        <v>1</v>
      </c>
      <c r="BI192" s="5">
        <v>1</v>
      </c>
      <c r="BJ192" s="5">
        <v>1</v>
      </c>
      <c r="BK192" s="5">
        <v>0</v>
      </c>
      <c r="BL192" s="5">
        <v>2</v>
      </c>
      <c r="BM192" s="5">
        <v>2</v>
      </c>
      <c r="BN192" s="5">
        <v>2</v>
      </c>
      <c r="BO192" s="5">
        <v>1</v>
      </c>
      <c r="BP192" s="5">
        <v>1</v>
      </c>
      <c r="BQ192" s="5">
        <v>1</v>
      </c>
      <c r="BR192" s="5">
        <v>19</v>
      </c>
      <c r="BS192" s="5">
        <v>1</v>
      </c>
      <c r="BT192" s="5">
        <v>0</v>
      </c>
      <c r="BU192" s="5" t="s">
        <v>74</v>
      </c>
    </row>
    <row r="193" spans="1:73" x14ac:dyDescent="0.25">
      <c r="A193" s="5" t="s">
        <v>261</v>
      </c>
      <c r="B193" s="5">
        <v>1</v>
      </c>
      <c r="C193" s="5">
        <v>1.4449700000000001</v>
      </c>
      <c r="D193" s="6">
        <v>210603906</v>
      </c>
      <c r="E193" s="5">
        <v>71</v>
      </c>
      <c r="F193" s="5">
        <v>2</v>
      </c>
      <c r="G193" s="7">
        <v>45167</v>
      </c>
      <c r="H193" s="11">
        <v>0.54166666666666663</v>
      </c>
      <c r="I193" s="7">
        <v>45168</v>
      </c>
      <c r="J193" s="7">
        <v>45170</v>
      </c>
      <c r="K193" s="5">
        <v>9922551013</v>
      </c>
      <c r="L193" s="5"/>
      <c r="M193" s="5">
        <v>9</v>
      </c>
      <c r="N193" s="5">
        <v>1</v>
      </c>
      <c r="O193" s="5">
        <v>1</v>
      </c>
      <c r="P193" s="5">
        <v>2</v>
      </c>
      <c r="Q193" s="5">
        <v>2</v>
      </c>
      <c r="R193" s="5">
        <v>1</v>
      </c>
      <c r="S193" s="5">
        <v>2</v>
      </c>
      <c r="T193" s="5">
        <v>2</v>
      </c>
      <c r="U193" s="5">
        <v>2</v>
      </c>
      <c r="V193" s="5">
        <v>2</v>
      </c>
      <c r="W193" s="5" t="s">
        <v>262</v>
      </c>
      <c r="X193" s="5">
        <v>10.5</v>
      </c>
      <c r="Y193" s="5">
        <v>32.6</v>
      </c>
      <c r="Z193" s="5">
        <v>88.2</v>
      </c>
      <c r="AA193" s="5">
        <v>7.17</v>
      </c>
      <c r="AB193" s="5">
        <v>5.6</v>
      </c>
      <c r="AC193" s="5">
        <v>182</v>
      </c>
      <c r="AD193" s="5">
        <v>113.4</v>
      </c>
      <c r="AE193" s="5">
        <v>58</v>
      </c>
      <c r="AF193" s="5">
        <v>10.6</v>
      </c>
      <c r="AG193" s="5">
        <v>53</v>
      </c>
      <c r="AH193" s="5">
        <v>2000</v>
      </c>
      <c r="AI193" s="5"/>
      <c r="AJ193" s="5"/>
      <c r="AK193" s="5" t="s">
        <v>263</v>
      </c>
      <c r="AL193" s="5" t="s">
        <v>264</v>
      </c>
      <c r="AM193" s="5"/>
      <c r="AN193" s="5"/>
      <c r="AO193" s="5"/>
      <c r="AP193" s="5"/>
      <c r="AQ193" s="5"/>
      <c r="AR193" s="5"/>
      <c r="AS193" s="5"/>
      <c r="AT193" s="5">
        <v>1</v>
      </c>
      <c r="AU193" s="5">
        <v>2</v>
      </c>
      <c r="AV193" s="5">
        <v>2</v>
      </c>
      <c r="AW193" s="5"/>
      <c r="AX193" s="5"/>
      <c r="AY193" s="5"/>
      <c r="AZ193" s="5"/>
      <c r="BA193" s="5">
        <v>4</v>
      </c>
      <c r="BB193" s="5">
        <v>2</v>
      </c>
      <c r="BC193" s="5">
        <v>40</v>
      </c>
      <c r="BD193" s="5">
        <v>1</v>
      </c>
      <c r="BE193" s="5">
        <v>1</v>
      </c>
      <c r="BF193" s="5">
        <v>2</v>
      </c>
      <c r="BG193" s="5">
        <v>2</v>
      </c>
      <c r="BH193" s="5">
        <v>1</v>
      </c>
      <c r="BI193" s="5">
        <v>1</v>
      </c>
      <c r="BJ193" s="5">
        <v>1</v>
      </c>
      <c r="BK193" s="5">
        <v>1</v>
      </c>
      <c r="BL193" s="5">
        <v>1</v>
      </c>
      <c r="BM193" s="5">
        <v>2</v>
      </c>
      <c r="BN193" s="5">
        <v>2</v>
      </c>
      <c r="BO193" s="5">
        <v>1</v>
      </c>
      <c r="BP193" s="5">
        <v>1</v>
      </c>
      <c r="BQ193" s="5">
        <v>1</v>
      </c>
      <c r="BR193" s="5">
        <v>18</v>
      </c>
      <c r="BS193" s="5">
        <v>1</v>
      </c>
      <c r="BT193" s="5">
        <v>1</v>
      </c>
      <c r="BU193" s="5"/>
    </row>
    <row r="194" spans="1:73" x14ac:dyDescent="0.25">
      <c r="A194" s="5" t="s">
        <v>433</v>
      </c>
      <c r="B194" s="5">
        <v>1</v>
      </c>
      <c r="C194" s="5">
        <v>0.92019600000000001</v>
      </c>
      <c r="D194" s="6">
        <v>24000000000</v>
      </c>
      <c r="E194" s="5">
        <v>42</v>
      </c>
      <c r="F194" s="5">
        <v>1</v>
      </c>
      <c r="G194" s="7">
        <v>45324</v>
      </c>
      <c r="H194" s="20">
        <v>0.95833333333333337</v>
      </c>
      <c r="I194" s="7">
        <v>45325</v>
      </c>
      <c r="J194" s="7"/>
      <c r="K194" s="5">
        <v>9021456694</v>
      </c>
      <c r="L194" s="5"/>
      <c r="M194" s="5">
        <v>3</v>
      </c>
      <c r="N194" s="5">
        <v>1</v>
      </c>
      <c r="O194" s="5">
        <v>2</v>
      </c>
      <c r="P194" s="5">
        <v>1</v>
      </c>
      <c r="Q194" s="5">
        <v>2</v>
      </c>
      <c r="R194" s="5">
        <v>1</v>
      </c>
      <c r="S194" s="5">
        <v>2</v>
      </c>
      <c r="T194" s="5">
        <v>2</v>
      </c>
      <c r="U194" s="5">
        <v>2</v>
      </c>
      <c r="V194" s="5">
        <v>2</v>
      </c>
      <c r="W194" s="5"/>
      <c r="X194" s="5"/>
      <c r="Y194" s="5"/>
      <c r="Z194" s="5"/>
      <c r="AA194" s="5"/>
      <c r="AB194" s="5"/>
      <c r="AC194" s="5"/>
      <c r="AD194" s="5"/>
      <c r="AE194" s="5"/>
      <c r="AF194" s="5"/>
      <c r="AG194" s="5"/>
      <c r="AH194" s="5"/>
      <c r="AI194" s="5"/>
      <c r="AJ194" s="5"/>
      <c r="AK194" s="5" t="s">
        <v>434</v>
      </c>
      <c r="AL194" s="5" t="s">
        <v>435</v>
      </c>
      <c r="AM194" s="5"/>
      <c r="AN194" s="5"/>
      <c r="AO194" s="5"/>
      <c r="AP194" s="5"/>
      <c r="AQ194" s="5"/>
      <c r="AR194" s="5"/>
      <c r="AS194" s="5"/>
      <c r="AT194" s="5">
        <v>1</v>
      </c>
      <c r="AU194" s="5">
        <v>1</v>
      </c>
      <c r="AV194" s="5">
        <v>2</v>
      </c>
      <c r="AW194" s="5">
        <v>4</v>
      </c>
      <c r="AX194" s="5">
        <v>8</v>
      </c>
      <c r="AY194" s="5">
        <v>2</v>
      </c>
      <c r="AZ194" s="5">
        <v>2</v>
      </c>
      <c r="BA194" s="5">
        <v>4</v>
      </c>
      <c r="BB194" s="5">
        <v>2</v>
      </c>
      <c r="BC194" s="5">
        <v>15</v>
      </c>
      <c r="BD194" s="5">
        <v>1</v>
      </c>
      <c r="BE194" s="5">
        <v>2</v>
      </c>
      <c r="BF194" s="5">
        <v>2</v>
      </c>
      <c r="BG194" s="5">
        <v>2</v>
      </c>
      <c r="BH194" s="5">
        <v>1</v>
      </c>
      <c r="BI194" s="5">
        <v>1</v>
      </c>
      <c r="BJ194" s="5">
        <v>1</v>
      </c>
      <c r="BK194" s="5">
        <v>1</v>
      </c>
      <c r="BL194" s="5">
        <v>2</v>
      </c>
      <c r="BM194" s="5">
        <v>2</v>
      </c>
      <c r="BN194" s="5">
        <v>2</v>
      </c>
      <c r="BO194" s="5">
        <v>1</v>
      </c>
      <c r="BP194" s="5">
        <v>1</v>
      </c>
      <c r="BQ194" s="5">
        <v>1</v>
      </c>
      <c r="BR194" s="5">
        <v>20</v>
      </c>
      <c r="BS194" s="5">
        <v>1</v>
      </c>
      <c r="BT194" s="5">
        <v>1</v>
      </c>
      <c r="BU194" s="5"/>
    </row>
    <row r="195" spans="1:73" x14ac:dyDescent="0.25">
      <c r="A195" s="5" t="s">
        <v>439</v>
      </c>
      <c r="B195" s="5">
        <v>1</v>
      </c>
      <c r="C195" s="5">
        <v>0.95894199999999996</v>
      </c>
      <c r="D195" s="6">
        <v>130403752</v>
      </c>
      <c r="E195" s="5">
        <v>75</v>
      </c>
      <c r="F195" s="5">
        <v>1</v>
      </c>
      <c r="G195" s="7">
        <v>45125</v>
      </c>
      <c r="H195" s="11">
        <v>0.66666666666666663</v>
      </c>
      <c r="I195" s="7">
        <v>45125</v>
      </c>
      <c r="J195" s="7">
        <v>45132</v>
      </c>
      <c r="K195" s="5">
        <v>8421492004</v>
      </c>
      <c r="L195" s="5"/>
      <c r="M195" s="5">
        <v>6</v>
      </c>
      <c r="N195" s="5">
        <v>2</v>
      </c>
      <c r="O195" s="5">
        <v>2</v>
      </c>
      <c r="P195" s="5">
        <v>1</v>
      </c>
      <c r="Q195" s="5">
        <v>1</v>
      </c>
      <c r="R195" s="5">
        <v>1</v>
      </c>
      <c r="S195" s="5">
        <v>2</v>
      </c>
      <c r="T195" s="5">
        <v>2</v>
      </c>
      <c r="U195" s="5">
        <v>2</v>
      </c>
      <c r="V195" s="5">
        <v>2</v>
      </c>
      <c r="W195" s="5" t="s">
        <v>440</v>
      </c>
      <c r="X195" s="5">
        <v>13</v>
      </c>
      <c r="Y195" s="5">
        <v>39.6</v>
      </c>
      <c r="Z195" s="5">
        <v>89.2</v>
      </c>
      <c r="AA195" s="5">
        <v>39.6</v>
      </c>
      <c r="AB195" s="5">
        <v>5.7</v>
      </c>
      <c r="AC195" s="5"/>
      <c r="AD195" s="5"/>
      <c r="AE195" s="5"/>
      <c r="AF195" s="5"/>
      <c r="AG195" s="5"/>
      <c r="AH195" s="5">
        <v>401</v>
      </c>
      <c r="AI195" s="5" t="s">
        <v>441</v>
      </c>
      <c r="AJ195" s="5"/>
      <c r="AK195" s="5" t="s">
        <v>442</v>
      </c>
      <c r="AL195" s="5" t="s">
        <v>443</v>
      </c>
      <c r="AM195" s="5"/>
      <c r="AN195" s="5"/>
      <c r="AO195" s="5"/>
      <c r="AP195" s="5"/>
      <c r="AQ195" s="5"/>
      <c r="AR195" s="5"/>
      <c r="AS195" s="5"/>
      <c r="AT195" s="5">
        <v>1</v>
      </c>
      <c r="AU195" s="5">
        <v>2</v>
      </c>
      <c r="AV195" s="5">
        <v>2</v>
      </c>
      <c r="AW195" s="5">
        <v>4</v>
      </c>
      <c r="AX195" s="5">
        <v>2</v>
      </c>
      <c r="AY195" s="5">
        <v>2</v>
      </c>
      <c r="AZ195" s="5">
        <v>2</v>
      </c>
      <c r="BA195" s="5">
        <v>4</v>
      </c>
      <c r="BB195" s="5">
        <v>2</v>
      </c>
      <c r="BC195" s="5">
        <v>20</v>
      </c>
      <c r="BD195" s="5">
        <v>1</v>
      </c>
      <c r="BE195" s="5">
        <v>2</v>
      </c>
      <c r="BF195" s="5">
        <v>2</v>
      </c>
      <c r="BG195" s="5">
        <v>2</v>
      </c>
      <c r="BH195" s="5">
        <v>1</v>
      </c>
      <c r="BI195" s="5">
        <v>1</v>
      </c>
      <c r="BJ195" s="5">
        <v>1</v>
      </c>
      <c r="BK195" s="5">
        <v>1</v>
      </c>
      <c r="BL195" s="5">
        <v>2</v>
      </c>
      <c r="BM195" s="5">
        <v>2</v>
      </c>
      <c r="BN195" s="5">
        <v>2</v>
      </c>
      <c r="BO195" s="5">
        <v>1</v>
      </c>
      <c r="BP195" s="5">
        <v>1</v>
      </c>
      <c r="BQ195" s="5">
        <v>1</v>
      </c>
      <c r="BR195" s="5">
        <v>20</v>
      </c>
      <c r="BS195" s="5">
        <v>1</v>
      </c>
      <c r="BT195" s="5">
        <v>1</v>
      </c>
      <c r="BU195" s="5" t="s">
        <v>444</v>
      </c>
    </row>
    <row r="196" spans="1:73" x14ac:dyDescent="0.25">
      <c r="A196" s="5" t="s">
        <v>447</v>
      </c>
      <c r="B196" s="5">
        <v>1</v>
      </c>
      <c r="C196" s="5">
        <v>1.6671800000000001</v>
      </c>
      <c r="D196" s="6"/>
      <c r="E196" s="5">
        <v>40</v>
      </c>
      <c r="F196" s="5">
        <v>1</v>
      </c>
      <c r="G196" s="7">
        <v>45326</v>
      </c>
      <c r="H196" s="20">
        <v>0.75</v>
      </c>
      <c r="I196" s="7">
        <v>45327</v>
      </c>
      <c r="J196" s="7"/>
      <c r="K196" s="5">
        <v>8007484789</v>
      </c>
      <c r="L196" s="5"/>
      <c r="M196" s="5">
        <v>3</v>
      </c>
      <c r="N196" s="5">
        <v>1</v>
      </c>
      <c r="O196" s="5">
        <v>2</v>
      </c>
      <c r="P196" s="5">
        <v>2</v>
      </c>
      <c r="Q196" s="5">
        <v>2</v>
      </c>
      <c r="R196" s="5">
        <v>2</v>
      </c>
      <c r="S196" s="5">
        <v>2</v>
      </c>
      <c r="T196" s="5">
        <v>2</v>
      </c>
      <c r="U196" s="5">
        <v>2</v>
      </c>
      <c r="V196" s="5">
        <v>2</v>
      </c>
      <c r="W196" s="5"/>
      <c r="X196" s="5">
        <v>17.100000000000001</v>
      </c>
      <c r="Y196" s="5">
        <v>50.5</v>
      </c>
      <c r="Z196" s="5">
        <v>79</v>
      </c>
      <c r="AA196" s="5">
        <v>30.8</v>
      </c>
      <c r="AB196" s="5">
        <v>6.7</v>
      </c>
      <c r="AC196" s="5"/>
      <c r="AD196" s="5"/>
      <c r="AE196" s="5"/>
      <c r="AF196" s="5"/>
      <c r="AG196" s="5"/>
      <c r="AH196" s="5">
        <v>225</v>
      </c>
      <c r="AI196" s="5"/>
      <c r="AJ196" s="5"/>
      <c r="AK196" s="5" t="s">
        <v>448</v>
      </c>
      <c r="AL196" s="5" t="s">
        <v>449</v>
      </c>
      <c r="AM196" s="5"/>
      <c r="AN196" s="5"/>
      <c r="AO196" s="5"/>
      <c r="AP196" s="5"/>
      <c r="AQ196" s="5"/>
      <c r="AR196" s="5"/>
      <c r="AS196" s="5"/>
      <c r="AT196" s="5">
        <v>1</v>
      </c>
      <c r="AU196" s="5">
        <v>2</v>
      </c>
      <c r="AV196" s="5">
        <v>1</v>
      </c>
      <c r="AW196" s="5">
        <v>1</v>
      </c>
      <c r="AX196" s="5"/>
      <c r="AY196" s="5"/>
      <c r="AZ196" s="5"/>
      <c r="BA196" s="5">
        <v>4</v>
      </c>
      <c r="BB196" s="5">
        <v>2</v>
      </c>
      <c r="BC196" s="5">
        <v>50</v>
      </c>
      <c r="BD196" s="5">
        <v>1</v>
      </c>
      <c r="BE196" s="5">
        <v>2</v>
      </c>
      <c r="BF196" s="5">
        <v>2</v>
      </c>
      <c r="BG196" s="5">
        <v>2</v>
      </c>
      <c r="BH196" s="5">
        <v>1</v>
      </c>
      <c r="BI196" s="5">
        <v>1</v>
      </c>
      <c r="BJ196" s="5">
        <v>1</v>
      </c>
      <c r="BK196" s="5">
        <v>1</v>
      </c>
      <c r="BL196" s="5">
        <v>2</v>
      </c>
      <c r="BM196" s="5">
        <v>2</v>
      </c>
      <c r="BN196" s="5">
        <v>2</v>
      </c>
      <c r="BO196" s="5">
        <v>1</v>
      </c>
      <c r="BP196" s="5">
        <v>1</v>
      </c>
      <c r="BQ196" s="5">
        <v>1</v>
      </c>
      <c r="BR196" s="5">
        <v>20</v>
      </c>
      <c r="BS196" s="5">
        <v>1</v>
      </c>
      <c r="BT196" s="5">
        <v>1</v>
      </c>
      <c r="BU196" s="5"/>
    </row>
    <row r="197" spans="1:73" x14ac:dyDescent="0.25">
      <c r="A197" s="12" t="s">
        <v>452</v>
      </c>
      <c r="B197" s="5">
        <v>1</v>
      </c>
      <c r="C197" s="12">
        <v>2.3247100000000001</v>
      </c>
      <c r="D197" s="13">
        <v>141002331</v>
      </c>
      <c r="E197" s="12">
        <v>43</v>
      </c>
      <c r="F197" s="12">
        <v>2</v>
      </c>
      <c r="G197" s="14">
        <v>45003</v>
      </c>
      <c r="H197" s="16">
        <v>0.29166666666666669</v>
      </c>
      <c r="I197" s="14">
        <v>45003</v>
      </c>
      <c r="J197" s="14">
        <v>45006</v>
      </c>
      <c r="K197" s="12">
        <v>8999976013</v>
      </c>
      <c r="L197" s="12"/>
      <c r="M197" s="12">
        <v>3</v>
      </c>
      <c r="N197" s="12">
        <v>2</v>
      </c>
      <c r="O197" s="12">
        <v>2</v>
      </c>
      <c r="P197" s="12">
        <v>2</v>
      </c>
      <c r="Q197" s="12">
        <v>2</v>
      </c>
      <c r="R197" s="12">
        <v>2</v>
      </c>
      <c r="S197" s="12">
        <v>2</v>
      </c>
      <c r="T197" s="12">
        <v>2</v>
      </c>
      <c r="U197" s="12">
        <v>2</v>
      </c>
      <c r="V197" s="12">
        <v>2</v>
      </c>
      <c r="W197" s="12" t="s">
        <v>453</v>
      </c>
      <c r="X197" s="12">
        <v>7.7</v>
      </c>
      <c r="Y197" s="12">
        <v>26.2</v>
      </c>
      <c r="Z197" s="12"/>
      <c r="AA197" s="12">
        <v>8.82</v>
      </c>
      <c r="AB197" s="12">
        <v>5.0999999999999996</v>
      </c>
      <c r="AC197" s="12"/>
      <c r="AD197" s="12"/>
      <c r="AE197" s="12"/>
      <c r="AF197" s="12"/>
      <c r="AG197" s="12"/>
      <c r="AH197" s="12">
        <v>183</v>
      </c>
      <c r="AI197" s="12" t="s">
        <v>454</v>
      </c>
      <c r="AJ197" s="12"/>
      <c r="AK197" s="12" t="s">
        <v>455</v>
      </c>
      <c r="AL197" s="12" t="s">
        <v>456</v>
      </c>
      <c r="AM197" s="12"/>
      <c r="AN197" s="12"/>
      <c r="AO197" s="12"/>
      <c r="AP197" s="12"/>
      <c r="AQ197" s="12"/>
      <c r="AR197" s="12"/>
      <c r="AS197" s="12"/>
      <c r="AT197" s="12">
        <v>1</v>
      </c>
      <c r="AU197" s="12">
        <v>1</v>
      </c>
      <c r="AV197" s="12">
        <v>2</v>
      </c>
      <c r="AW197" s="12"/>
      <c r="AX197" s="12"/>
      <c r="AY197" s="12"/>
      <c r="AZ197" s="12"/>
      <c r="BA197" s="12">
        <v>4</v>
      </c>
      <c r="BB197" s="5">
        <v>2</v>
      </c>
      <c r="BC197" s="12">
        <v>65</v>
      </c>
      <c r="BD197" s="12">
        <v>1</v>
      </c>
      <c r="BE197" s="12">
        <v>2</v>
      </c>
      <c r="BF197" s="12">
        <v>2</v>
      </c>
      <c r="BG197" s="12">
        <v>2</v>
      </c>
      <c r="BH197" s="12">
        <v>1</v>
      </c>
      <c r="BI197" s="12">
        <v>1</v>
      </c>
      <c r="BJ197" s="12">
        <v>1</v>
      </c>
      <c r="BK197" s="12">
        <v>1</v>
      </c>
      <c r="BL197" s="12">
        <v>2</v>
      </c>
      <c r="BM197" s="12">
        <v>2</v>
      </c>
      <c r="BN197" s="12">
        <v>2</v>
      </c>
      <c r="BO197" s="12">
        <v>1</v>
      </c>
      <c r="BP197" s="12">
        <v>1</v>
      </c>
      <c r="BQ197" s="12">
        <v>1</v>
      </c>
      <c r="BR197" s="12">
        <v>20</v>
      </c>
      <c r="BS197" s="12">
        <v>1</v>
      </c>
      <c r="BT197" s="12">
        <v>1</v>
      </c>
      <c r="BU197" s="12"/>
    </row>
    <row r="198" spans="1:73" x14ac:dyDescent="0.25">
      <c r="A198" s="5" t="s">
        <v>658</v>
      </c>
      <c r="B198" s="5">
        <v>0</v>
      </c>
      <c r="C198" s="5">
        <v>1.1429800000000001</v>
      </c>
      <c r="D198" s="6">
        <v>240000000000</v>
      </c>
      <c r="E198" s="5">
        <v>55</v>
      </c>
      <c r="F198" s="5">
        <v>2</v>
      </c>
      <c r="G198" s="7">
        <v>45306</v>
      </c>
      <c r="H198" s="11">
        <v>0.79166666666666663</v>
      </c>
      <c r="I198" s="7">
        <v>45306</v>
      </c>
      <c r="J198" s="7"/>
      <c r="K198" s="5">
        <v>7758841270</v>
      </c>
      <c r="L198" s="5"/>
      <c r="M198" s="5">
        <v>4</v>
      </c>
      <c r="N198" s="5">
        <v>2</v>
      </c>
      <c r="O198" s="5">
        <v>1</v>
      </c>
      <c r="P198" s="5">
        <v>2</v>
      </c>
      <c r="Q198" s="5">
        <v>2</v>
      </c>
      <c r="R198" s="5">
        <v>2</v>
      </c>
      <c r="S198" s="5">
        <v>2</v>
      </c>
      <c r="T198" s="5">
        <v>2</v>
      </c>
      <c r="U198" s="5">
        <v>2</v>
      </c>
      <c r="V198" s="5">
        <v>2</v>
      </c>
      <c r="W198" s="5" t="s">
        <v>659</v>
      </c>
      <c r="X198" s="5"/>
      <c r="Y198" s="5"/>
      <c r="Z198" s="5"/>
      <c r="AA198" s="5"/>
      <c r="AB198" s="5"/>
      <c r="AC198" s="5"/>
      <c r="AD198" s="5"/>
      <c r="AE198" s="5"/>
      <c r="AF198" s="5"/>
      <c r="AG198" s="5"/>
      <c r="AH198" s="5"/>
      <c r="AI198" s="5"/>
      <c r="AJ198" s="5"/>
      <c r="AK198" s="5" t="s">
        <v>660</v>
      </c>
      <c r="AL198" s="5" t="s">
        <v>661</v>
      </c>
      <c r="AM198" s="5"/>
      <c r="AN198" s="5"/>
      <c r="AO198" s="5"/>
      <c r="AP198" s="5"/>
      <c r="AQ198" s="5"/>
      <c r="AR198" s="5"/>
      <c r="AS198" s="5"/>
      <c r="AT198" s="5">
        <v>1</v>
      </c>
      <c r="AU198" s="5">
        <v>2</v>
      </c>
      <c r="AV198" s="5">
        <v>1</v>
      </c>
      <c r="AW198" s="5">
        <v>1</v>
      </c>
      <c r="AX198" s="5">
        <v>4</v>
      </c>
      <c r="AY198" s="5">
        <v>2</v>
      </c>
      <c r="AZ198" s="5">
        <v>2</v>
      </c>
      <c r="BA198" s="5">
        <v>4</v>
      </c>
      <c r="BB198" s="5">
        <v>2</v>
      </c>
      <c r="BC198" s="5">
        <v>30</v>
      </c>
      <c r="BD198" s="5"/>
      <c r="BE198" s="5"/>
      <c r="BF198" s="5"/>
      <c r="BG198" s="5"/>
      <c r="BH198" s="5"/>
      <c r="BI198" s="5"/>
      <c r="BJ198" s="5"/>
      <c r="BK198" s="5"/>
      <c r="BL198" s="5"/>
      <c r="BM198" s="5"/>
      <c r="BN198" s="5"/>
      <c r="BO198" s="5"/>
      <c r="BP198" s="5"/>
      <c r="BQ198" s="5"/>
      <c r="BR198" s="5"/>
      <c r="BS198" s="5"/>
      <c r="BT198" s="5"/>
      <c r="BU198" s="5" t="s">
        <v>594</v>
      </c>
    </row>
    <row r="199" spans="1:73" x14ac:dyDescent="0.25">
      <c r="A199" s="5" t="s">
        <v>666</v>
      </c>
      <c r="B199" s="5">
        <v>0</v>
      </c>
      <c r="C199" s="5">
        <v>1.2204699999999999</v>
      </c>
      <c r="D199" s="6">
        <v>230602030</v>
      </c>
      <c r="E199" s="5">
        <v>44</v>
      </c>
      <c r="F199" s="5">
        <v>2</v>
      </c>
      <c r="G199" s="7"/>
      <c r="H199" s="5"/>
      <c r="I199" s="7">
        <v>45085</v>
      </c>
      <c r="J199" s="7">
        <v>45090</v>
      </c>
      <c r="K199" s="5">
        <v>9822050659</v>
      </c>
      <c r="L199" s="5"/>
      <c r="M199" s="5">
        <v>1</v>
      </c>
      <c r="N199" s="5">
        <v>1</v>
      </c>
      <c r="O199" s="5">
        <v>1</v>
      </c>
      <c r="P199" s="5">
        <v>2</v>
      </c>
      <c r="Q199" s="5">
        <v>2</v>
      </c>
      <c r="R199" s="5">
        <v>2</v>
      </c>
      <c r="S199" s="5">
        <v>2</v>
      </c>
      <c r="T199" s="5">
        <v>2</v>
      </c>
      <c r="U199" s="5">
        <v>2</v>
      </c>
      <c r="V199" s="5">
        <v>2</v>
      </c>
      <c r="W199" s="5" t="s">
        <v>667</v>
      </c>
      <c r="X199" s="5">
        <v>12.5</v>
      </c>
      <c r="Y199" s="5">
        <v>37.5</v>
      </c>
      <c r="Z199" s="5"/>
      <c r="AA199" s="5">
        <v>34.270000000000003</v>
      </c>
      <c r="AB199" s="5">
        <v>5.8</v>
      </c>
      <c r="AC199" s="5">
        <v>175</v>
      </c>
      <c r="AD199" s="5">
        <v>116.2</v>
      </c>
      <c r="AE199" s="5">
        <v>25</v>
      </c>
      <c r="AF199" s="5">
        <v>29.8</v>
      </c>
      <c r="AG199" s="5">
        <v>149</v>
      </c>
      <c r="AH199" s="5">
        <v>173</v>
      </c>
      <c r="AI199" s="5" t="s">
        <v>668</v>
      </c>
      <c r="AJ199" s="5"/>
      <c r="AK199" s="5" t="s">
        <v>669</v>
      </c>
      <c r="AL199" s="5" t="s">
        <v>670</v>
      </c>
      <c r="AM199" s="5"/>
      <c r="AN199" s="5"/>
      <c r="AO199" s="5"/>
      <c r="AP199" s="5"/>
      <c r="AQ199" s="5"/>
      <c r="AR199" s="5"/>
      <c r="AS199" s="5"/>
      <c r="AT199" s="5">
        <v>1</v>
      </c>
      <c r="AU199" s="5">
        <v>2</v>
      </c>
      <c r="AV199" s="5">
        <v>1</v>
      </c>
      <c r="AW199" s="5">
        <v>2</v>
      </c>
      <c r="AX199" s="5"/>
      <c r="AY199" s="5"/>
      <c r="AZ199" s="5"/>
      <c r="BA199" s="5">
        <v>4</v>
      </c>
      <c r="BB199" s="5">
        <v>2</v>
      </c>
      <c r="BC199" s="5">
        <v>40</v>
      </c>
      <c r="BD199" s="5"/>
      <c r="BE199" s="5"/>
      <c r="BF199" s="5"/>
      <c r="BG199" s="5"/>
      <c r="BH199" s="5"/>
      <c r="BI199" s="5"/>
      <c r="BJ199" s="5"/>
      <c r="BK199" s="5"/>
      <c r="BL199" s="5"/>
      <c r="BM199" s="5"/>
      <c r="BN199" s="5"/>
      <c r="BO199" s="5"/>
      <c r="BP199" s="5"/>
      <c r="BQ199" s="5"/>
      <c r="BR199" s="5"/>
      <c r="BS199" s="5"/>
      <c r="BT199" s="5"/>
      <c r="BU199" s="5" t="s">
        <v>594</v>
      </c>
    </row>
    <row r="200" spans="1:73" x14ac:dyDescent="0.25">
      <c r="A200" s="5" t="s">
        <v>671</v>
      </c>
      <c r="B200" s="5">
        <v>0</v>
      </c>
      <c r="C200" s="5">
        <v>1.74353</v>
      </c>
      <c r="D200" s="6">
        <v>230403674</v>
      </c>
      <c r="E200" s="5">
        <v>92</v>
      </c>
      <c r="F200" s="5">
        <v>2</v>
      </c>
      <c r="G200" s="7">
        <v>45040</v>
      </c>
      <c r="H200" s="11">
        <v>0.91666666666666663</v>
      </c>
      <c r="I200" s="7">
        <v>45040</v>
      </c>
      <c r="J200" s="7">
        <v>45042</v>
      </c>
      <c r="K200" s="5">
        <v>9922520979</v>
      </c>
      <c r="L200" s="5"/>
      <c r="M200" s="5">
        <v>24</v>
      </c>
      <c r="N200" s="5">
        <v>1</v>
      </c>
      <c r="O200" s="5">
        <v>2</v>
      </c>
      <c r="P200" s="5">
        <v>2</v>
      </c>
      <c r="Q200" s="5">
        <v>2</v>
      </c>
      <c r="R200" s="5">
        <v>1</v>
      </c>
      <c r="S200" s="5">
        <v>2</v>
      </c>
      <c r="T200" s="5">
        <v>2</v>
      </c>
      <c r="U200" s="5">
        <v>2</v>
      </c>
      <c r="V200" s="5">
        <v>2</v>
      </c>
      <c r="W200" s="5"/>
      <c r="X200" s="5">
        <v>11.8</v>
      </c>
      <c r="Y200" s="5">
        <v>35.4</v>
      </c>
      <c r="Z200" s="5"/>
      <c r="AA200" s="5">
        <v>15.25</v>
      </c>
      <c r="AB200" s="5"/>
      <c r="AC200" s="5"/>
      <c r="AD200" s="5"/>
      <c r="AE200" s="5"/>
      <c r="AF200" s="5"/>
      <c r="AG200" s="5"/>
      <c r="AH200" s="5">
        <v>148</v>
      </c>
      <c r="AI200" s="5"/>
      <c r="AJ200" s="5"/>
      <c r="AK200" s="5" t="s">
        <v>672</v>
      </c>
      <c r="AL200" s="5"/>
      <c r="AM200" s="5"/>
      <c r="AN200" s="5"/>
      <c r="AO200" s="5"/>
      <c r="AP200" s="5"/>
      <c r="AQ200" s="5"/>
      <c r="AR200" s="5"/>
      <c r="AS200" s="5"/>
      <c r="AT200" s="5"/>
      <c r="AU200" s="5"/>
      <c r="AV200" s="5"/>
      <c r="AW200" s="5"/>
      <c r="AX200" s="5"/>
      <c r="AY200" s="5"/>
      <c r="AZ200" s="5"/>
      <c r="BA200" s="5">
        <v>4</v>
      </c>
      <c r="BB200" s="5">
        <v>2</v>
      </c>
      <c r="BC200" s="5">
        <v>50</v>
      </c>
      <c r="BD200" s="5"/>
      <c r="BE200" s="5"/>
      <c r="BF200" s="5"/>
      <c r="BG200" s="5"/>
      <c r="BH200" s="5"/>
      <c r="BI200" s="5"/>
      <c r="BJ200" s="5"/>
      <c r="BK200" s="5"/>
      <c r="BL200" s="5"/>
      <c r="BM200" s="5"/>
      <c r="BN200" s="5"/>
      <c r="BO200" s="5"/>
      <c r="BP200" s="5"/>
      <c r="BQ200" s="5"/>
      <c r="BR200" s="5"/>
      <c r="BS200" s="5"/>
      <c r="BT200" s="5"/>
      <c r="BU200" s="5" t="s">
        <v>594</v>
      </c>
    </row>
    <row r="201" spans="1:73" x14ac:dyDescent="0.25">
      <c r="A201" s="5" t="s">
        <v>673</v>
      </c>
      <c r="B201" s="5">
        <v>0</v>
      </c>
      <c r="C201" s="5">
        <v>0.82817700000000005</v>
      </c>
      <c r="D201" s="6">
        <v>230000000000</v>
      </c>
      <c r="E201" s="5">
        <v>76</v>
      </c>
      <c r="F201" s="5">
        <v>2</v>
      </c>
      <c r="G201" s="7"/>
      <c r="H201" s="5"/>
      <c r="I201" s="7">
        <v>45245</v>
      </c>
      <c r="J201" s="7">
        <v>45250</v>
      </c>
      <c r="K201" s="5">
        <v>7387606981</v>
      </c>
      <c r="L201" s="5"/>
      <c r="M201" s="5">
        <v>4</v>
      </c>
      <c r="N201" s="5">
        <v>1</v>
      </c>
      <c r="O201" s="5">
        <v>2</v>
      </c>
      <c r="P201" s="5">
        <v>2</v>
      </c>
      <c r="Q201" s="5">
        <v>2</v>
      </c>
      <c r="R201" s="5">
        <v>2</v>
      </c>
      <c r="S201" s="5">
        <v>2</v>
      </c>
      <c r="T201" s="5">
        <v>2</v>
      </c>
      <c r="U201" s="5">
        <v>2</v>
      </c>
      <c r="V201" s="5">
        <v>2</v>
      </c>
      <c r="W201" s="5" t="s">
        <v>674</v>
      </c>
      <c r="X201" s="5">
        <v>11.7</v>
      </c>
      <c r="Y201" s="5">
        <v>37.200000000000003</v>
      </c>
      <c r="Z201" s="5">
        <v>75.900000000000006</v>
      </c>
      <c r="AA201" s="5">
        <v>14.48</v>
      </c>
      <c r="AB201" s="5"/>
      <c r="AC201" s="5"/>
      <c r="AD201" s="5"/>
      <c r="AE201" s="5"/>
      <c r="AF201" s="5"/>
      <c r="AG201" s="5"/>
      <c r="AH201" s="5">
        <v>346</v>
      </c>
      <c r="AI201" s="5"/>
      <c r="AJ201" s="5"/>
      <c r="AK201" s="5" t="s">
        <v>675</v>
      </c>
      <c r="AL201" s="5"/>
      <c r="AM201" s="5"/>
      <c r="AN201" s="5"/>
      <c r="AO201" s="5"/>
      <c r="AP201" s="5"/>
      <c r="AQ201" s="5"/>
      <c r="AR201" s="5"/>
      <c r="AS201" s="5"/>
      <c r="AT201" s="5">
        <v>1</v>
      </c>
      <c r="AU201" s="5">
        <v>1</v>
      </c>
      <c r="AV201" s="5">
        <v>2</v>
      </c>
      <c r="AW201" s="5"/>
      <c r="AX201" s="5"/>
      <c r="AY201" s="5"/>
      <c r="AZ201" s="5"/>
      <c r="BA201" s="5">
        <v>5</v>
      </c>
      <c r="BB201" s="5">
        <v>2</v>
      </c>
      <c r="BC201" s="5">
        <v>5</v>
      </c>
      <c r="BD201" s="5"/>
      <c r="BE201" s="5"/>
      <c r="BF201" s="5"/>
      <c r="BG201" s="5"/>
      <c r="BH201" s="5"/>
      <c r="BI201" s="5"/>
      <c r="BJ201" s="5"/>
      <c r="BK201" s="5"/>
      <c r="BL201" s="5"/>
      <c r="BM201" s="5"/>
      <c r="BN201" s="5"/>
      <c r="BO201" s="5"/>
      <c r="BP201" s="5"/>
      <c r="BQ201" s="5"/>
      <c r="BR201" s="5"/>
      <c r="BS201" s="5"/>
      <c r="BT201" s="5"/>
      <c r="BU201" s="5" t="s">
        <v>594</v>
      </c>
    </row>
    <row r="202" spans="1:73" x14ac:dyDescent="0.25">
      <c r="A202" s="5" t="s">
        <v>676</v>
      </c>
      <c r="B202" s="5">
        <v>0</v>
      </c>
      <c r="C202" s="5">
        <v>86.750299999999996</v>
      </c>
      <c r="D202" s="6">
        <v>230704864</v>
      </c>
      <c r="E202" s="5">
        <v>57</v>
      </c>
      <c r="F202" s="5">
        <v>1</v>
      </c>
      <c r="G202" s="7">
        <v>45136</v>
      </c>
      <c r="H202" s="11">
        <v>8.3333333333333329E-2</v>
      </c>
      <c r="I202" s="7">
        <v>45136</v>
      </c>
      <c r="J202" s="7"/>
      <c r="K202" s="5">
        <v>7387679974</v>
      </c>
      <c r="L202" s="5"/>
      <c r="M202" s="5">
        <v>21</v>
      </c>
      <c r="N202" s="5">
        <v>2</v>
      </c>
      <c r="O202" s="5">
        <v>1</v>
      </c>
      <c r="P202" s="5">
        <v>2</v>
      </c>
      <c r="Q202" s="5">
        <v>2</v>
      </c>
      <c r="R202" s="5">
        <v>2</v>
      </c>
      <c r="S202" s="5">
        <v>2</v>
      </c>
      <c r="T202" s="5">
        <v>2</v>
      </c>
      <c r="U202" s="5">
        <v>2</v>
      </c>
      <c r="V202" s="5">
        <v>2</v>
      </c>
      <c r="W202" s="5"/>
      <c r="X202" s="5">
        <v>14.7</v>
      </c>
      <c r="Y202" s="5">
        <v>42.5</v>
      </c>
      <c r="Z202" s="5">
        <v>82.3</v>
      </c>
      <c r="AA202" s="5">
        <v>25.67</v>
      </c>
      <c r="AB202" s="5">
        <v>13</v>
      </c>
      <c r="AC202" s="5"/>
      <c r="AD202" s="5"/>
      <c r="AE202" s="5"/>
      <c r="AF202" s="5"/>
      <c r="AG202" s="5"/>
      <c r="AH202" s="5">
        <v>2000</v>
      </c>
      <c r="AI202" s="5"/>
      <c r="AJ202" s="5"/>
      <c r="AK202" s="5" t="s">
        <v>677</v>
      </c>
      <c r="AL202" s="5" t="s">
        <v>122</v>
      </c>
      <c r="AM202" s="5"/>
      <c r="AN202" s="5"/>
      <c r="AO202" s="5"/>
      <c r="AP202" s="5"/>
      <c r="AQ202" s="5"/>
      <c r="AR202" s="5"/>
      <c r="AS202" s="5"/>
      <c r="AT202" s="5">
        <v>1</v>
      </c>
      <c r="AU202" s="5">
        <v>1</v>
      </c>
      <c r="AV202" s="5">
        <v>2</v>
      </c>
      <c r="AW202" s="5"/>
      <c r="AX202" s="5"/>
      <c r="AY202" s="5"/>
      <c r="AZ202" s="5"/>
      <c r="BA202" s="5">
        <v>5</v>
      </c>
      <c r="BB202" s="5">
        <v>2</v>
      </c>
      <c r="BC202" s="5"/>
      <c r="BD202" s="5"/>
      <c r="BE202" s="5"/>
      <c r="BF202" s="5"/>
      <c r="BG202" s="5"/>
      <c r="BH202" s="5"/>
      <c r="BI202" s="5"/>
      <c r="BJ202" s="5"/>
      <c r="BK202" s="5"/>
      <c r="BL202" s="5"/>
      <c r="BM202" s="5"/>
      <c r="BN202" s="5"/>
      <c r="BO202" s="5"/>
      <c r="BP202" s="5"/>
      <c r="BQ202" s="5"/>
      <c r="BR202" s="5"/>
      <c r="BS202" s="5"/>
      <c r="BT202" s="5"/>
      <c r="BU202" s="5" t="s">
        <v>594</v>
      </c>
    </row>
    <row r="203" spans="1:73" x14ac:dyDescent="0.25">
      <c r="A203" s="5" t="s">
        <v>116</v>
      </c>
      <c r="B203" s="5">
        <v>1</v>
      </c>
      <c r="C203" s="5">
        <v>86.009299999999996</v>
      </c>
      <c r="D203" s="6">
        <v>220801803</v>
      </c>
      <c r="E203" s="5">
        <v>75</v>
      </c>
      <c r="F203" s="5">
        <v>2</v>
      </c>
      <c r="G203" s="7">
        <v>45151</v>
      </c>
      <c r="H203" s="11">
        <v>0.5625</v>
      </c>
      <c r="I203" s="7">
        <v>45151</v>
      </c>
      <c r="J203" s="7"/>
      <c r="K203" s="5">
        <v>9421802120</v>
      </c>
      <c r="L203" s="5"/>
      <c r="M203" s="5">
        <v>11</v>
      </c>
      <c r="N203" s="5">
        <v>2</v>
      </c>
      <c r="O203" s="5">
        <v>2</v>
      </c>
      <c r="P203" s="5">
        <v>2</v>
      </c>
      <c r="Q203" s="5">
        <v>2</v>
      </c>
      <c r="R203" s="5">
        <v>2</v>
      </c>
      <c r="S203" s="5">
        <v>2</v>
      </c>
      <c r="T203" s="5">
        <v>2</v>
      </c>
      <c r="U203" s="5">
        <v>2</v>
      </c>
      <c r="V203" s="5">
        <v>2</v>
      </c>
      <c r="W203" s="5"/>
      <c r="X203" s="5">
        <v>12.3</v>
      </c>
      <c r="Y203" s="5"/>
      <c r="Z203" s="5"/>
      <c r="AA203" s="5">
        <v>20.72</v>
      </c>
      <c r="AB203" s="5"/>
      <c r="AC203" s="5">
        <v>236</v>
      </c>
      <c r="AD203" s="5">
        <v>153.4</v>
      </c>
      <c r="AE203" s="5">
        <v>37</v>
      </c>
      <c r="AF203" s="5">
        <v>45</v>
      </c>
      <c r="AG203" s="5">
        <v>228</v>
      </c>
      <c r="AH203" s="5"/>
      <c r="AI203" s="5"/>
      <c r="AJ203" s="5"/>
      <c r="AK203" s="5" t="s">
        <v>117</v>
      </c>
      <c r="AL203" s="5" t="s">
        <v>118</v>
      </c>
      <c r="AM203" s="5"/>
      <c r="AN203" s="5"/>
      <c r="AO203" s="5"/>
      <c r="AP203" s="5"/>
      <c r="AQ203" s="5"/>
      <c r="AR203" s="5"/>
      <c r="AS203" s="5"/>
      <c r="AT203" s="5">
        <v>1</v>
      </c>
      <c r="AU203" s="5">
        <v>1</v>
      </c>
      <c r="AV203" s="5">
        <v>2</v>
      </c>
      <c r="AW203" s="5"/>
      <c r="AX203" s="5"/>
      <c r="AY203" s="5"/>
      <c r="AZ203" s="5"/>
      <c r="BA203" s="5">
        <v>6</v>
      </c>
      <c r="BB203" s="5">
        <v>2</v>
      </c>
      <c r="BC203" s="5">
        <v>0</v>
      </c>
      <c r="BD203" s="5">
        <v>0</v>
      </c>
      <c r="BE203" s="5">
        <v>2</v>
      </c>
      <c r="BF203" s="5">
        <v>2</v>
      </c>
      <c r="BG203" s="5">
        <v>0</v>
      </c>
      <c r="BH203" s="5">
        <v>0</v>
      </c>
      <c r="BI203" s="5">
        <v>0</v>
      </c>
      <c r="BJ203" s="5">
        <v>1</v>
      </c>
      <c r="BK203" s="5">
        <v>1</v>
      </c>
      <c r="BL203" s="5">
        <v>2</v>
      </c>
      <c r="BM203" s="5">
        <v>2</v>
      </c>
      <c r="BN203" s="5">
        <v>2</v>
      </c>
      <c r="BO203" s="5">
        <v>1</v>
      </c>
      <c r="BP203" s="5">
        <v>1</v>
      </c>
      <c r="BQ203" s="5">
        <v>1</v>
      </c>
      <c r="BR203" s="5">
        <v>15</v>
      </c>
      <c r="BS203" s="5">
        <v>1</v>
      </c>
      <c r="BT203" s="5">
        <v>0</v>
      </c>
      <c r="BU203" s="5"/>
    </row>
    <row r="204" spans="1:73" x14ac:dyDescent="0.25">
      <c r="A204" s="5" t="s">
        <v>152</v>
      </c>
      <c r="B204" s="5">
        <v>1</v>
      </c>
      <c r="C204" s="5">
        <v>0.49941200000000002</v>
      </c>
      <c r="D204" s="6">
        <v>23000001514</v>
      </c>
      <c r="E204" s="5">
        <v>80</v>
      </c>
      <c r="F204" s="5">
        <v>1</v>
      </c>
      <c r="G204" s="7">
        <v>45323</v>
      </c>
      <c r="H204" s="20">
        <v>0.20833333333333334</v>
      </c>
      <c r="I204" s="7">
        <v>45327</v>
      </c>
      <c r="J204" s="7"/>
      <c r="K204" s="5">
        <v>8888837024</v>
      </c>
      <c r="L204" s="5"/>
      <c r="M204" s="5"/>
      <c r="N204" s="5">
        <v>1</v>
      </c>
      <c r="O204" s="5">
        <v>1</v>
      </c>
      <c r="P204" s="5">
        <v>2</v>
      </c>
      <c r="Q204" s="5">
        <v>2</v>
      </c>
      <c r="R204" s="5">
        <v>2</v>
      </c>
      <c r="S204" s="5">
        <v>2</v>
      </c>
      <c r="T204" s="5">
        <v>2</v>
      </c>
      <c r="U204" s="5">
        <v>2</v>
      </c>
      <c r="V204" s="5">
        <v>2</v>
      </c>
      <c r="W204" s="5" t="s">
        <v>153</v>
      </c>
      <c r="X204" s="5">
        <v>13</v>
      </c>
      <c r="Y204" s="5">
        <v>38</v>
      </c>
      <c r="Z204" s="5">
        <v>83</v>
      </c>
      <c r="AA204" s="5">
        <v>27</v>
      </c>
      <c r="AB204" s="5">
        <v>11.1</v>
      </c>
      <c r="AC204" s="5">
        <v>276</v>
      </c>
      <c r="AD204" s="5">
        <v>168</v>
      </c>
      <c r="AE204" s="5">
        <v>43</v>
      </c>
      <c r="AF204" s="5">
        <v>323</v>
      </c>
      <c r="AG204" s="5">
        <v>64</v>
      </c>
      <c r="AH204" s="5">
        <v>305</v>
      </c>
      <c r="AI204" s="5"/>
      <c r="AJ204" s="5"/>
      <c r="AK204" s="5" t="s">
        <v>154</v>
      </c>
      <c r="AL204" s="5"/>
      <c r="AM204" s="5"/>
      <c r="AN204" s="5"/>
      <c r="AO204" s="5"/>
      <c r="AP204" s="5"/>
      <c r="AQ204" s="5"/>
      <c r="AR204" s="5"/>
      <c r="AS204" s="5"/>
      <c r="AT204" s="5">
        <v>1</v>
      </c>
      <c r="AU204" s="5">
        <v>2</v>
      </c>
      <c r="AV204" s="5">
        <v>2</v>
      </c>
      <c r="AW204" s="5"/>
      <c r="AX204" s="5"/>
      <c r="AY204" s="5">
        <v>1</v>
      </c>
      <c r="AZ204" s="5"/>
      <c r="BA204" s="5">
        <v>6</v>
      </c>
      <c r="BB204" s="5">
        <v>2</v>
      </c>
      <c r="BC204" s="5">
        <v>0</v>
      </c>
      <c r="BD204" s="5">
        <v>0</v>
      </c>
      <c r="BE204" s="5">
        <v>1</v>
      </c>
      <c r="BF204" s="5">
        <v>2</v>
      </c>
      <c r="BG204" s="5">
        <v>2</v>
      </c>
      <c r="BH204" s="5">
        <v>1</v>
      </c>
      <c r="BI204" s="5">
        <v>1</v>
      </c>
      <c r="BJ204" s="5">
        <v>1</v>
      </c>
      <c r="BK204" s="5">
        <v>0</v>
      </c>
      <c r="BL204" s="5">
        <v>1</v>
      </c>
      <c r="BM204" s="5">
        <v>2</v>
      </c>
      <c r="BN204" s="5">
        <v>2</v>
      </c>
      <c r="BO204" s="5">
        <v>1</v>
      </c>
      <c r="BP204" s="5">
        <v>1</v>
      </c>
      <c r="BQ204" s="5">
        <v>1</v>
      </c>
      <c r="BR204" s="5">
        <v>16</v>
      </c>
      <c r="BS204" s="5">
        <v>0</v>
      </c>
      <c r="BT204" s="5">
        <v>0</v>
      </c>
      <c r="BU204" s="5"/>
    </row>
    <row r="205" spans="1:73" x14ac:dyDescent="0.25">
      <c r="A205" s="5" t="s">
        <v>186</v>
      </c>
      <c r="B205" s="5">
        <v>1</v>
      </c>
      <c r="C205" s="5">
        <v>5.3274599999999998E-2</v>
      </c>
      <c r="D205" s="6">
        <v>120205789</v>
      </c>
      <c r="E205" s="5">
        <v>78</v>
      </c>
      <c r="F205" s="5">
        <v>1</v>
      </c>
      <c r="G205" s="7">
        <v>45170</v>
      </c>
      <c r="H205" s="11">
        <v>0.49305555555555558</v>
      </c>
      <c r="I205" s="7">
        <v>45170</v>
      </c>
      <c r="J205" s="7">
        <v>45173</v>
      </c>
      <c r="K205" s="5">
        <v>9850007762</v>
      </c>
      <c r="L205" s="5"/>
      <c r="M205" s="5">
        <v>3</v>
      </c>
      <c r="N205" s="5">
        <v>1</v>
      </c>
      <c r="O205" s="5">
        <v>1</v>
      </c>
      <c r="P205" s="5">
        <v>2</v>
      </c>
      <c r="Q205" s="5">
        <v>2</v>
      </c>
      <c r="R205" s="5">
        <v>1</v>
      </c>
      <c r="S205" s="5">
        <v>2</v>
      </c>
      <c r="T205" s="5">
        <v>2</v>
      </c>
      <c r="U205" s="5">
        <v>2</v>
      </c>
      <c r="V205" s="5">
        <v>2</v>
      </c>
      <c r="W205" s="5" t="s">
        <v>187</v>
      </c>
      <c r="X205" s="5">
        <v>13.2</v>
      </c>
      <c r="Y205" s="5"/>
      <c r="Z205" s="5"/>
      <c r="AA205" s="5">
        <v>28.51</v>
      </c>
      <c r="AB205" s="5">
        <v>8.1</v>
      </c>
      <c r="AC205" s="5">
        <v>111</v>
      </c>
      <c r="AD205" s="5">
        <v>54</v>
      </c>
      <c r="AE205" s="5">
        <v>33</v>
      </c>
      <c r="AF205" s="5"/>
      <c r="AG205" s="5">
        <v>117</v>
      </c>
      <c r="AH205" s="5">
        <v>328</v>
      </c>
      <c r="AI205" s="5"/>
      <c r="AJ205" s="5"/>
      <c r="AK205" s="5" t="s">
        <v>188</v>
      </c>
      <c r="AL205" s="5"/>
      <c r="AM205" s="5"/>
      <c r="AN205" s="5"/>
      <c r="AO205" s="5"/>
      <c r="AP205" s="5"/>
      <c r="AQ205" s="5"/>
      <c r="AR205" s="5"/>
      <c r="AS205" s="5"/>
      <c r="AT205" s="5">
        <v>2</v>
      </c>
      <c r="AU205" s="5">
        <v>2</v>
      </c>
      <c r="AV205" s="5">
        <v>2</v>
      </c>
      <c r="AW205" s="5">
        <v>4</v>
      </c>
      <c r="AX205" s="5">
        <v>8</v>
      </c>
      <c r="AY205" s="5">
        <v>2</v>
      </c>
      <c r="AZ205" s="5">
        <v>2</v>
      </c>
      <c r="BA205" s="5">
        <v>6</v>
      </c>
      <c r="BB205" s="5">
        <v>2</v>
      </c>
      <c r="BC205" s="5">
        <v>0</v>
      </c>
      <c r="BD205" s="5">
        <v>1</v>
      </c>
      <c r="BE205" s="5">
        <v>1</v>
      </c>
      <c r="BF205" s="5">
        <v>2</v>
      </c>
      <c r="BG205" s="5">
        <v>2</v>
      </c>
      <c r="BH205" s="5">
        <v>0</v>
      </c>
      <c r="BI205" s="5">
        <v>1</v>
      </c>
      <c r="BJ205" s="5">
        <v>1</v>
      </c>
      <c r="BK205" s="5">
        <v>1</v>
      </c>
      <c r="BL205" s="5">
        <v>1</v>
      </c>
      <c r="BM205" s="5">
        <v>2</v>
      </c>
      <c r="BN205" s="5">
        <v>2</v>
      </c>
      <c r="BO205" s="5">
        <v>1</v>
      </c>
      <c r="BP205" s="5">
        <v>1</v>
      </c>
      <c r="BQ205" s="5">
        <v>1</v>
      </c>
      <c r="BR205" s="5">
        <v>17</v>
      </c>
      <c r="BS205" s="5"/>
      <c r="BT205" s="5"/>
      <c r="BU205" s="5"/>
    </row>
    <row r="206" spans="1:73" x14ac:dyDescent="0.25">
      <c r="A206" s="5" t="s">
        <v>370</v>
      </c>
      <c r="B206" s="5">
        <v>1</v>
      </c>
      <c r="C206" s="5">
        <v>0.52790199999999998</v>
      </c>
      <c r="D206" s="6">
        <v>230000000000</v>
      </c>
      <c r="E206" s="5">
        <v>67</v>
      </c>
      <c r="F206" s="5">
        <v>1</v>
      </c>
      <c r="G206" s="7">
        <v>45279</v>
      </c>
      <c r="H206" s="11">
        <v>0.375</v>
      </c>
      <c r="I206" s="7">
        <v>45279</v>
      </c>
      <c r="J206" s="7">
        <v>45282</v>
      </c>
      <c r="K206" s="5">
        <v>7661974723</v>
      </c>
      <c r="L206" s="5"/>
      <c r="M206" s="5">
        <v>3</v>
      </c>
      <c r="N206" s="5">
        <v>1</v>
      </c>
      <c r="O206" s="5">
        <v>1</v>
      </c>
      <c r="P206" s="5">
        <v>2</v>
      </c>
      <c r="Q206" s="5">
        <v>2</v>
      </c>
      <c r="R206" s="5">
        <v>1</v>
      </c>
      <c r="S206" s="5">
        <v>2</v>
      </c>
      <c r="T206" s="5">
        <v>2</v>
      </c>
      <c r="U206" s="5">
        <v>2</v>
      </c>
      <c r="V206" s="5">
        <v>2</v>
      </c>
      <c r="W206" s="5"/>
      <c r="X206" s="5">
        <v>14.2</v>
      </c>
      <c r="Y206" s="5">
        <v>43.3</v>
      </c>
      <c r="Z206" s="5">
        <v>91.4</v>
      </c>
      <c r="AA206" s="5">
        <v>15.31</v>
      </c>
      <c r="AB206" s="5">
        <v>8.1</v>
      </c>
      <c r="AC206" s="5"/>
      <c r="AD206" s="5"/>
      <c r="AE206" s="5"/>
      <c r="AF206" s="5"/>
      <c r="AG206" s="5"/>
      <c r="AH206" s="5">
        <v>294</v>
      </c>
      <c r="AI206" s="5"/>
      <c r="AJ206" s="5"/>
      <c r="AK206" s="5" t="s">
        <v>371</v>
      </c>
      <c r="AL206" s="5" t="s">
        <v>372</v>
      </c>
      <c r="AM206" s="5"/>
      <c r="AN206" s="5"/>
      <c r="AO206" s="5"/>
      <c r="AP206" s="5"/>
      <c r="AQ206" s="5"/>
      <c r="AR206" s="5"/>
      <c r="AS206" s="5"/>
      <c r="AT206" s="5">
        <v>1</v>
      </c>
      <c r="AU206" s="5">
        <v>2</v>
      </c>
      <c r="AV206" s="5">
        <v>1</v>
      </c>
      <c r="AW206" s="5">
        <v>1</v>
      </c>
      <c r="AX206" s="5">
        <v>4</v>
      </c>
      <c r="AY206" s="5">
        <v>2</v>
      </c>
      <c r="AZ206" s="5">
        <v>2</v>
      </c>
      <c r="BA206" s="5">
        <v>6</v>
      </c>
      <c r="BB206" s="5">
        <v>2</v>
      </c>
      <c r="BC206" s="5">
        <v>0</v>
      </c>
      <c r="BD206" s="5">
        <v>1</v>
      </c>
      <c r="BE206" s="5">
        <v>1</v>
      </c>
      <c r="BF206" s="5">
        <v>2</v>
      </c>
      <c r="BG206" s="5">
        <v>2</v>
      </c>
      <c r="BH206" s="5">
        <v>1</v>
      </c>
      <c r="BI206" s="5">
        <v>1</v>
      </c>
      <c r="BJ206" s="5">
        <v>1</v>
      </c>
      <c r="BK206" s="5">
        <v>1</v>
      </c>
      <c r="BL206" s="5">
        <v>2</v>
      </c>
      <c r="BM206" s="5">
        <v>2</v>
      </c>
      <c r="BN206" s="5">
        <v>2</v>
      </c>
      <c r="BO206" s="5">
        <v>1</v>
      </c>
      <c r="BP206" s="5">
        <v>1</v>
      </c>
      <c r="BQ206" s="5">
        <v>1</v>
      </c>
      <c r="BR206" s="5">
        <v>19</v>
      </c>
      <c r="BS206" s="5">
        <v>1</v>
      </c>
      <c r="BT206" s="5">
        <v>1</v>
      </c>
      <c r="BU206" s="5" t="s">
        <v>373</v>
      </c>
    </row>
    <row r="207" spans="1:73" x14ac:dyDescent="0.25">
      <c r="A207" s="12" t="s">
        <v>411</v>
      </c>
      <c r="B207" s="5">
        <v>1</v>
      </c>
      <c r="C207" s="12">
        <v>7.0903499999999999</v>
      </c>
      <c r="D207" s="13">
        <v>230700099</v>
      </c>
      <c r="E207" s="12">
        <v>63</v>
      </c>
      <c r="F207" s="12">
        <v>1</v>
      </c>
      <c r="G207" s="14" t="s">
        <v>412</v>
      </c>
      <c r="H207" s="12"/>
      <c r="I207" s="14">
        <v>45108</v>
      </c>
      <c r="J207" s="14">
        <v>45117</v>
      </c>
      <c r="K207" s="12">
        <v>8208668443</v>
      </c>
      <c r="L207" s="12"/>
      <c r="M207" s="12">
        <v>1</v>
      </c>
      <c r="N207" s="12">
        <v>2</v>
      </c>
      <c r="O207" s="12">
        <v>2</v>
      </c>
      <c r="P207" s="12">
        <v>2</v>
      </c>
      <c r="Q207" s="12">
        <v>2</v>
      </c>
      <c r="R207" s="12">
        <v>2</v>
      </c>
      <c r="S207" s="12">
        <v>2</v>
      </c>
      <c r="T207" s="12">
        <v>2</v>
      </c>
      <c r="U207" s="12">
        <v>2</v>
      </c>
      <c r="V207" s="12">
        <v>2</v>
      </c>
      <c r="W207" s="12"/>
      <c r="X207" s="12">
        <v>9.8000000000000007</v>
      </c>
      <c r="Y207" s="12">
        <v>47</v>
      </c>
      <c r="Z207" s="12">
        <v>85.9</v>
      </c>
      <c r="AA207" s="12">
        <v>7.63</v>
      </c>
      <c r="AB207" s="12">
        <v>7</v>
      </c>
      <c r="AC207" s="12"/>
      <c r="AD207" s="12"/>
      <c r="AE207" s="12"/>
      <c r="AF207" s="12"/>
      <c r="AG207" s="12"/>
      <c r="AH207" s="12">
        <v>1777</v>
      </c>
      <c r="AI207" s="12"/>
      <c r="AJ207" s="12"/>
      <c r="AK207" s="12" t="s">
        <v>413</v>
      </c>
      <c r="AL207" s="12"/>
      <c r="AM207" s="12"/>
      <c r="AN207" s="12"/>
      <c r="AO207" s="12"/>
      <c r="AP207" s="12"/>
      <c r="AQ207" s="12"/>
      <c r="AR207" s="12"/>
      <c r="AS207" s="12"/>
      <c r="AT207" s="12">
        <v>1</v>
      </c>
      <c r="AU207" s="12">
        <v>1</v>
      </c>
      <c r="AV207" s="12">
        <v>2</v>
      </c>
      <c r="AW207" s="12"/>
      <c r="AX207" s="12"/>
      <c r="AY207" s="12"/>
      <c r="AZ207" s="12"/>
      <c r="BA207" s="12">
        <v>6</v>
      </c>
      <c r="BB207" s="5">
        <v>2</v>
      </c>
      <c r="BC207" s="12">
        <v>0</v>
      </c>
      <c r="BD207" s="12">
        <v>1</v>
      </c>
      <c r="BE207" s="12">
        <v>2</v>
      </c>
      <c r="BF207" s="12">
        <v>2</v>
      </c>
      <c r="BG207" s="12">
        <v>2</v>
      </c>
      <c r="BH207" s="12">
        <v>1</v>
      </c>
      <c r="BI207" s="12">
        <v>1</v>
      </c>
      <c r="BJ207" s="12">
        <v>1</v>
      </c>
      <c r="BK207" s="12">
        <v>1</v>
      </c>
      <c r="BL207" s="12">
        <v>2</v>
      </c>
      <c r="BM207" s="12">
        <v>2</v>
      </c>
      <c r="BN207" s="12">
        <v>2</v>
      </c>
      <c r="BO207" s="12">
        <v>1</v>
      </c>
      <c r="BP207" s="12">
        <v>1</v>
      </c>
      <c r="BQ207" s="12">
        <v>1</v>
      </c>
      <c r="BR207" s="12">
        <v>20</v>
      </c>
      <c r="BS207" s="12">
        <v>1</v>
      </c>
      <c r="BT207" s="12">
        <v>1</v>
      </c>
      <c r="BU207" s="12"/>
    </row>
    <row r="208" spans="1:73" x14ac:dyDescent="0.25">
      <c r="A208" s="5" t="s">
        <v>678</v>
      </c>
      <c r="B208" s="5">
        <v>0</v>
      </c>
      <c r="C208" s="5">
        <v>0.25184299999999998</v>
      </c>
      <c r="D208" s="6">
        <v>230900449</v>
      </c>
      <c r="E208" s="5">
        <v>76</v>
      </c>
      <c r="F208" s="5">
        <v>1</v>
      </c>
      <c r="G208" s="7">
        <v>45170</v>
      </c>
      <c r="H208" s="5"/>
      <c r="I208" s="7">
        <v>45173</v>
      </c>
      <c r="J208" s="7">
        <v>45181</v>
      </c>
      <c r="K208" s="5">
        <v>9822497834</v>
      </c>
      <c r="L208" s="5"/>
      <c r="M208" s="5">
        <v>10</v>
      </c>
      <c r="N208" s="5">
        <v>1</v>
      </c>
      <c r="O208" s="5">
        <v>1</v>
      </c>
      <c r="P208" s="5">
        <v>2</v>
      </c>
      <c r="Q208" s="5">
        <v>2</v>
      </c>
      <c r="R208" s="5">
        <v>2</v>
      </c>
      <c r="S208" s="5">
        <v>2</v>
      </c>
      <c r="T208" s="5">
        <v>2</v>
      </c>
      <c r="U208" s="5">
        <v>2</v>
      </c>
      <c r="V208" s="5">
        <v>2</v>
      </c>
      <c r="W208" s="5" t="s">
        <v>679</v>
      </c>
      <c r="X208" s="5">
        <v>4</v>
      </c>
      <c r="Y208" s="5">
        <v>12.1</v>
      </c>
      <c r="Z208" s="5">
        <v>133.1</v>
      </c>
      <c r="AA208" s="5">
        <v>31.25</v>
      </c>
      <c r="AB208" s="5"/>
      <c r="AC208" s="5">
        <v>100</v>
      </c>
      <c r="AD208" s="5">
        <v>41</v>
      </c>
      <c r="AE208" s="5">
        <v>28</v>
      </c>
      <c r="AF208" s="5">
        <v>31</v>
      </c>
      <c r="AG208" s="5">
        <v>155</v>
      </c>
      <c r="AH208" s="5">
        <v>2000</v>
      </c>
      <c r="AI208" s="5"/>
      <c r="AJ208" s="5"/>
      <c r="AK208" s="5" t="s">
        <v>680</v>
      </c>
      <c r="AL208" s="5"/>
      <c r="AM208" s="5"/>
      <c r="AN208" s="5"/>
      <c r="AO208" s="5"/>
      <c r="AP208" s="5"/>
      <c r="AQ208" s="5"/>
      <c r="AR208" s="5"/>
      <c r="AS208" s="5"/>
      <c r="AT208" s="5">
        <v>1</v>
      </c>
      <c r="AU208" s="5">
        <v>1</v>
      </c>
      <c r="AV208" s="5">
        <v>2</v>
      </c>
      <c r="AW208" s="5"/>
      <c r="AX208" s="5"/>
      <c r="AY208" s="5"/>
      <c r="AZ208" s="5"/>
      <c r="BA208" s="5">
        <v>6</v>
      </c>
      <c r="BB208" s="5">
        <v>2</v>
      </c>
      <c r="BC208" s="5">
        <v>0</v>
      </c>
      <c r="BD208" s="5"/>
      <c r="BE208" s="5"/>
      <c r="BF208" s="5"/>
      <c r="BG208" s="5"/>
      <c r="BH208" s="5"/>
      <c r="BI208" s="5"/>
      <c r="BJ208" s="5"/>
      <c r="BK208" s="5"/>
      <c r="BL208" s="5"/>
      <c r="BM208" s="5"/>
      <c r="BN208" s="5"/>
      <c r="BO208" s="5"/>
      <c r="BP208" s="5"/>
      <c r="BQ208" s="5"/>
      <c r="BR208" s="5"/>
      <c r="BS208" s="5"/>
      <c r="BT208" s="5"/>
      <c r="BU208" s="5" t="s">
        <v>594</v>
      </c>
    </row>
    <row r="209" spans="1:73" x14ac:dyDescent="0.25">
      <c r="A209" s="5" t="s">
        <v>689</v>
      </c>
      <c r="B209" s="5">
        <v>0</v>
      </c>
      <c r="C209" s="5">
        <v>0.79427499999999995</v>
      </c>
      <c r="D209" s="6">
        <v>230000000000</v>
      </c>
      <c r="E209" s="5">
        <v>59</v>
      </c>
      <c r="F209" s="5">
        <v>1</v>
      </c>
      <c r="G209" s="7">
        <v>45200</v>
      </c>
      <c r="H209" s="11">
        <v>0.45833333333333331</v>
      </c>
      <c r="I209" s="7">
        <v>45204</v>
      </c>
      <c r="J209" s="7"/>
      <c r="K209" s="5">
        <v>7578675134</v>
      </c>
      <c r="L209" s="5">
        <v>8668255674</v>
      </c>
      <c r="M209" s="5">
        <v>9</v>
      </c>
      <c r="N209" s="5">
        <v>1</v>
      </c>
      <c r="O209" s="5">
        <v>1</v>
      </c>
      <c r="P209" s="5">
        <v>2</v>
      </c>
      <c r="Q209" s="5">
        <v>2</v>
      </c>
      <c r="R209" s="5">
        <v>2</v>
      </c>
      <c r="S209" s="5">
        <v>2</v>
      </c>
      <c r="T209" s="5">
        <v>2</v>
      </c>
      <c r="U209" s="5">
        <v>2</v>
      </c>
      <c r="V209" s="5">
        <v>2</v>
      </c>
      <c r="W209" s="5" t="s">
        <v>690</v>
      </c>
      <c r="X209" s="5">
        <v>13</v>
      </c>
      <c r="Y209" s="5"/>
      <c r="Z209" s="5"/>
      <c r="AA209" s="5">
        <v>23.6</v>
      </c>
      <c r="AB209" s="5"/>
      <c r="AC209" s="5">
        <v>134</v>
      </c>
      <c r="AD209" s="5">
        <v>89.4</v>
      </c>
      <c r="AE209" s="5">
        <v>28</v>
      </c>
      <c r="AF209" s="5">
        <v>16.600000000000001</v>
      </c>
      <c r="AG209" s="5">
        <v>83</v>
      </c>
      <c r="AH209" s="5">
        <v>148</v>
      </c>
      <c r="AI209" s="5"/>
      <c r="AJ209" s="5"/>
      <c r="AK209" s="5" t="s">
        <v>691</v>
      </c>
      <c r="AL209" s="5"/>
      <c r="AM209" s="5"/>
      <c r="AN209" s="5"/>
      <c r="AO209" s="5"/>
      <c r="AP209" s="5"/>
      <c r="AQ209" s="5"/>
      <c r="AR209" s="5"/>
      <c r="AS209" s="5"/>
      <c r="AT209" s="5"/>
      <c r="AU209" s="5"/>
      <c r="AV209" s="5"/>
      <c r="AW209" s="5"/>
      <c r="AX209" s="5"/>
      <c r="AY209" s="5"/>
      <c r="AZ209" s="5"/>
      <c r="BA209" s="5">
        <v>6</v>
      </c>
      <c r="BB209" s="5">
        <v>2</v>
      </c>
      <c r="BC209" s="5">
        <v>0</v>
      </c>
      <c r="BD209" s="5"/>
      <c r="BE209" s="5"/>
      <c r="BF209" s="5"/>
      <c r="BG209" s="5"/>
      <c r="BH209" s="5"/>
      <c r="BI209" s="5"/>
      <c r="BJ209" s="5"/>
      <c r="BK209" s="5"/>
      <c r="BL209" s="5"/>
      <c r="BM209" s="5"/>
      <c r="BN209" s="5"/>
      <c r="BO209" s="5"/>
      <c r="BP209" s="5"/>
      <c r="BQ209" s="5"/>
      <c r="BR209" s="5"/>
      <c r="BS209" s="5"/>
      <c r="BT209" s="5"/>
      <c r="BU209" s="5" t="s">
        <v>594</v>
      </c>
    </row>
  </sheetData>
  <sortState xmlns:xlrd2="http://schemas.microsoft.com/office/spreadsheetml/2017/richdata2" ref="A2:BU209">
    <sortCondition ref="AN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CCFC-62D0-4829-88B6-2E18BEED3E37}">
  <dimension ref="A1:BU167"/>
  <sheetViews>
    <sheetView zoomScale="115" zoomScaleNormal="115" workbookViewId="0">
      <pane xSplit="1" ySplit="1" topLeftCell="AA94" activePane="bottomRight" state="frozen"/>
      <selection pane="topRight" activeCell="B1" sqref="B1"/>
      <selection pane="bottomLeft" activeCell="A2" sqref="A2"/>
      <selection pane="bottomRight" activeCell="AN103" sqref="AN103:AS103"/>
    </sheetView>
  </sheetViews>
  <sheetFormatPr defaultRowHeight="15" x14ac:dyDescent="0.25"/>
  <cols>
    <col min="1" max="1" width="24.7109375" customWidth="1"/>
    <col min="3" max="3" width="28.5703125" customWidth="1"/>
    <col min="4" max="4" width="20.140625" customWidth="1"/>
    <col min="7" max="7" width="14.28515625" customWidth="1"/>
    <col min="9" max="9" width="10.5703125" customWidth="1"/>
    <col min="10" max="10" width="12" customWidth="1"/>
    <col min="11" max="11" width="13.140625" customWidth="1"/>
    <col min="12" max="12" width="13.7109375" customWidth="1"/>
  </cols>
  <sheetData>
    <row r="1" spans="1:73" ht="60" x14ac:dyDescent="0.25">
      <c r="A1" s="1" t="s">
        <v>0</v>
      </c>
      <c r="B1" s="1" t="s">
        <v>1</v>
      </c>
      <c r="C1" s="2" t="s">
        <v>2</v>
      </c>
      <c r="D1" s="3" t="s">
        <v>3</v>
      </c>
      <c r="E1" s="1" t="s">
        <v>4</v>
      </c>
      <c r="F1" s="1" t="s">
        <v>5</v>
      </c>
      <c r="G1" s="4" t="s">
        <v>6</v>
      </c>
      <c r="H1" s="1" t="s">
        <v>7</v>
      </c>
      <c r="I1" s="4" t="s">
        <v>8</v>
      </c>
      <c r="J1" s="4" t="s">
        <v>9</v>
      </c>
      <c r="K1" s="1" t="s">
        <v>10</v>
      </c>
      <c r="L1" s="1"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2" t="s">
        <v>40</v>
      </c>
      <c r="AP1" s="2" t="s">
        <v>41</v>
      </c>
      <c r="AQ1" s="2" t="s">
        <v>42</v>
      </c>
      <c r="AR1" s="2" t="s">
        <v>43</v>
      </c>
      <c r="AS1" s="1" t="s">
        <v>44</v>
      </c>
      <c r="AT1" s="1" t="s">
        <v>45</v>
      </c>
      <c r="AU1" s="1" t="s">
        <v>46</v>
      </c>
      <c r="AV1" s="1" t="s">
        <v>47</v>
      </c>
      <c r="AW1" s="1" t="s">
        <v>48</v>
      </c>
      <c r="AX1" s="1" t="s">
        <v>49</v>
      </c>
      <c r="AY1" s="1" t="s">
        <v>50</v>
      </c>
      <c r="AZ1" s="1" t="s">
        <v>51</v>
      </c>
      <c r="BA1" s="2" t="s">
        <v>52</v>
      </c>
      <c r="BB1" s="2" t="s">
        <v>695</v>
      </c>
      <c r="BC1" s="2"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2" t="s">
        <v>68</v>
      </c>
      <c r="BS1" s="1" t="s">
        <v>69</v>
      </c>
      <c r="BT1" s="1" t="s">
        <v>70</v>
      </c>
      <c r="BU1" s="1" t="s">
        <v>71</v>
      </c>
    </row>
    <row r="2" spans="1:73" x14ac:dyDescent="0.25">
      <c r="A2" s="5" t="s">
        <v>186</v>
      </c>
      <c r="B2" s="5">
        <v>1</v>
      </c>
      <c r="C2" s="5">
        <v>5.3274599999999998E-2</v>
      </c>
      <c r="D2" s="6">
        <v>120205789</v>
      </c>
      <c r="E2" s="5">
        <v>78</v>
      </c>
      <c r="F2" s="5">
        <v>1</v>
      </c>
      <c r="G2" s="7">
        <v>45170</v>
      </c>
      <c r="H2" s="11">
        <v>0.49305555555555558</v>
      </c>
      <c r="I2" s="7">
        <v>45170</v>
      </c>
      <c r="J2" s="7">
        <v>45173</v>
      </c>
      <c r="K2" s="5">
        <v>9850007762</v>
      </c>
      <c r="L2" s="5"/>
      <c r="M2" s="5">
        <v>3</v>
      </c>
      <c r="N2" s="5">
        <v>1</v>
      </c>
      <c r="O2" s="5">
        <v>1</v>
      </c>
      <c r="P2" s="5">
        <v>2</v>
      </c>
      <c r="Q2" s="5">
        <v>2</v>
      </c>
      <c r="R2" s="5">
        <v>1</v>
      </c>
      <c r="S2" s="5">
        <v>2</v>
      </c>
      <c r="T2" s="5">
        <v>2</v>
      </c>
      <c r="U2" s="5">
        <v>2</v>
      </c>
      <c r="V2" s="5">
        <v>2</v>
      </c>
      <c r="W2" s="5" t="s">
        <v>187</v>
      </c>
      <c r="X2" s="5">
        <v>13.2</v>
      </c>
      <c r="Y2" s="5"/>
      <c r="Z2" s="5"/>
      <c r="AA2" s="5">
        <v>28.51</v>
      </c>
      <c r="AB2" s="5">
        <v>8.1</v>
      </c>
      <c r="AC2" s="5">
        <v>111</v>
      </c>
      <c r="AD2" s="5">
        <v>54</v>
      </c>
      <c r="AE2" s="5">
        <v>33</v>
      </c>
      <c r="AF2" s="5"/>
      <c r="AG2" s="5">
        <v>117</v>
      </c>
      <c r="AH2" s="5">
        <v>328</v>
      </c>
      <c r="AI2" s="5"/>
      <c r="AJ2" s="5"/>
      <c r="AK2" s="5" t="s">
        <v>188</v>
      </c>
      <c r="AL2" s="5"/>
      <c r="AM2" s="5"/>
      <c r="AN2" s="5"/>
      <c r="AO2" s="5"/>
      <c r="AP2" s="5"/>
      <c r="AQ2" s="5"/>
      <c r="AR2" s="5"/>
      <c r="AS2" s="5"/>
      <c r="AT2" s="5">
        <v>2</v>
      </c>
      <c r="AU2" s="5">
        <v>2</v>
      </c>
      <c r="AV2" s="5">
        <v>2</v>
      </c>
      <c r="AW2" s="5">
        <v>4</v>
      </c>
      <c r="AX2" s="5">
        <v>8</v>
      </c>
      <c r="AY2" s="5">
        <v>2</v>
      </c>
      <c r="AZ2" s="5">
        <v>2</v>
      </c>
      <c r="BA2" s="5">
        <v>6</v>
      </c>
      <c r="BB2" s="5">
        <v>2</v>
      </c>
      <c r="BC2" s="5">
        <v>0</v>
      </c>
      <c r="BD2" s="5">
        <v>1</v>
      </c>
      <c r="BE2" s="5">
        <v>1</v>
      </c>
      <c r="BF2" s="5">
        <v>2</v>
      </c>
      <c r="BG2" s="5">
        <v>2</v>
      </c>
      <c r="BH2" s="5">
        <v>0</v>
      </c>
      <c r="BI2" s="5">
        <v>1</v>
      </c>
      <c r="BJ2" s="5">
        <v>1</v>
      </c>
      <c r="BK2" s="5">
        <v>1</v>
      </c>
      <c r="BL2" s="5">
        <v>1</v>
      </c>
      <c r="BM2" s="5">
        <v>2</v>
      </c>
      <c r="BN2" s="5">
        <v>2</v>
      </c>
      <c r="BO2" s="5">
        <v>1</v>
      </c>
      <c r="BP2" s="5">
        <v>1</v>
      </c>
      <c r="BQ2" s="5">
        <v>1</v>
      </c>
      <c r="BR2" s="5">
        <v>17</v>
      </c>
      <c r="BS2" s="5"/>
      <c r="BT2" s="5"/>
      <c r="BU2" s="5"/>
    </row>
    <row r="3" spans="1:73" x14ac:dyDescent="0.25">
      <c r="A3" s="5" t="s">
        <v>468</v>
      </c>
      <c r="B3" s="5">
        <v>1</v>
      </c>
      <c r="C3" s="5">
        <v>0.13076499999999999</v>
      </c>
      <c r="D3" s="6">
        <v>230402432</v>
      </c>
      <c r="E3" s="5">
        <v>70</v>
      </c>
      <c r="F3" s="5">
        <v>1</v>
      </c>
      <c r="G3" s="7"/>
      <c r="H3" s="5"/>
      <c r="I3" s="7">
        <v>45032</v>
      </c>
      <c r="J3" s="7">
        <v>45036</v>
      </c>
      <c r="K3" s="5">
        <v>9405432189</v>
      </c>
      <c r="L3" s="5"/>
      <c r="M3" s="5">
        <v>2</v>
      </c>
      <c r="N3" s="5">
        <v>1</v>
      </c>
      <c r="O3" s="5">
        <v>1</v>
      </c>
      <c r="P3" s="5">
        <v>1</v>
      </c>
      <c r="Q3" s="5">
        <v>1</v>
      </c>
      <c r="R3" s="5">
        <v>1</v>
      </c>
      <c r="S3" s="5">
        <v>2</v>
      </c>
      <c r="T3" s="5">
        <v>2</v>
      </c>
      <c r="U3" s="5">
        <v>2</v>
      </c>
      <c r="V3" s="5">
        <v>2</v>
      </c>
      <c r="W3" s="5"/>
      <c r="X3" s="5">
        <v>11.2</v>
      </c>
      <c r="Y3" s="5">
        <v>34.9</v>
      </c>
      <c r="Z3" s="5"/>
      <c r="AA3" s="5">
        <v>71</v>
      </c>
      <c r="AB3" s="5">
        <v>44</v>
      </c>
      <c r="AC3" s="5">
        <v>5.8</v>
      </c>
      <c r="AD3" s="5">
        <v>80.2</v>
      </c>
      <c r="AE3" s="5">
        <v>32</v>
      </c>
      <c r="AF3" s="5">
        <v>12.8</v>
      </c>
      <c r="AG3" s="5">
        <v>64</v>
      </c>
      <c r="AH3" s="5">
        <v>148</v>
      </c>
      <c r="AI3" s="5"/>
      <c r="AJ3" s="5"/>
      <c r="AK3" s="5" t="s">
        <v>469</v>
      </c>
      <c r="AL3" s="5"/>
      <c r="AM3" s="5"/>
      <c r="AN3" s="5">
        <v>9</v>
      </c>
      <c r="AO3" s="5">
        <v>1</v>
      </c>
      <c r="AP3" s="5">
        <v>3</v>
      </c>
      <c r="AQ3" s="5">
        <v>3</v>
      </c>
      <c r="AR3" s="5">
        <v>5</v>
      </c>
      <c r="AS3" s="5"/>
      <c r="AT3" s="5">
        <v>1</v>
      </c>
      <c r="AU3" s="5">
        <v>1</v>
      </c>
      <c r="AV3" s="5">
        <v>2</v>
      </c>
      <c r="AW3" s="5">
        <v>4</v>
      </c>
      <c r="AX3" s="5">
        <v>8</v>
      </c>
      <c r="AY3" s="5">
        <v>2</v>
      </c>
      <c r="AZ3" s="5">
        <v>2</v>
      </c>
      <c r="BA3" s="5">
        <v>6</v>
      </c>
      <c r="BB3" s="5">
        <v>2</v>
      </c>
      <c r="BC3" s="5">
        <v>0</v>
      </c>
      <c r="BD3" s="5">
        <v>1</v>
      </c>
      <c r="BE3" s="5">
        <v>2</v>
      </c>
      <c r="BF3" s="5">
        <v>2</v>
      </c>
      <c r="BG3" s="5">
        <v>2</v>
      </c>
      <c r="BH3" s="5">
        <v>1</v>
      </c>
      <c r="BI3" s="5">
        <v>1</v>
      </c>
      <c r="BJ3" s="5">
        <v>1</v>
      </c>
      <c r="BK3" s="5">
        <v>1</v>
      </c>
      <c r="BL3" s="5">
        <v>2</v>
      </c>
      <c r="BM3" s="5">
        <v>2</v>
      </c>
      <c r="BN3" s="5">
        <v>2</v>
      </c>
      <c r="BO3" s="5">
        <v>1</v>
      </c>
      <c r="BP3" s="5">
        <v>1</v>
      </c>
      <c r="BQ3" s="5">
        <v>1</v>
      </c>
      <c r="BR3" s="5">
        <v>20</v>
      </c>
      <c r="BS3" s="5">
        <v>1</v>
      </c>
      <c r="BT3" s="5">
        <v>1</v>
      </c>
      <c r="BU3" s="5" t="s">
        <v>373</v>
      </c>
    </row>
    <row r="4" spans="1:73" x14ac:dyDescent="0.25">
      <c r="A4" s="5" t="s">
        <v>470</v>
      </c>
      <c r="B4" s="5">
        <v>1</v>
      </c>
      <c r="C4" s="5">
        <v>0.26637300000000003</v>
      </c>
      <c r="D4" s="6">
        <v>230305267</v>
      </c>
      <c r="E4" s="5">
        <v>80</v>
      </c>
      <c r="F4" s="5">
        <v>1</v>
      </c>
      <c r="G4" s="7"/>
      <c r="H4" s="5"/>
      <c r="I4" s="7">
        <v>45012</v>
      </c>
      <c r="J4" s="7"/>
      <c r="K4" s="5">
        <v>9850833398</v>
      </c>
      <c r="L4" s="5"/>
      <c r="M4" s="5">
        <v>24</v>
      </c>
      <c r="N4" s="5">
        <v>2</v>
      </c>
      <c r="O4" s="5">
        <v>2</v>
      </c>
      <c r="P4" s="5">
        <v>2</v>
      </c>
      <c r="Q4" s="5">
        <v>1</v>
      </c>
      <c r="R4" s="5">
        <v>2</v>
      </c>
      <c r="S4" s="5">
        <v>2</v>
      </c>
      <c r="T4" s="5">
        <v>2</v>
      </c>
      <c r="U4" s="5">
        <v>2</v>
      </c>
      <c r="V4" s="5">
        <v>2</v>
      </c>
      <c r="W4" s="5"/>
      <c r="X4" s="5">
        <v>12.6</v>
      </c>
      <c r="Y4" s="5">
        <v>36.299999999999997</v>
      </c>
      <c r="Z4" s="5"/>
      <c r="AA4" s="5">
        <v>14.5</v>
      </c>
      <c r="AB4" s="5">
        <v>5.0999999999999996</v>
      </c>
      <c r="AC4" s="5"/>
      <c r="AD4" s="5"/>
      <c r="AE4" s="5"/>
      <c r="AF4" s="5"/>
      <c r="AG4" s="5"/>
      <c r="AH4" s="5">
        <v>197</v>
      </c>
      <c r="AI4" s="5" t="s">
        <v>471</v>
      </c>
      <c r="AJ4" s="5"/>
      <c r="AK4" s="5" t="s">
        <v>472</v>
      </c>
      <c r="AL4" s="5" t="s">
        <v>326</v>
      </c>
      <c r="AM4" s="5"/>
      <c r="AN4" s="5">
        <v>9</v>
      </c>
      <c r="AO4" s="5">
        <v>1</v>
      </c>
      <c r="AP4" s="5">
        <v>3</v>
      </c>
      <c r="AQ4" s="5">
        <v>3</v>
      </c>
      <c r="AR4" s="5">
        <v>5</v>
      </c>
      <c r="AS4" s="5"/>
      <c r="AT4" s="5">
        <v>1</v>
      </c>
      <c r="AU4" s="5">
        <v>1</v>
      </c>
      <c r="AV4" s="5">
        <v>2</v>
      </c>
      <c r="AW4" s="5"/>
      <c r="AX4" s="5"/>
      <c r="AY4" s="5"/>
      <c r="AZ4" s="5"/>
      <c r="BA4" s="5">
        <v>6</v>
      </c>
      <c r="BB4" s="5">
        <v>2</v>
      </c>
      <c r="BC4" s="5">
        <v>0</v>
      </c>
      <c r="BD4" s="5">
        <v>1</v>
      </c>
      <c r="BE4" s="5">
        <v>2</v>
      </c>
      <c r="BF4" s="5">
        <v>2</v>
      </c>
      <c r="BG4" s="5">
        <v>2</v>
      </c>
      <c r="BH4" s="5">
        <v>1</v>
      </c>
      <c r="BI4" s="5">
        <v>1</v>
      </c>
      <c r="BJ4" s="5">
        <v>1</v>
      </c>
      <c r="BK4" s="5">
        <v>1</v>
      </c>
      <c r="BL4" s="5">
        <v>2</v>
      </c>
      <c r="BM4" s="5">
        <v>2</v>
      </c>
      <c r="BN4" s="5">
        <v>2</v>
      </c>
      <c r="BO4" s="5">
        <v>1</v>
      </c>
      <c r="BP4" s="5">
        <v>1</v>
      </c>
      <c r="BQ4" s="5">
        <v>1</v>
      </c>
      <c r="BR4" s="5">
        <v>20</v>
      </c>
      <c r="BS4" s="5">
        <v>1</v>
      </c>
      <c r="BT4" s="5">
        <v>1</v>
      </c>
      <c r="BU4" s="5"/>
    </row>
    <row r="5" spans="1:73" x14ac:dyDescent="0.25">
      <c r="A5" s="8" t="s">
        <v>265</v>
      </c>
      <c r="B5" s="5">
        <v>0</v>
      </c>
      <c r="C5" s="8">
        <v>0.305118</v>
      </c>
      <c r="D5" s="9">
        <f>VLOOKUP($A5,'[1]24-8-24 DATA ENTRY'!$A$1:$BR$258,3,FALSE)</f>
        <v>240000032305</v>
      </c>
      <c r="E5" s="9">
        <f>VLOOKUP($A5,'[1]24-8-24 DATA ENTRY'!$A$1:$BR$258,4,FALSE)</f>
        <v>59</v>
      </c>
      <c r="F5" s="9">
        <f>VLOOKUP($A5,'[1]24-8-24 DATA ENTRY'!$A$1:$BR$258,5,FALSE)</f>
        <v>1</v>
      </c>
      <c r="G5" s="10">
        <f>VLOOKUP($A5,'[1]24-8-24 DATA ENTRY'!$A$1:$BR$258,6,FALSE)</f>
        <v>45408</v>
      </c>
      <c r="H5" s="9">
        <f>VLOOKUP($A5,'[1]24-8-24 DATA ENTRY'!$A$1:$BR$258,7,FALSE)</f>
        <v>0.875</v>
      </c>
      <c r="I5" s="10">
        <f>VLOOKUP($A5,'[1]24-8-24 DATA ENTRY'!$A$1:$BR$258,8,FALSE)</f>
        <v>45408</v>
      </c>
      <c r="J5" s="10">
        <f>VLOOKUP($A5,'[1]24-8-24 DATA ENTRY'!$A$1:$BR$258,9,FALSE)</f>
        <v>45409</v>
      </c>
      <c r="K5" s="9">
        <f>VLOOKUP($A5,'[1]24-8-24 DATA ENTRY'!$A$1:$BR$258,10,FALSE)</f>
        <v>7387563186</v>
      </c>
      <c r="L5" s="9">
        <f>VLOOKUP($A5,'[1]24-8-24 DATA ENTRY'!$A$1:$BR$258,11,FALSE)</f>
        <v>9665374777</v>
      </c>
      <c r="M5" s="9">
        <f>VLOOKUP($A5,'[1]24-8-24 DATA ENTRY'!$A$1:$BR$258,12,FALSE)</f>
        <v>0</v>
      </c>
      <c r="N5" s="9">
        <f>VLOOKUP($A5,'[1]24-8-24 DATA ENTRY'!$A$1:$BR$258,13,FALSE)</f>
        <v>1</v>
      </c>
      <c r="O5" s="9">
        <f>VLOOKUP($A5,'[1]24-8-24 DATA ENTRY'!$A$1:$BR$258,14,FALSE)</f>
        <v>2</v>
      </c>
      <c r="P5" s="9">
        <f>VLOOKUP($A5,'[1]24-8-24 DATA ENTRY'!$A$1:$BR$258,15,FALSE)</f>
        <v>2</v>
      </c>
      <c r="Q5" s="9">
        <f>VLOOKUP($A5,'[1]24-8-24 DATA ENTRY'!$A$1:$BR$258,16,FALSE)</f>
        <v>2</v>
      </c>
      <c r="R5" s="9">
        <f>VLOOKUP($A5,'[1]24-8-24 DATA ENTRY'!$A$1:$BR$258,17,FALSE)</f>
        <v>2</v>
      </c>
      <c r="S5" s="9">
        <f>VLOOKUP($A5,'[1]24-8-24 DATA ENTRY'!$A$1:$BR$258,18,FALSE)</f>
        <v>2</v>
      </c>
      <c r="T5" s="9">
        <f>VLOOKUP($A5,'[1]24-8-24 DATA ENTRY'!$A$1:$BR$258,19,FALSE)</f>
        <v>2</v>
      </c>
      <c r="U5" s="9">
        <f>VLOOKUP($A5,'[1]24-8-24 DATA ENTRY'!$A$1:$BR$258,20,FALSE)</f>
        <v>2</v>
      </c>
      <c r="V5" s="9">
        <f>VLOOKUP($A5,'[1]24-8-24 DATA ENTRY'!$A$1:$BR$258,21,FALSE)</f>
        <v>2</v>
      </c>
      <c r="W5" s="9">
        <f>VLOOKUP($A5,'[1]24-8-24 DATA ENTRY'!$A$1:$BR$258,22,FALSE)</f>
        <v>0</v>
      </c>
      <c r="X5" s="9">
        <f>VLOOKUP($A5,'[1]24-8-24 DATA ENTRY'!$A$1:$BR$258,23,FALSE)</f>
        <v>13.6</v>
      </c>
      <c r="Y5" s="9">
        <f>VLOOKUP($A5,'[1]24-8-24 DATA ENTRY'!$A$1:$BR$258,24,FALSE)</f>
        <v>40.9</v>
      </c>
      <c r="Z5" s="9">
        <f>VLOOKUP($A5,'[1]24-8-24 DATA ENTRY'!$A$1:$BR$258,25,FALSE)</f>
        <v>87.7</v>
      </c>
      <c r="AA5" s="9">
        <f>VLOOKUP($A5,'[1]24-8-24 DATA ENTRY'!$A$1:$BR$258,26,FALSE)</f>
        <v>24.17</v>
      </c>
      <c r="AB5" s="9">
        <f>VLOOKUP($A5,'[1]24-8-24 DATA ENTRY'!$A$1:$BR$258,27,FALSE)</f>
        <v>5.2</v>
      </c>
      <c r="AC5" s="9">
        <f>VLOOKUP($A5,'[1]24-8-24 DATA ENTRY'!$A$1:$BR$258,28,FALSE)</f>
        <v>0</v>
      </c>
      <c r="AD5" s="9">
        <f>VLOOKUP($A5,'[1]24-8-24 DATA ENTRY'!$A$1:$BR$258,29,FALSE)</f>
        <v>0</v>
      </c>
      <c r="AE5" s="9">
        <f>VLOOKUP($A5,'[1]24-8-24 DATA ENTRY'!$A$1:$BR$258,30,FALSE)</f>
        <v>0</v>
      </c>
      <c r="AF5" s="9">
        <f>VLOOKUP($A5,'[1]24-8-24 DATA ENTRY'!$A$1:$BR$258,31,FALSE)</f>
        <v>0</v>
      </c>
      <c r="AG5" s="9">
        <f>VLOOKUP($A5,'[1]24-8-24 DATA ENTRY'!$A$1:$BR$258,32,FALSE)</f>
        <v>0</v>
      </c>
      <c r="AH5" s="9">
        <f>VLOOKUP($A5,'[1]24-8-24 DATA ENTRY'!$A$1:$BR$258,33,FALSE)</f>
        <v>243</v>
      </c>
      <c r="AI5" s="9">
        <f>VLOOKUP($A5,'[1]24-8-24 DATA ENTRY'!$A$1:$BR$258,34,FALSE)</f>
        <v>0</v>
      </c>
      <c r="AJ5" s="9">
        <f>VLOOKUP($A5,'[1]24-8-24 DATA ENTRY'!$A$1:$BR$258,35,FALSE)</f>
        <v>0</v>
      </c>
      <c r="AK5" s="9" t="str">
        <f>VLOOKUP($A5,'[1]24-8-24 DATA ENTRY'!$A$1:$BR$258,36,FALSE)</f>
        <v>RT CENTRUM SEMIOVALE INFARCT</v>
      </c>
      <c r="AL5" s="9" t="str">
        <f>VLOOKUP($A5,'[1]24-8-24 DATA ENTRY'!$A$1:$BR$258,37,FALSE)</f>
        <v>NORMAL</v>
      </c>
      <c r="AM5" s="9">
        <f>VLOOKUP($A5,'[1]24-8-24 DATA ENTRY'!$A$1:$BR$258,38,FALSE)</f>
        <v>0</v>
      </c>
      <c r="AN5" s="9">
        <f>VLOOKUP($A5,'[1]24-8-24 DATA ENTRY'!$A$1:$BR$258,39,FALSE)</f>
        <v>9</v>
      </c>
      <c r="AO5" s="9">
        <f>VLOOKUP($A5,'[1]24-8-24 DATA ENTRY'!$A$1:$BR$258,40,FALSE)</f>
        <v>1</v>
      </c>
      <c r="AP5" s="9">
        <f>VLOOKUP($A5,'[1]24-8-24 DATA ENTRY'!$A$1:$BR$258,41,FALSE)</f>
        <v>3</v>
      </c>
      <c r="AQ5" s="9">
        <f>VLOOKUP($A5,'[1]24-8-24 DATA ENTRY'!$A$1:$BR$258,42,FALSE)</f>
        <v>3</v>
      </c>
      <c r="AR5" s="9">
        <f>VLOOKUP($A5,'[1]24-8-24 DATA ENTRY'!$A$1:$BR$258,43,FALSE)</f>
        <v>5</v>
      </c>
      <c r="AS5" s="9">
        <f>VLOOKUP($A5,'[1]24-8-24 DATA ENTRY'!$A$1:$BR$258,44,FALSE)</f>
        <v>0</v>
      </c>
      <c r="AT5" s="9">
        <f>VLOOKUP($A5,'[1]24-8-24 DATA ENTRY'!$A$1:$BR$258,45,FALSE)</f>
        <v>1</v>
      </c>
      <c r="AU5" s="9">
        <f>VLOOKUP($A5,'[1]24-8-24 DATA ENTRY'!$A$1:$BR$258,46,FALSE)</f>
        <v>1</v>
      </c>
      <c r="AV5" s="9">
        <f>VLOOKUP($A5,'[1]24-8-24 DATA ENTRY'!$A$1:$BR$258,47,FALSE)</f>
        <v>2</v>
      </c>
      <c r="AW5" s="9">
        <f>VLOOKUP($A5,'[1]24-8-24 DATA ENTRY'!$A$1:$BR$258,48,FALSE)</f>
        <v>0</v>
      </c>
      <c r="AX5" s="9">
        <f>VLOOKUP($A5,'[1]24-8-24 DATA ENTRY'!$A$1:$BR$258,49,FALSE)</f>
        <v>0</v>
      </c>
      <c r="AY5" s="9">
        <f>VLOOKUP($A5,'[1]24-8-24 DATA ENTRY'!$A$1:$BR$258,50,FALSE)</f>
        <v>0</v>
      </c>
      <c r="AZ5" s="9">
        <f>VLOOKUP($A5,'[1]24-8-24 DATA ENTRY'!$A$1:$BR$258,51,FALSE)</f>
        <v>0</v>
      </c>
      <c r="BA5" s="9">
        <f>VLOOKUP($A5,'[1]24-8-24 DATA ENTRY'!$A$1:$BR$258,52,FALSE)</f>
        <v>0</v>
      </c>
      <c r="BB5" s="5">
        <v>1</v>
      </c>
      <c r="BC5" s="9">
        <f>VLOOKUP($A5,'[1]24-8-24 DATA ENTRY'!$A$1:$BR$258,53,FALSE)</f>
        <v>100</v>
      </c>
      <c r="BD5" s="8">
        <v>0</v>
      </c>
      <c r="BE5" s="8">
        <v>2</v>
      </c>
      <c r="BF5" s="8">
        <v>2</v>
      </c>
      <c r="BG5" s="8">
        <v>2</v>
      </c>
      <c r="BH5" s="8">
        <v>1</v>
      </c>
      <c r="BI5" s="8">
        <v>1</v>
      </c>
      <c r="BJ5" s="8">
        <v>1</v>
      </c>
      <c r="BK5" s="8">
        <v>1</v>
      </c>
      <c r="BL5" s="8">
        <v>2</v>
      </c>
      <c r="BM5" s="8">
        <v>2</v>
      </c>
      <c r="BN5" s="8">
        <v>2</v>
      </c>
      <c r="BO5" s="8">
        <v>1</v>
      </c>
      <c r="BP5" s="8">
        <v>1</v>
      </c>
      <c r="BQ5" s="8">
        <v>1</v>
      </c>
      <c r="BR5" s="8">
        <v>19</v>
      </c>
      <c r="BS5" s="8">
        <v>1</v>
      </c>
      <c r="BT5" s="8">
        <v>1</v>
      </c>
      <c r="BU5" s="8"/>
    </row>
    <row r="6" spans="1:73" x14ac:dyDescent="0.25">
      <c r="A6" s="5" t="s">
        <v>365</v>
      </c>
      <c r="B6" s="5">
        <v>1</v>
      </c>
      <c r="C6" s="5">
        <v>0.363236</v>
      </c>
      <c r="D6" s="6">
        <v>120502937</v>
      </c>
      <c r="E6" s="5">
        <v>47</v>
      </c>
      <c r="F6" s="5">
        <v>1</v>
      </c>
      <c r="G6" s="7"/>
      <c r="H6" s="5"/>
      <c r="I6" s="7">
        <v>44970</v>
      </c>
      <c r="J6" s="7">
        <v>44972</v>
      </c>
      <c r="K6" s="5"/>
      <c r="L6" s="5"/>
      <c r="M6" s="5">
        <v>0</v>
      </c>
      <c r="N6" s="5">
        <v>1</v>
      </c>
      <c r="O6" s="5">
        <v>2</v>
      </c>
      <c r="P6" s="5">
        <v>2</v>
      </c>
      <c r="Q6" s="5">
        <v>2</v>
      </c>
      <c r="R6" s="5">
        <v>2</v>
      </c>
      <c r="S6" s="5">
        <v>2</v>
      </c>
      <c r="T6" s="5">
        <v>2</v>
      </c>
      <c r="U6" s="5">
        <v>2</v>
      </c>
      <c r="V6" s="5">
        <v>2</v>
      </c>
      <c r="W6" s="5" t="s">
        <v>366</v>
      </c>
      <c r="X6" s="5">
        <v>12.9</v>
      </c>
      <c r="Y6" s="5">
        <v>39</v>
      </c>
      <c r="Z6" s="5"/>
      <c r="AA6" s="5">
        <v>40</v>
      </c>
      <c r="AB6" s="5">
        <v>5.8</v>
      </c>
      <c r="AC6" s="5"/>
      <c r="AD6" s="5"/>
      <c r="AE6" s="5"/>
      <c r="AF6" s="5"/>
      <c r="AG6" s="5"/>
      <c r="AH6" s="5"/>
      <c r="AI6" s="5" t="s">
        <v>367</v>
      </c>
      <c r="AJ6" s="5"/>
      <c r="AK6" s="5" t="s">
        <v>368</v>
      </c>
      <c r="AL6" s="5" t="s">
        <v>369</v>
      </c>
      <c r="AM6" s="5"/>
      <c r="AN6" s="5">
        <v>10</v>
      </c>
      <c r="AO6" s="5">
        <v>1</v>
      </c>
      <c r="AP6" s="5">
        <v>2</v>
      </c>
      <c r="AQ6" s="5">
        <v>3</v>
      </c>
      <c r="AR6" s="5">
        <v>4</v>
      </c>
      <c r="AS6" s="5"/>
      <c r="AT6" s="5"/>
      <c r="AU6" s="5"/>
      <c r="AV6" s="5"/>
      <c r="AW6" s="5"/>
      <c r="AX6" s="5"/>
      <c r="AY6" s="5"/>
      <c r="AZ6" s="5"/>
      <c r="BA6" s="5">
        <v>6</v>
      </c>
      <c r="BB6" s="5">
        <v>2</v>
      </c>
      <c r="BC6" s="5">
        <v>0</v>
      </c>
      <c r="BD6" s="5">
        <v>1</v>
      </c>
      <c r="BE6" s="5">
        <v>2</v>
      </c>
      <c r="BF6" s="5">
        <v>2</v>
      </c>
      <c r="BG6" s="5">
        <v>2</v>
      </c>
      <c r="BH6" s="5">
        <v>1</v>
      </c>
      <c r="BI6" s="5">
        <v>1</v>
      </c>
      <c r="BJ6" s="5">
        <v>1</v>
      </c>
      <c r="BK6" s="5">
        <v>1</v>
      </c>
      <c r="BL6" s="5">
        <v>1</v>
      </c>
      <c r="BM6" s="5">
        <v>2</v>
      </c>
      <c r="BN6" s="5">
        <v>2</v>
      </c>
      <c r="BO6" s="5">
        <v>1</v>
      </c>
      <c r="BP6" s="5">
        <v>1</v>
      </c>
      <c r="BQ6" s="5">
        <v>1</v>
      </c>
      <c r="BR6" s="5">
        <v>19</v>
      </c>
      <c r="BS6" s="5">
        <v>1</v>
      </c>
      <c r="BT6" s="5">
        <v>1</v>
      </c>
      <c r="BU6" s="5" t="s">
        <v>238</v>
      </c>
    </row>
    <row r="7" spans="1:73" x14ac:dyDescent="0.25">
      <c r="A7" s="5" t="s">
        <v>473</v>
      </c>
      <c r="B7" s="5">
        <v>1</v>
      </c>
      <c r="C7" s="5">
        <v>0.46009800000000001</v>
      </c>
      <c r="D7" s="6">
        <v>240000022574</v>
      </c>
      <c r="E7" s="5">
        <v>62</v>
      </c>
      <c r="F7" s="5">
        <v>1</v>
      </c>
      <c r="G7" s="7" t="s">
        <v>474</v>
      </c>
      <c r="H7" s="20">
        <v>0.45833333333333331</v>
      </c>
      <c r="I7" s="7" t="s">
        <v>474</v>
      </c>
      <c r="J7" s="7" t="s">
        <v>475</v>
      </c>
      <c r="K7" s="5">
        <v>9960575854</v>
      </c>
      <c r="L7" s="5">
        <v>9028444211</v>
      </c>
      <c r="M7" s="5">
        <v>4</v>
      </c>
      <c r="N7" s="5">
        <v>1</v>
      </c>
      <c r="O7" s="5">
        <v>2</v>
      </c>
      <c r="P7" s="5">
        <v>2</v>
      </c>
      <c r="Q7" s="5">
        <v>2</v>
      </c>
      <c r="R7" s="5">
        <v>1</v>
      </c>
      <c r="S7" s="5">
        <v>2</v>
      </c>
      <c r="T7" s="5">
        <v>2</v>
      </c>
      <c r="U7" s="5">
        <v>2</v>
      </c>
      <c r="V7" s="5">
        <v>2</v>
      </c>
      <c r="W7" s="5"/>
      <c r="X7" s="5">
        <v>14.4</v>
      </c>
      <c r="Y7" s="5">
        <v>45.1</v>
      </c>
      <c r="Z7" s="5">
        <v>82.5</v>
      </c>
      <c r="AA7" s="5">
        <v>52.7</v>
      </c>
      <c r="AB7" s="5">
        <v>6.4</v>
      </c>
      <c r="AC7" s="5">
        <v>223</v>
      </c>
      <c r="AD7" s="5"/>
      <c r="AE7" s="5">
        <v>154.6</v>
      </c>
      <c r="AF7" s="5">
        <v>137</v>
      </c>
      <c r="AG7" s="5">
        <v>27.4</v>
      </c>
      <c r="AH7" s="5">
        <v>241</v>
      </c>
      <c r="AI7" s="5"/>
      <c r="AJ7" s="5"/>
      <c r="AK7" s="5" t="s">
        <v>476</v>
      </c>
      <c r="AL7" s="5" t="s">
        <v>477</v>
      </c>
      <c r="AM7" s="5"/>
      <c r="AN7" s="5">
        <v>9</v>
      </c>
      <c r="AO7" s="5">
        <v>3</v>
      </c>
      <c r="AP7" s="5">
        <v>5</v>
      </c>
      <c r="AQ7" s="5">
        <v>3</v>
      </c>
      <c r="AR7" s="5">
        <v>5</v>
      </c>
      <c r="AS7" s="5"/>
      <c r="AT7" s="5">
        <v>1</v>
      </c>
      <c r="AU7" s="5">
        <v>2</v>
      </c>
      <c r="AV7" s="5">
        <v>1</v>
      </c>
      <c r="AW7" s="5">
        <v>2</v>
      </c>
      <c r="AX7" s="5"/>
      <c r="AY7" s="5"/>
      <c r="AZ7" s="5"/>
      <c r="BA7" s="5">
        <v>0</v>
      </c>
      <c r="BB7" s="5">
        <v>1</v>
      </c>
      <c r="BC7" s="5">
        <v>100</v>
      </c>
      <c r="BD7" s="5">
        <v>1</v>
      </c>
      <c r="BE7" s="5">
        <v>2</v>
      </c>
      <c r="BF7" s="5">
        <v>2</v>
      </c>
      <c r="BG7" s="5">
        <v>2</v>
      </c>
      <c r="BH7" s="5">
        <v>1</v>
      </c>
      <c r="BI7" s="5">
        <v>1</v>
      </c>
      <c r="BJ7" s="5">
        <v>1</v>
      </c>
      <c r="BK7" s="5">
        <v>1</v>
      </c>
      <c r="BL7" s="5">
        <v>2</v>
      </c>
      <c r="BM7" s="5">
        <v>2</v>
      </c>
      <c r="BN7" s="5">
        <v>2</v>
      </c>
      <c r="BO7" s="5">
        <v>1</v>
      </c>
      <c r="BP7" s="5">
        <v>1</v>
      </c>
      <c r="BQ7" s="5">
        <v>1</v>
      </c>
      <c r="BR7" s="5">
        <v>20</v>
      </c>
      <c r="BS7" s="5">
        <v>1</v>
      </c>
      <c r="BT7" s="5">
        <v>1</v>
      </c>
      <c r="BU7" s="5"/>
    </row>
    <row r="8" spans="1:73" x14ac:dyDescent="0.25">
      <c r="A8" s="5" t="s">
        <v>478</v>
      </c>
      <c r="B8" s="5">
        <v>1</v>
      </c>
      <c r="C8" s="5">
        <v>0.47059200000000001</v>
      </c>
      <c r="D8" s="6">
        <v>131202821</v>
      </c>
      <c r="E8" s="5">
        <v>32</v>
      </c>
      <c r="F8" s="5">
        <v>1</v>
      </c>
      <c r="G8" s="7"/>
      <c r="H8" s="5"/>
      <c r="I8" s="7">
        <v>44982</v>
      </c>
      <c r="J8" s="7">
        <v>44986</v>
      </c>
      <c r="K8" s="5">
        <v>9823579765</v>
      </c>
      <c r="L8" s="5"/>
      <c r="M8" s="5">
        <v>1</v>
      </c>
      <c r="N8" s="5">
        <v>2</v>
      </c>
      <c r="O8" s="5">
        <v>2</v>
      </c>
      <c r="P8" s="5">
        <v>2</v>
      </c>
      <c r="Q8" s="5">
        <v>2</v>
      </c>
      <c r="R8" s="5">
        <v>2</v>
      </c>
      <c r="S8" s="5">
        <v>2</v>
      </c>
      <c r="T8" s="5">
        <v>2</v>
      </c>
      <c r="U8" s="5">
        <v>2</v>
      </c>
      <c r="V8" s="5">
        <v>2</v>
      </c>
      <c r="W8" s="5" t="s">
        <v>479</v>
      </c>
      <c r="X8" s="5">
        <v>14.6</v>
      </c>
      <c r="Y8" s="5"/>
      <c r="Z8" s="5"/>
      <c r="AA8" s="5">
        <v>27</v>
      </c>
      <c r="AB8" s="5"/>
      <c r="AC8" s="5">
        <v>237</v>
      </c>
      <c r="AD8" s="5">
        <v>156</v>
      </c>
      <c r="AE8" s="5">
        <v>54</v>
      </c>
      <c r="AF8" s="5">
        <v>26</v>
      </c>
      <c r="AG8" s="5">
        <v>133</v>
      </c>
      <c r="AH8" s="5">
        <v>156</v>
      </c>
      <c r="AI8" s="5"/>
      <c r="AJ8" s="5"/>
      <c r="AK8" s="5" t="s">
        <v>480</v>
      </c>
      <c r="AL8" s="5" t="s">
        <v>481</v>
      </c>
      <c r="AM8" s="5"/>
      <c r="AN8" s="5">
        <v>10</v>
      </c>
      <c r="AO8" s="5">
        <v>1</v>
      </c>
      <c r="AP8" s="5">
        <v>3</v>
      </c>
      <c r="AQ8" s="5">
        <v>3</v>
      </c>
      <c r="AR8" s="5">
        <v>5</v>
      </c>
      <c r="AS8" s="5"/>
      <c r="AT8" s="5">
        <v>1</v>
      </c>
      <c r="AU8" s="5">
        <v>1</v>
      </c>
      <c r="AV8" s="5">
        <v>2</v>
      </c>
      <c r="AW8" s="5">
        <v>4</v>
      </c>
      <c r="AX8" s="5">
        <v>8</v>
      </c>
      <c r="AY8" s="5">
        <v>2</v>
      </c>
      <c r="AZ8" s="5">
        <v>2</v>
      </c>
      <c r="BA8" s="5">
        <v>6</v>
      </c>
      <c r="BB8" s="5">
        <v>2</v>
      </c>
      <c r="BC8" s="5">
        <v>0</v>
      </c>
      <c r="BD8" s="5">
        <v>1</v>
      </c>
      <c r="BE8" s="5">
        <v>2</v>
      </c>
      <c r="BF8" s="5">
        <v>2</v>
      </c>
      <c r="BG8" s="5">
        <v>2</v>
      </c>
      <c r="BH8" s="5">
        <v>1</v>
      </c>
      <c r="BI8" s="5">
        <v>1</v>
      </c>
      <c r="BJ8" s="5">
        <v>1</v>
      </c>
      <c r="BK8" s="5">
        <v>1</v>
      </c>
      <c r="BL8" s="5">
        <v>2</v>
      </c>
      <c r="BM8" s="5">
        <v>2</v>
      </c>
      <c r="BN8" s="5">
        <v>2</v>
      </c>
      <c r="BO8" s="5">
        <v>1</v>
      </c>
      <c r="BP8" s="5">
        <v>1</v>
      </c>
      <c r="BQ8" s="5">
        <v>1</v>
      </c>
      <c r="BR8" s="5">
        <v>20</v>
      </c>
      <c r="BS8" s="5">
        <v>0</v>
      </c>
      <c r="BT8" s="5">
        <v>1</v>
      </c>
      <c r="BU8" s="5"/>
    </row>
    <row r="9" spans="1:73" x14ac:dyDescent="0.25">
      <c r="A9" s="5" t="s">
        <v>482</v>
      </c>
      <c r="B9" s="5">
        <v>1</v>
      </c>
      <c r="C9" s="5">
        <v>0.48431400000000002</v>
      </c>
      <c r="D9" s="6">
        <v>230404651</v>
      </c>
      <c r="E9" s="5">
        <v>64</v>
      </c>
      <c r="F9" s="5">
        <v>1</v>
      </c>
      <c r="G9" s="7"/>
      <c r="H9" s="5"/>
      <c r="I9" s="7">
        <v>45046</v>
      </c>
      <c r="J9" s="7"/>
      <c r="K9" s="5">
        <v>8999949226</v>
      </c>
      <c r="L9" s="5"/>
      <c r="M9" s="5">
        <v>0</v>
      </c>
      <c r="N9" s="5">
        <v>2</v>
      </c>
      <c r="O9" s="5">
        <v>2</v>
      </c>
      <c r="P9" s="5">
        <v>2</v>
      </c>
      <c r="Q9" s="5">
        <v>2</v>
      </c>
      <c r="R9" s="5">
        <v>1</v>
      </c>
      <c r="S9" s="5">
        <v>2</v>
      </c>
      <c r="T9" s="5">
        <v>2</v>
      </c>
      <c r="U9" s="5">
        <v>2</v>
      </c>
      <c r="V9" s="5">
        <v>2</v>
      </c>
      <c r="W9" s="5"/>
      <c r="X9" s="5">
        <v>14.2</v>
      </c>
      <c r="Y9" s="5">
        <v>42.2</v>
      </c>
      <c r="Z9" s="5"/>
      <c r="AA9" s="5">
        <v>63.8</v>
      </c>
      <c r="AB9" s="5">
        <v>4.9000000000000004</v>
      </c>
      <c r="AC9" s="5">
        <v>201</v>
      </c>
      <c r="AD9" s="5">
        <v>37</v>
      </c>
      <c r="AE9" s="5">
        <v>3.87</v>
      </c>
      <c r="AF9" s="5">
        <v>20</v>
      </c>
      <c r="AG9" s="5">
        <v>104</v>
      </c>
      <c r="AH9" s="5">
        <v>148</v>
      </c>
      <c r="AI9" s="5" t="s">
        <v>483</v>
      </c>
      <c r="AJ9" s="5"/>
      <c r="AK9" s="5"/>
      <c r="AL9" s="5" t="s">
        <v>484</v>
      </c>
      <c r="AM9" s="5"/>
      <c r="AN9" s="5">
        <v>10</v>
      </c>
      <c r="AO9" s="5">
        <v>1</v>
      </c>
      <c r="AP9" s="5">
        <v>3</v>
      </c>
      <c r="AQ9" s="5">
        <v>3</v>
      </c>
      <c r="AR9" s="5">
        <v>5</v>
      </c>
      <c r="AS9" s="5"/>
      <c r="AT9" s="5">
        <v>1</v>
      </c>
      <c r="AU9" s="5">
        <v>1</v>
      </c>
      <c r="AV9" s="5">
        <v>2</v>
      </c>
      <c r="AW9" s="5"/>
      <c r="AX9" s="5"/>
      <c r="AY9" s="5"/>
      <c r="AZ9" s="5"/>
      <c r="BA9" s="5">
        <v>6</v>
      </c>
      <c r="BB9" s="5">
        <v>2</v>
      </c>
      <c r="BC9" s="5">
        <v>0</v>
      </c>
      <c r="BD9" s="5">
        <v>1</v>
      </c>
      <c r="BE9" s="5">
        <v>2</v>
      </c>
      <c r="BF9" s="5">
        <v>2</v>
      </c>
      <c r="BG9" s="5">
        <v>2</v>
      </c>
      <c r="BH9" s="5">
        <v>1</v>
      </c>
      <c r="BI9" s="5">
        <v>1</v>
      </c>
      <c r="BJ9" s="5">
        <v>1</v>
      </c>
      <c r="BK9" s="5">
        <v>1</v>
      </c>
      <c r="BL9" s="5">
        <v>2</v>
      </c>
      <c r="BM9" s="5">
        <v>2</v>
      </c>
      <c r="BN9" s="5">
        <v>2</v>
      </c>
      <c r="BO9" s="5">
        <v>1</v>
      </c>
      <c r="BP9" s="5">
        <v>1</v>
      </c>
      <c r="BQ9" s="5">
        <v>1</v>
      </c>
      <c r="BR9" s="5">
        <v>20</v>
      </c>
      <c r="BS9" s="5">
        <v>1</v>
      </c>
      <c r="BT9" s="5">
        <v>1</v>
      </c>
      <c r="BU9" s="5" t="s">
        <v>238</v>
      </c>
    </row>
    <row r="10" spans="1:73" x14ac:dyDescent="0.25">
      <c r="A10" s="5" t="s">
        <v>152</v>
      </c>
      <c r="B10" s="5">
        <v>1</v>
      </c>
      <c r="C10" s="5">
        <v>0.49941200000000002</v>
      </c>
      <c r="D10" s="6">
        <v>23000001514</v>
      </c>
      <c r="E10" s="5">
        <v>80</v>
      </c>
      <c r="F10" s="5">
        <v>1</v>
      </c>
      <c r="G10" s="7">
        <v>45323</v>
      </c>
      <c r="H10" s="20">
        <v>0.20833333333333334</v>
      </c>
      <c r="I10" s="7">
        <v>45327</v>
      </c>
      <c r="J10" s="7"/>
      <c r="K10" s="5">
        <v>8888837024</v>
      </c>
      <c r="L10" s="5"/>
      <c r="M10" s="5"/>
      <c r="N10" s="5">
        <v>1</v>
      </c>
      <c r="O10" s="5">
        <v>1</v>
      </c>
      <c r="P10" s="5">
        <v>2</v>
      </c>
      <c r="Q10" s="5">
        <v>2</v>
      </c>
      <c r="R10" s="5">
        <v>2</v>
      </c>
      <c r="S10" s="5">
        <v>2</v>
      </c>
      <c r="T10" s="5">
        <v>2</v>
      </c>
      <c r="U10" s="5">
        <v>2</v>
      </c>
      <c r="V10" s="5">
        <v>2</v>
      </c>
      <c r="W10" s="5" t="s">
        <v>153</v>
      </c>
      <c r="X10" s="5">
        <v>13</v>
      </c>
      <c r="Y10" s="5">
        <v>38</v>
      </c>
      <c r="Z10" s="5">
        <v>83</v>
      </c>
      <c r="AA10" s="5">
        <v>27</v>
      </c>
      <c r="AB10" s="5">
        <v>11.1</v>
      </c>
      <c r="AC10" s="5">
        <v>276</v>
      </c>
      <c r="AD10" s="5">
        <v>168</v>
      </c>
      <c r="AE10" s="5">
        <v>43</v>
      </c>
      <c r="AF10" s="5">
        <v>323</v>
      </c>
      <c r="AG10" s="5">
        <v>64</v>
      </c>
      <c r="AH10" s="5">
        <v>305</v>
      </c>
      <c r="AI10" s="5"/>
      <c r="AJ10" s="5"/>
      <c r="AK10" s="5" t="s">
        <v>154</v>
      </c>
      <c r="AL10" s="5"/>
      <c r="AM10" s="5"/>
      <c r="AN10" s="5"/>
      <c r="AO10" s="5"/>
      <c r="AP10" s="5"/>
      <c r="AQ10" s="5"/>
      <c r="AR10" s="5"/>
      <c r="AS10" s="5"/>
      <c r="AT10" s="5">
        <v>1</v>
      </c>
      <c r="AU10" s="5">
        <v>2</v>
      </c>
      <c r="AV10" s="5">
        <v>2</v>
      </c>
      <c r="AW10" s="5"/>
      <c r="AX10" s="5"/>
      <c r="AY10" s="5">
        <v>1</v>
      </c>
      <c r="AZ10" s="5"/>
      <c r="BA10" s="5">
        <v>6</v>
      </c>
      <c r="BB10" s="5">
        <v>2</v>
      </c>
      <c r="BC10" s="5">
        <v>0</v>
      </c>
      <c r="BD10" s="5">
        <v>0</v>
      </c>
      <c r="BE10" s="5">
        <v>1</v>
      </c>
      <c r="BF10" s="5">
        <v>2</v>
      </c>
      <c r="BG10" s="5">
        <v>2</v>
      </c>
      <c r="BH10" s="5">
        <v>1</v>
      </c>
      <c r="BI10" s="5">
        <v>1</v>
      </c>
      <c r="BJ10" s="5">
        <v>1</v>
      </c>
      <c r="BK10" s="5">
        <v>0</v>
      </c>
      <c r="BL10" s="5">
        <v>1</v>
      </c>
      <c r="BM10" s="5">
        <v>2</v>
      </c>
      <c r="BN10" s="5">
        <v>2</v>
      </c>
      <c r="BO10" s="5">
        <v>1</v>
      </c>
      <c r="BP10" s="5">
        <v>1</v>
      </c>
      <c r="BQ10" s="5">
        <v>1</v>
      </c>
      <c r="BR10" s="5">
        <v>16</v>
      </c>
      <c r="BS10" s="5">
        <v>0</v>
      </c>
      <c r="BT10" s="5">
        <v>0</v>
      </c>
      <c r="BU10" s="5"/>
    </row>
    <row r="11" spans="1:73" x14ac:dyDescent="0.25">
      <c r="A11" s="5" t="s">
        <v>370</v>
      </c>
      <c r="B11" s="5">
        <v>1</v>
      </c>
      <c r="C11" s="5">
        <v>0.52790199999999998</v>
      </c>
      <c r="D11" s="6">
        <v>230000000000</v>
      </c>
      <c r="E11" s="5">
        <v>67</v>
      </c>
      <c r="F11" s="5">
        <v>1</v>
      </c>
      <c r="G11" s="7">
        <v>45279</v>
      </c>
      <c r="H11" s="11">
        <v>0.375</v>
      </c>
      <c r="I11" s="7">
        <v>45279</v>
      </c>
      <c r="J11" s="7">
        <v>45282</v>
      </c>
      <c r="K11" s="5">
        <v>7661974723</v>
      </c>
      <c r="L11" s="5"/>
      <c r="M11" s="5">
        <v>3</v>
      </c>
      <c r="N11" s="5">
        <v>1</v>
      </c>
      <c r="O11" s="5">
        <v>1</v>
      </c>
      <c r="P11" s="5">
        <v>2</v>
      </c>
      <c r="Q11" s="5">
        <v>2</v>
      </c>
      <c r="R11" s="5">
        <v>1</v>
      </c>
      <c r="S11" s="5">
        <v>2</v>
      </c>
      <c r="T11" s="5">
        <v>2</v>
      </c>
      <c r="U11" s="5">
        <v>2</v>
      </c>
      <c r="V11" s="5">
        <v>2</v>
      </c>
      <c r="W11" s="5"/>
      <c r="X11" s="5">
        <v>14.2</v>
      </c>
      <c r="Y11" s="5">
        <v>43.3</v>
      </c>
      <c r="Z11" s="5">
        <v>91.4</v>
      </c>
      <c r="AA11" s="5">
        <v>15.31</v>
      </c>
      <c r="AB11" s="5">
        <v>8.1</v>
      </c>
      <c r="AC11" s="5"/>
      <c r="AD11" s="5"/>
      <c r="AE11" s="5"/>
      <c r="AF11" s="5"/>
      <c r="AG11" s="5"/>
      <c r="AH11" s="5">
        <v>294</v>
      </c>
      <c r="AI11" s="5"/>
      <c r="AJ11" s="5"/>
      <c r="AK11" s="5" t="s">
        <v>371</v>
      </c>
      <c r="AL11" s="5" t="s">
        <v>372</v>
      </c>
      <c r="AM11" s="5"/>
      <c r="AN11" s="5">
        <v>8</v>
      </c>
      <c r="AO11" s="5" t="s">
        <v>720</v>
      </c>
      <c r="AP11" s="5">
        <v>3</v>
      </c>
      <c r="AQ11" s="5">
        <v>2</v>
      </c>
      <c r="AR11" s="5">
        <v>5</v>
      </c>
      <c r="AS11" s="5"/>
      <c r="AT11" s="5">
        <v>1</v>
      </c>
      <c r="AU11" s="5">
        <v>2</v>
      </c>
      <c r="AV11" s="5">
        <v>1</v>
      </c>
      <c r="AW11" s="5">
        <v>1</v>
      </c>
      <c r="AX11" s="5">
        <v>4</v>
      </c>
      <c r="AY11" s="5">
        <v>2</v>
      </c>
      <c r="AZ11" s="5">
        <v>2</v>
      </c>
      <c r="BA11" s="5">
        <v>6</v>
      </c>
      <c r="BB11" s="5">
        <v>2</v>
      </c>
      <c r="BC11" s="5">
        <v>0</v>
      </c>
      <c r="BD11" s="5">
        <v>1</v>
      </c>
      <c r="BE11" s="5">
        <v>1</v>
      </c>
      <c r="BF11" s="5">
        <v>2</v>
      </c>
      <c r="BG11" s="5">
        <v>2</v>
      </c>
      <c r="BH11" s="5">
        <v>1</v>
      </c>
      <c r="BI11" s="5">
        <v>1</v>
      </c>
      <c r="BJ11" s="5">
        <v>1</v>
      </c>
      <c r="BK11" s="5">
        <v>1</v>
      </c>
      <c r="BL11" s="5">
        <v>2</v>
      </c>
      <c r="BM11" s="5">
        <v>2</v>
      </c>
      <c r="BN11" s="5">
        <v>2</v>
      </c>
      <c r="BO11" s="5">
        <v>1</v>
      </c>
      <c r="BP11" s="5">
        <v>1</v>
      </c>
      <c r="BQ11" s="5">
        <v>1</v>
      </c>
      <c r="BR11" s="5">
        <v>19</v>
      </c>
      <c r="BS11" s="5">
        <v>1</v>
      </c>
      <c r="BT11" s="5">
        <v>1</v>
      </c>
      <c r="BU11" s="5" t="s">
        <v>373</v>
      </c>
    </row>
    <row r="12" spans="1:73" x14ac:dyDescent="0.25">
      <c r="A12" s="12" t="s">
        <v>377</v>
      </c>
      <c r="B12" s="5">
        <v>1</v>
      </c>
      <c r="C12" s="5">
        <v>0.71194100000000005</v>
      </c>
      <c r="D12" s="9">
        <f>VLOOKUP($A12,'[1]24-8-24 DATA ENTRY'!$A$1:$BR$303,3,FALSE)</f>
        <v>240000061390</v>
      </c>
      <c r="E12" s="9">
        <f>VLOOKUP($A12,'[1]24-8-24 DATA ENTRY'!$A$1:$BR$303,4,FALSE)</f>
        <v>58</v>
      </c>
      <c r="F12" s="9">
        <f>VLOOKUP($A12,'[1]24-8-24 DATA ENTRY'!$A$1:$BR$303,5,FALSE)</f>
        <v>1</v>
      </c>
      <c r="G12" s="10">
        <f>VLOOKUP($A12,'[1]24-8-24 DATA ENTRY'!$A$1:$BR$303,6,FALSE)</f>
        <v>45487</v>
      </c>
      <c r="H12" s="9">
        <f>VLOOKUP($A12,'[1]24-8-24 DATA ENTRY'!$A$1:$BR$303,7,FALSE)</f>
        <v>0.41666666666666669</v>
      </c>
      <c r="I12" s="10">
        <f>VLOOKUP($A12,'[1]24-8-24 DATA ENTRY'!$A$1:$BR$303,8,FALSE)</f>
        <v>45487</v>
      </c>
      <c r="J12" s="10">
        <f>VLOOKUP($A12,'[1]24-8-24 DATA ENTRY'!$A$1:$BR$303,9,FALSE)</f>
        <v>0</v>
      </c>
      <c r="K12" s="9">
        <f>VLOOKUP($A12,'[1]24-8-24 DATA ENTRY'!$A$1:$BR$303,10,FALSE)</f>
        <v>9832956169</v>
      </c>
      <c r="L12" s="9">
        <f>VLOOKUP($A12,'[1]24-8-24 DATA ENTRY'!$A$1:$BR$303,11,FALSE)</f>
        <v>0</v>
      </c>
      <c r="M12" s="9">
        <f>VLOOKUP($A12,'[1]24-8-24 DATA ENTRY'!$A$1:$BR$303,12,FALSE)</f>
        <v>2</v>
      </c>
      <c r="N12" s="9">
        <f>VLOOKUP($A12,'[1]24-8-24 DATA ENTRY'!$A$1:$BR$303,13,FALSE)</f>
        <v>1</v>
      </c>
      <c r="O12" s="9">
        <f>VLOOKUP($A12,'[1]24-8-24 DATA ENTRY'!$A$1:$BR$303,14,FALSE)</f>
        <v>2</v>
      </c>
      <c r="P12" s="9">
        <f>VLOOKUP($A12,'[1]24-8-24 DATA ENTRY'!$A$1:$BR$303,15,FALSE)</f>
        <v>2</v>
      </c>
      <c r="Q12" s="9">
        <f>VLOOKUP($A12,'[1]24-8-24 DATA ENTRY'!$A$1:$BR$303,16,FALSE)</f>
        <v>2</v>
      </c>
      <c r="R12" s="9">
        <f>VLOOKUP($A12,'[1]24-8-24 DATA ENTRY'!$A$1:$BR$303,17,FALSE)</f>
        <v>1</v>
      </c>
      <c r="S12" s="9">
        <f>VLOOKUP($A12,'[1]24-8-24 DATA ENTRY'!$A$1:$BR$303,18,FALSE)</f>
        <v>2</v>
      </c>
      <c r="T12" s="9">
        <f>VLOOKUP($A12,'[1]24-8-24 DATA ENTRY'!$A$1:$BR$303,19,FALSE)</f>
        <v>2</v>
      </c>
      <c r="U12" s="9" t="e">
        <f>VLOOKUP($A12,'[1]24-8-24 DATA ENTRY'!$A$1:$BR$278,20,FALSE)</f>
        <v>#N/A</v>
      </c>
      <c r="V12" s="9">
        <f>VLOOKUP($A12,'[1]24-8-24 DATA ENTRY'!$A$1:$BR$303,21,FALSE)</f>
        <v>2</v>
      </c>
      <c r="W12" s="9" t="str">
        <f>VLOOKUP($A12,'[1]24-8-24 DATA ENTRY'!$A$1:$BR$303,22,FALSE)</f>
        <v>OPD case</v>
      </c>
      <c r="X12" s="9">
        <f>VLOOKUP($A12,'[1]24-8-24 DATA ENTRY'!$A$1:$BR$303,23,FALSE)</f>
        <v>0</v>
      </c>
      <c r="Y12" s="9">
        <f>VLOOKUP($A12,'[1]24-8-24 DATA ENTRY'!$A$1:$BR$303,24,FALSE)</f>
        <v>0</v>
      </c>
      <c r="Z12" s="9">
        <f>VLOOKUP($A12,'[1]24-8-24 DATA ENTRY'!$A$1:$BR$303,25,FALSE)</f>
        <v>0</v>
      </c>
      <c r="AA12" s="9">
        <f>VLOOKUP($A12,'[1]24-8-24 DATA ENTRY'!$A$1:$BR$303,26,FALSE)</f>
        <v>0</v>
      </c>
      <c r="AB12" s="9">
        <f>VLOOKUP($A12,'[1]24-8-24 DATA ENTRY'!$A$1:$BR$303,27,FALSE)</f>
        <v>0</v>
      </c>
      <c r="AC12" s="9">
        <f>VLOOKUP($A12,'[1]24-8-24 DATA ENTRY'!$A$1:$BR$303,28,FALSE)</f>
        <v>0</v>
      </c>
      <c r="AD12" s="9">
        <f>VLOOKUP($A12,'[1]24-8-24 DATA ENTRY'!$A$1:$BR$303,29,FALSE)</f>
        <v>0</v>
      </c>
      <c r="AE12" s="9">
        <f>VLOOKUP($A12,'[1]24-8-24 DATA ENTRY'!$A$1:$BR$2303,30,FALSE)</f>
        <v>0</v>
      </c>
      <c r="AF12" s="9">
        <f>VLOOKUP($A12,'[1]24-8-24 DATA ENTRY'!$A$1:$BR$303,31,FALSE)</f>
        <v>0</v>
      </c>
      <c r="AG12" s="9">
        <f>VLOOKUP($A12,'[1]24-8-24 DATA ENTRY'!$A$1:$BR$303,32,FALSE)</f>
        <v>0</v>
      </c>
      <c r="AH12" s="9">
        <f>VLOOKUP($A12,'[1]24-8-24 DATA ENTRY'!$A$1:$BR$303,33,FALSE)</f>
        <v>0</v>
      </c>
      <c r="AI12" s="9">
        <f>VLOOKUP($A12,'[1]24-8-24 DATA ENTRY'!$A$1:$BR$303,34,FALSE)</f>
        <v>0</v>
      </c>
      <c r="AJ12" s="9">
        <f>VLOOKUP($A12,'[1]24-8-24 DATA ENTRY'!$A$1:$BR$303,35,FALSE)</f>
        <v>0</v>
      </c>
      <c r="AK12" s="9" t="str">
        <f>VLOOKUP($A12,'[1]24-8-24 DATA ENTRY'!$A$1:$BR$303,36,FALSE)</f>
        <v>Right centrum semiovale infarct</v>
      </c>
      <c r="AL12" s="9" t="str">
        <f>VLOOKUP($A12,'[1]24-8-24 DATA ENTRY'!$A$1:$BR$303,37,FALSE)</f>
        <v>normal</v>
      </c>
      <c r="AM12" s="9">
        <f>VLOOKUP($A12,'[1]24-8-24 DATA ENTRY'!$A$1:$BR$303,38,FALSE)</f>
        <v>0</v>
      </c>
      <c r="AN12" s="9">
        <f>VLOOKUP($A12,'[1]24-8-24 DATA ENTRY'!$A$1:$BR$303,39,FALSE)</f>
        <v>10</v>
      </c>
      <c r="AO12" s="9">
        <f>VLOOKUP($A12,'[1]24-8-24 DATA ENTRY'!$A$1:$BR$303,40,FALSE)</f>
        <v>1</v>
      </c>
      <c r="AP12" s="9">
        <f>VLOOKUP($A12,'[1]24-8-24 DATA ENTRY'!$A$1:$BR$303,41,FALSE)</f>
        <v>5</v>
      </c>
      <c r="AQ12" s="9">
        <f>VLOOKUP($A12,'[1]24-8-24 DATA ENTRY'!$A$1:$BR$303,42,FALSE)</f>
        <v>3</v>
      </c>
      <c r="AR12" s="9">
        <f>VLOOKUP($A12,'[1]24-8-24 DATA ENTRY'!$A$1:$BR$303,43,FALSE)</f>
        <v>5</v>
      </c>
      <c r="AS12" s="9">
        <f>VLOOKUP($A12,'[1]24-8-24 DATA ENTRY'!$A$1:$BR$303,44,FALSE)</f>
        <v>0</v>
      </c>
      <c r="AT12" s="9">
        <f>VLOOKUP($A12,'[1]24-8-24 DATA ENTRY'!$A$1:$BR$303,45,FALSE)</f>
        <v>1</v>
      </c>
      <c r="AU12" s="9">
        <f>VLOOKUP($A12,'[1]24-8-24 DATA ENTRY'!$A$1:$BR$303,46,FALSE)</f>
        <v>1</v>
      </c>
      <c r="AV12" s="9">
        <f>VLOOKUP($A12,'[1]24-8-24 DATA ENTRY'!$A$1:$BR$303,47,FALSE)</f>
        <v>2</v>
      </c>
      <c r="AW12" s="9">
        <f>VLOOKUP($A12,'[1]24-8-24 DATA ENTRY'!$A$1:$BR$303,48,FALSE)</f>
        <v>0</v>
      </c>
      <c r="AX12" s="9">
        <f>VLOOKUP($A12,'[1]24-8-24 DATA ENTRY'!$A$1:$BR$303,49,FALSE)</f>
        <v>0</v>
      </c>
      <c r="AY12" s="9">
        <f>VLOOKUP($A12,'[1]24-8-24 DATA ENTRY'!$A$1:$BR$303,50,FALSE)</f>
        <v>0</v>
      </c>
      <c r="AZ12" s="9">
        <f>VLOOKUP($A12,'[1]24-8-24 DATA ENTRY'!$A$1:$BR$303,51,FALSE)</f>
        <v>0</v>
      </c>
      <c r="BA12" s="9">
        <f>VLOOKUP($A12,'[1]24-8-24 DATA ENTRY'!$A$1:$BR$303,52,FALSE)</f>
        <v>0</v>
      </c>
      <c r="BB12" s="5">
        <v>1</v>
      </c>
      <c r="BC12" s="9">
        <f>VLOOKUP($A12,'[1]24-8-24 DATA ENTRY'!$A$1:$BR$303,53,FALSE)</f>
        <v>100</v>
      </c>
      <c r="BD12" s="12">
        <v>1</v>
      </c>
      <c r="BE12" s="12">
        <v>2</v>
      </c>
      <c r="BF12" s="12">
        <v>2</v>
      </c>
      <c r="BG12" s="12">
        <v>2</v>
      </c>
      <c r="BH12" s="12">
        <v>1</v>
      </c>
      <c r="BI12" s="12">
        <v>1</v>
      </c>
      <c r="BJ12" s="12">
        <v>1</v>
      </c>
      <c r="BK12" s="12">
        <v>1</v>
      </c>
      <c r="BL12" s="12">
        <v>2</v>
      </c>
      <c r="BM12" s="12">
        <v>2</v>
      </c>
      <c r="BN12" s="12">
        <v>2</v>
      </c>
      <c r="BO12" s="12">
        <v>1</v>
      </c>
      <c r="BP12" s="12">
        <v>1</v>
      </c>
      <c r="BQ12" s="12">
        <v>1</v>
      </c>
      <c r="BR12" s="12">
        <v>20</v>
      </c>
      <c r="BS12" s="12">
        <v>1</v>
      </c>
      <c r="BT12" s="12">
        <v>1</v>
      </c>
      <c r="BU12" s="5"/>
    </row>
    <row r="13" spans="1:73" x14ac:dyDescent="0.25">
      <c r="A13" s="5" t="s">
        <v>531</v>
      </c>
      <c r="B13" s="5">
        <v>0</v>
      </c>
      <c r="C13" s="5">
        <v>0.71678500000000001</v>
      </c>
      <c r="D13" s="6">
        <v>230010831</v>
      </c>
      <c r="E13" s="5">
        <v>32</v>
      </c>
      <c r="F13" s="5">
        <v>1</v>
      </c>
      <c r="G13" s="7">
        <v>45267</v>
      </c>
      <c r="H13" s="11">
        <v>0.39583333333333331</v>
      </c>
      <c r="I13" s="7">
        <v>45267</v>
      </c>
      <c r="J13" s="7">
        <v>45269</v>
      </c>
      <c r="K13" s="5">
        <v>9923173137</v>
      </c>
      <c r="L13" s="5">
        <v>9028021092</v>
      </c>
      <c r="M13" s="5">
        <v>2</v>
      </c>
      <c r="N13" s="5">
        <v>1</v>
      </c>
      <c r="O13" s="5">
        <v>2</v>
      </c>
      <c r="P13" s="5">
        <v>2</v>
      </c>
      <c r="Q13" s="5">
        <v>1</v>
      </c>
      <c r="R13" s="5">
        <v>2</v>
      </c>
      <c r="S13" s="5">
        <v>2</v>
      </c>
      <c r="T13" s="5">
        <v>2</v>
      </c>
      <c r="U13" s="5">
        <v>2</v>
      </c>
      <c r="V13" s="5">
        <v>2</v>
      </c>
      <c r="W13" s="5" t="s">
        <v>532</v>
      </c>
      <c r="X13" s="5">
        <v>15.1</v>
      </c>
      <c r="Y13" s="5">
        <v>45.3</v>
      </c>
      <c r="Z13" s="5">
        <v>85.9</v>
      </c>
      <c r="AA13" s="5">
        <v>24.49</v>
      </c>
      <c r="AB13" s="5">
        <v>5.2</v>
      </c>
      <c r="AC13" s="5"/>
      <c r="AD13" s="5"/>
      <c r="AE13" s="5"/>
      <c r="AF13" s="5"/>
      <c r="AG13" s="5"/>
      <c r="AH13" s="5">
        <v>148</v>
      </c>
      <c r="AI13" s="5"/>
      <c r="AJ13" s="5"/>
      <c r="AK13" s="5" t="s">
        <v>533</v>
      </c>
      <c r="AL13" s="5" t="s">
        <v>326</v>
      </c>
      <c r="AM13" s="5"/>
      <c r="AN13" s="5">
        <v>10</v>
      </c>
      <c r="AO13" s="5">
        <v>1</v>
      </c>
      <c r="AP13" s="5">
        <v>3</v>
      </c>
      <c r="AQ13" s="5">
        <v>3</v>
      </c>
      <c r="AR13" s="5">
        <v>5</v>
      </c>
      <c r="AS13" s="5"/>
      <c r="AT13" s="5">
        <v>1</v>
      </c>
      <c r="AU13" s="5">
        <v>1</v>
      </c>
      <c r="AV13" s="5">
        <v>1</v>
      </c>
      <c r="AW13" s="5">
        <v>2</v>
      </c>
      <c r="AX13" s="5"/>
      <c r="AY13" s="5"/>
      <c r="AZ13" s="5"/>
      <c r="BA13" s="5">
        <v>6</v>
      </c>
      <c r="BB13" s="5">
        <v>2</v>
      </c>
      <c r="BC13" s="5">
        <v>0</v>
      </c>
      <c r="BD13" s="5">
        <v>1</v>
      </c>
      <c r="BE13" s="5">
        <v>2</v>
      </c>
      <c r="BF13" s="5">
        <v>2</v>
      </c>
      <c r="BG13" s="5">
        <v>2</v>
      </c>
      <c r="BH13" s="5">
        <v>1</v>
      </c>
      <c r="BI13" s="5">
        <v>1</v>
      </c>
      <c r="BJ13" s="5">
        <v>1</v>
      </c>
      <c r="BK13" s="5">
        <v>1</v>
      </c>
      <c r="BL13" s="5">
        <v>2</v>
      </c>
      <c r="BM13" s="5">
        <v>2</v>
      </c>
      <c r="BN13" s="5">
        <v>2</v>
      </c>
      <c r="BO13" s="5">
        <v>1</v>
      </c>
      <c r="BP13" s="5">
        <v>1</v>
      </c>
      <c r="BQ13" s="5">
        <v>1</v>
      </c>
      <c r="BR13" s="5">
        <v>20</v>
      </c>
      <c r="BS13" s="5">
        <v>1</v>
      </c>
      <c r="BT13" s="5">
        <v>1</v>
      </c>
      <c r="BU13" s="5"/>
    </row>
    <row r="14" spans="1:73" x14ac:dyDescent="0.25">
      <c r="A14" s="8" t="s">
        <v>378</v>
      </c>
      <c r="B14" s="5">
        <v>1</v>
      </c>
      <c r="C14" s="8">
        <v>0.72162800000000005</v>
      </c>
      <c r="D14" s="9">
        <f>VLOOKUP($A14,'[1]24-8-24 DATA ENTRY'!$A$1:$BR$258,3,FALSE)</f>
        <v>240000031562</v>
      </c>
      <c r="E14" s="9">
        <f>VLOOKUP($A14,'[1]24-8-24 DATA ENTRY'!$A$1:$BR$258,4,FALSE)</f>
        <v>50</v>
      </c>
      <c r="F14" s="9">
        <f>VLOOKUP($A14,'[1]24-8-24 DATA ENTRY'!$A$1:$BR$258,5,FALSE)</f>
        <v>1</v>
      </c>
      <c r="G14" s="10">
        <f>VLOOKUP($A14,'[1]24-8-24 DATA ENTRY'!$A$1:$BR$258,6,FALSE)</f>
        <v>45385</v>
      </c>
      <c r="H14" s="9">
        <f>VLOOKUP($A14,'[1]24-8-24 DATA ENTRY'!$A$1:$BR$258,7,FALSE)</f>
        <v>8.3333333333333329E-2</v>
      </c>
      <c r="I14" s="10">
        <f>VLOOKUP($A14,'[1]24-8-24 DATA ENTRY'!$A$1:$BR$258,8,FALSE)</f>
        <v>45385</v>
      </c>
      <c r="J14" s="10">
        <f>VLOOKUP($A14,'[1]24-8-24 DATA ENTRY'!$A$1:$BR$258,9,FALSE)</f>
        <v>45385</v>
      </c>
      <c r="K14" s="9">
        <f>VLOOKUP($A14,'[1]24-8-24 DATA ENTRY'!$A$1:$BR$258,10,FALSE)</f>
        <v>9689125965</v>
      </c>
      <c r="L14" s="9">
        <f>VLOOKUP($A14,'[1]24-8-24 DATA ENTRY'!$A$1:$BR$258,11,FALSE)</f>
        <v>0</v>
      </c>
      <c r="M14" s="9">
        <f>VLOOKUP($A14,'[1]24-8-24 DATA ENTRY'!$A$1:$BR$258,12,FALSE)</f>
        <v>3</v>
      </c>
      <c r="N14" s="9">
        <f>VLOOKUP($A14,'[1]24-8-24 DATA ENTRY'!$A$1:$BR$258,13,FALSE)</f>
        <v>2</v>
      </c>
      <c r="O14" s="9">
        <f>VLOOKUP($A14,'[1]24-8-24 DATA ENTRY'!$A$1:$BR$258,14,FALSE)</f>
        <v>1</v>
      </c>
      <c r="P14" s="9">
        <f>VLOOKUP($A14,'[1]24-8-24 DATA ENTRY'!$A$1:$BR$258,15,FALSE)</f>
        <v>1</v>
      </c>
      <c r="Q14" s="9">
        <f>VLOOKUP($A14,'[1]24-8-24 DATA ENTRY'!$A$1:$BR$258,16,FALSE)</f>
        <v>1</v>
      </c>
      <c r="R14" s="9">
        <f>VLOOKUP($A14,'[1]24-8-24 DATA ENTRY'!$A$1:$BR$258,17,FALSE)</f>
        <v>2</v>
      </c>
      <c r="S14" s="9">
        <f>VLOOKUP($A14,'[1]24-8-24 DATA ENTRY'!$A$1:$BR$258,18,FALSE)</f>
        <v>2</v>
      </c>
      <c r="T14" s="9">
        <f>VLOOKUP($A14,'[1]24-8-24 DATA ENTRY'!$A$1:$BR$258,19,FALSE)</f>
        <v>2</v>
      </c>
      <c r="U14" s="9">
        <f>VLOOKUP($A14,'[1]24-8-24 DATA ENTRY'!$A$1:$BR$258,20,FALSE)</f>
        <v>2</v>
      </c>
      <c r="V14" s="9">
        <f>VLOOKUP($A14,'[1]24-8-24 DATA ENTRY'!$A$1:$BR$258,21,FALSE)</f>
        <v>2</v>
      </c>
      <c r="W14" s="9">
        <f>VLOOKUP($A14,'[1]24-8-24 DATA ENTRY'!$A$1:$BR$258,22,FALSE)</f>
        <v>0</v>
      </c>
      <c r="X14" s="9">
        <f>VLOOKUP($A14,'[1]24-8-24 DATA ENTRY'!$A$1:$BR$258,23,FALSE)</f>
        <v>0</v>
      </c>
      <c r="Y14" s="9">
        <f>VLOOKUP($A14,'[1]24-8-24 DATA ENTRY'!$A$1:$BR$258,24,FALSE)</f>
        <v>0</v>
      </c>
      <c r="Z14" s="9">
        <f>VLOOKUP($A14,'[1]24-8-24 DATA ENTRY'!$A$1:$BR$258,25,FALSE)</f>
        <v>0</v>
      </c>
      <c r="AA14" s="9">
        <f>VLOOKUP($A14,'[1]24-8-24 DATA ENTRY'!$A$1:$BR$258,26,FALSE)</f>
        <v>0</v>
      </c>
      <c r="AB14" s="9">
        <f>VLOOKUP($A14,'[1]24-8-24 DATA ENTRY'!$A$1:$BR$258,27,FALSE)</f>
        <v>0</v>
      </c>
      <c r="AC14" s="9">
        <f>VLOOKUP($A14,'[1]24-8-24 DATA ENTRY'!$A$1:$BR$258,28,FALSE)</f>
        <v>0</v>
      </c>
      <c r="AD14" s="9">
        <f>VLOOKUP($A14,'[1]24-8-24 DATA ENTRY'!$A$1:$BR$258,29,FALSE)</f>
        <v>0</v>
      </c>
      <c r="AE14" s="9">
        <f>VLOOKUP($A14,'[1]24-8-24 DATA ENTRY'!$A$1:$BR$258,30,FALSE)</f>
        <v>0</v>
      </c>
      <c r="AF14" s="9">
        <f>VLOOKUP($A14,'[1]24-8-24 DATA ENTRY'!$A$1:$BR$258,31,FALSE)</f>
        <v>0</v>
      </c>
      <c r="AG14" s="9">
        <f>VLOOKUP($A14,'[1]24-8-24 DATA ENTRY'!$A$1:$BR$258,32,FALSE)</f>
        <v>0</v>
      </c>
      <c r="AH14" s="9">
        <f>VLOOKUP($A14,'[1]24-8-24 DATA ENTRY'!$A$1:$BR$258,33,FALSE)</f>
        <v>0</v>
      </c>
      <c r="AI14" s="9">
        <f>VLOOKUP($A14,'[1]24-8-24 DATA ENTRY'!$A$1:$BR$258,34,FALSE)</f>
        <v>0</v>
      </c>
      <c r="AJ14" s="9">
        <f>VLOOKUP($A14,'[1]24-8-24 DATA ENTRY'!$A$1:$BR$258,35,FALSE)</f>
        <v>0</v>
      </c>
      <c r="AK14" s="9" t="str">
        <f>VLOOKUP($A14,'[1]24-8-24 DATA ENTRY'!$A$1:$BR$258,36,FALSE)</f>
        <v>left posterior limb of internal capsule infarct</v>
      </c>
      <c r="AL14" s="9" t="str">
        <f>VLOOKUP($A14,'[1]24-8-24 DATA ENTRY'!$A$1:$BR$258,37,FALSE)</f>
        <v>left ICA 80% stenosis</v>
      </c>
      <c r="AM14" s="9">
        <f>VLOOKUP($A14,'[1]24-8-24 DATA ENTRY'!$A$1:$BR$258,38,FALSE)</f>
        <v>0</v>
      </c>
      <c r="AN14" s="9">
        <f>VLOOKUP($A14,'[1]24-8-24 DATA ENTRY'!$A$1:$BR$258,39,FALSE)</f>
        <v>10</v>
      </c>
      <c r="AO14" s="9">
        <f>VLOOKUP($A14,'[1]24-8-24 DATA ENTRY'!$A$1:$BR$258,40,FALSE)</f>
        <v>1</v>
      </c>
      <c r="AP14" s="9">
        <f>VLOOKUP($A14,'[1]24-8-24 DATA ENTRY'!$A$1:$BR$258,41,FALSE)</f>
        <v>3</v>
      </c>
      <c r="AQ14" s="9">
        <f>VLOOKUP($A14,'[1]24-8-24 DATA ENTRY'!$A$1:$BR$258,42,FALSE)</f>
        <v>3</v>
      </c>
      <c r="AR14" s="9">
        <f>VLOOKUP($A14,'[1]24-8-24 DATA ENTRY'!$A$1:$BR$258,43,FALSE)</f>
        <v>5</v>
      </c>
      <c r="AS14" s="9">
        <f>VLOOKUP($A14,'[1]24-8-24 DATA ENTRY'!$A$1:$BR$258,44,FALSE)</f>
        <v>0</v>
      </c>
      <c r="AT14" s="9">
        <f>VLOOKUP($A14,'[1]24-8-24 DATA ENTRY'!$A$1:$BR$258,45,FALSE)</f>
        <v>1</v>
      </c>
      <c r="AU14" s="9">
        <f>VLOOKUP($A14,'[1]24-8-24 DATA ENTRY'!$A$1:$BR$258,46,FALSE)</f>
        <v>1</v>
      </c>
      <c r="AV14" s="9">
        <f>VLOOKUP($A14,'[1]24-8-24 DATA ENTRY'!$A$1:$BR$258,47,FALSE)</f>
        <v>0</v>
      </c>
      <c r="AW14" s="9">
        <f>VLOOKUP($A14,'[1]24-8-24 DATA ENTRY'!$A$1:$BR$258,48,FALSE)</f>
        <v>0</v>
      </c>
      <c r="AX14" s="9">
        <f>VLOOKUP($A14,'[1]24-8-24 DATA ENTRY'!$A$1:$BR$258,49,FALSE)</f>
        <v>0</v>
      </c>
      <c r="AY14" s="9">
        <f>VLOOKUP($A14,'[1]24-8-24 DATA ENTRY'!$A$1:$BR$258,50,FALSE)</f>
        <v>0</v>
      </c>
      <c r="AZ14" s="9">
        <f>VLOOKUP($A14,'[1]24-8-24 DATA ENTRY'!$A$1:$BR$258,51,FALSE)</f>
        <v>0</v>
      </c>
      <c r="BA14" s="9">
        <f>VLOOKUP($A14,'[1]24-8-24 DATA ENTRY'!$A$1:$BR$258,52,FALSE)</f>
        <v>0</v>
      </c>
      <c r="BB14" s="5">
        <v>1</v>
      </c>
      <c r="BC14" s="9">
        <f>VLOOKUP($A14,'[1]24-8-24 DATA ENTRY'!$A$1:$BR$258,53,FALSE)</f>
        <v>100</v>
      </c>
      <c r="BD14" s="8">
        <v>1</v>
      </c>
      <c r="BE14" s="8">
        <v>2</v>
      </c>
      <c r="BF14" s="8">
        <v>2</v>
      </c>
      <c r="BG14" s="8">
        <v>2</v>
      </c>
      <c r="BH14" s="8">
        <v>1</v>
      </c>
      <c r="BI14" s="8">
        <v>1</v>
      </c>
      <c r="BJ14" s="8">
        <v>1</v>
      </c>
      <c r="BK14" s="8">
        <v>1</v>
      </c>
      <c r="BL14" s="8">
        <v>2</v>
      </c>
      <c r="BM14" s="8">
        <v>2</v>
      </c>
      <c r="BN14" s="8">
        <v>2</v>
      </c>
      <c r="BO14" s="8">
        <v>1</v>
      </c>
      <c r="BP14" s="8">
        <v>1</v>
      </c>
      <c r="BQ14" s="8">
        <v>1</v>
      </c>
      <c r="BR14" s="8">
        <v>20</v>
      </c>
      <c r="BS14" s="8">
        <v>1</v>
      </c>
      <c r="BT14" s="8">
        <v>1</v>
      </c>
      <c r="BU14" s="8"/>
    </row>
    <row r="15" spans="1:73" x14ac:dyDescent="0.25">
      <c r="A15" s="5" t="s">
        <v>485</v>
      </c>
      <c r="B15" s="5">
        <v>1</v>
      </c>
      <c r="C15" s="5">
        <v>0.72162800000000005</v>
      </c>
      <c r="D15" s="6">
        <v>240000000000</v>
      </c>
      <c r="E15" s="5">
        <v>30</v>
      </c>
      <c r="F15" s="5">
        <v>1</v>
      </c>
      <c r="G15" s="7">
        <v>45296</v>
      </c>
      <c r="H15" s="11">
        <v>0.91666666666666663</v>
      </c>
      <c r="I15" s="7">
        <v>45297</v>
      </c>
      <c r="J15" s="7">
        <v>45297</v>
      </c>
      <c r="K15" s="5">
        <v>9595462767</v>
      </c>
      <c r="L15" s="5">
        <v>9049331113</v>
      </c>
      <c r="M15" s="5">
        <v>1</v>
      </c>
      <c r="N15" s="5">
        <v>2</v>
      </c>
      <c r="O15" s="5">
        <v>2</v>
      </c>
      <c r="P15" s="5">
        <v>2</v>
      </c>
      <c r="Q15" s="5">
        <v>2</v>
      </c>
      <c r="R15" s="5">
        <v>2</v>
      </c>
      <c r="S15" s="5">
        <v>2</v>
      </c>
      <c r="T15" s="5">
        <v>2</v>
      </c>
      <c r="U15" s="5">
        <v>2</v>
      </c>
      <c r="V15" s="5">
        <v>2</v>
      </c>
      <c r="W15" s="5"/>
      <c r="X15" s="5">
        <v>15.4</v>
      </c>
      <c r="Y15" s="5">
        <v>46.4</v>
      </c>
      <c r="Z15" s="5">
        <v>85.9</v>
      </c>
      <c r="AA15" s="5"/>
      <c r="AB15" s="5"/>
      <c r="AC15" s="5">
        <v>144</v>
      </c>
      <c r="AD15" s="5">
        <v>96.6</v>
      </c>
      <c r="AE15" s="5">
        <v>32</v>
      </c>
      <c r="AF15" s="5">
        <v>15.4</v>
      </c>
      <c r="AG15" s="5">
        <v>77</v>
      </c>
      <c r="AH15" s="5">
        <v>184</v>
      </c>
      <c r="AI15" s="5"/>
      <c r="AJ15" s="5"/>
      <c r="AK15" s="5" t="s">
        <v>486</v>
      </c>
      <c r="AL15" s="5" t="s">
        <v>326</v>
      </c>
      <c r="AM15" s="5"/>
      <c r="AN15" s="5">
        <v>9</v>
      </c>
      <c r="AO15" s="5">
        <v>1</v>
      </c>
      <c r="AP15" s="5">
        <v>3</v>
      </c>
      <c r="AQ15" s="5">
        <v>3</v>
      </c>
      <c r="AR15" s="5">
        <v>5</v>
      </c>
      <c r="AS15" s="5"/>
      <c r="AT15" s="5">
        <v>1</v>
      </c>
      <c r="AU15" s="5">
        <v>1</v>
      </c>
      <c r="AV15" s="5">
        <v>2</v>
      </c>
      <c r="AW15" s="5"/>
      <c r="AX15" s="5"/>
      <c r="AY15" s="5"/>
      <c r="AZ15" s="5"/>
      <c r="BA15" s="5">
        <v>6</v>
      </c>
      <c r="BB15" s="5">
        <v>2</v>
      </c>
      <c r="BC15" s="5">
        <v>0</v>
      </c>
      <c r="BD15" s="5">
        <v>1</v>
      </c>
      <c r="BE15" s="5">
        <v>2</v>
      </c>
      <c r="BF15" s="5">
        <v>2</v>
      </c>
      <c r="BG15" s="5">
        <v>2</v>
      </c>
      <c r="BH15" s="5">
        <v>1</v>
      </c>
      <c r="BI15" s="5">
        <v>1</v>
      </c>
      <c r="BJ15" s="5">
        <v>1</v>
      </c>
      <c r="BK15" s="5">
        <v>1</v>
      </c>
      <c r="BL15" s="5">
        <v>2</v>
      </c>
      <c r="BM15" s="5">
        <v>2</v>
      </c>
      <c r="BN15" s="5">
        <v>2</v>
      </c>
      <c r="BO15" s="5">
        <v>1</v>
      </c>
      <c r="BP15" s="5">
        <v>1</v>
      </c>
      <c r="BQ15" s="5">
        <v>1</v>
      </c>
      <c r="BR15" s="5">
        <v>20</v>
      </c>
      <c r="BS15" s="5">
        <v>1</v>
      </c>
      <c r="BT15" s="5">
        <v>1</v>
      </c>
      <c r="BU15" s="5"/>
    </row>
    <row r="16" spans="1:73" x14ac:dyDescent="0.25">
      <c r="A16" s="8" t="s">
        <v>491</v>
      </c>
      <c r="B16" s="5">
        <v>0</v>
      </c>
      <c r="C16" s="8">
        <v>0.77490199999999998</v>
      </c>
      <c r="D16" s="9">
        <f>VLOOKUP($A16,'[1]24-8-24 DATA ENTRY'!$A$1:$BR$258,3,FALSE)</f>
        <v>240000072703</v>
      </c>
      <c r="E16" s="9">
        <f>VLOOKUP($A16,'[1]24-8-24 DATA ENTRY'!$A$1:$BR$258,4,FALSE)</f>
        <v>67</v>
      </c>
      <c r="F16" s="9">
        <f>VLOOKUP($A16,'[1]24-8-24 DATA ENTRY'!$A$1:$BR$258,5,FALSE)</f>
        <v>1</v>
      </c>
      <c r="G16" s="10">
        <f>VLOOKUP($A16,'[1]24-8-24 DATA ENTRY'!$A$1:$BR$258,6,FALSE)</f>
        <v>45391</v>
      </c>
      <c r="H16" s="9">
        <f>VLOOKUP($A16,'[1]24-8-24 DATA ENTRY'!$A$1:$BR$258,7,FALSE)</f>
        <v>0.25</v>
      </c>
      <c r="I16" s="10">
        <f>VLOOKUP($A16,'[1]24-8-24 DATA ENTRY'!$A$1:$BR$258,8,FALSE)</f>
        <v>45393</v>
      </c>
      <c r="J16" s="10">
        <f>VLOOKUP($A16,'[1]24-8-24 DATA ENTRY'!$A$1:$BR$258,9,FALSE)</f>
        <v>0</v>
      </c>
      <c r="K16" s="9">
        <f>VLOOKUP($A16,'[1]24-8-24 DATA ENTRY'!$A$1:$BR$258,10,FALSE)</f>
        <v>7661944723</v>
      </c>
      <c r="L16" s="9">
        <f>VLOOKUP($A16,'[1]24-8-24 DATA ENTRY'!$A$1:$BR$258,11,FALSE)</f>
        <v>0</v>
      </c>
      <c r="M16" s="9">
        <f>VLOOKUP($A16,'[1]24-8-24 DATA ENTRY'!$A$1:$BR$258,12,FALSE)</f>
        <v>4</v>
      </c>
      <c r="N16" s="9">
        <f>VLOOKUP($A16,'[1]24-8-24 DATA ENTRY'!$A$1:$BR$258,13,FALSE)</f>
        <v>1</v>
      </c>
      <c r="O16" s="9">
        <f>VLOOKUP($A16,'[1]24-8-24 DATA ENTRY'!$A$1:$BR$258,14,FALSE)</f>
        <v>1</v>
      </c>
      <c r="P16" s="9">
        <f>VLOOKUP($A16,'[1]24-8-24 DATA ENTRY'!$A$1:$BR$258,15,FALSE)</f>
        <v>2</v>
      </c>
      <c r="Q16" s="9">
        <f>VLOOKUP($A16,'[1]24-8-24 DATA ENTRY'!$A$1:$BR$258,16,FALSE)</f>
        <v>2</v>
      </c>
      <c r="R16" s="9">
        <f>VLOOKUP($A16,'[1]24-8-24 DATA ENTRY'!$A$1:$BR$258,17,FALSE)</f>
        <v>2</v>
      </c>
      <c r="S16" s="9">
        <f>VLOOKUP($A16,'[1]24-8-24 DATA ENTRY'!$A$1:$BR$258,18,FALSE)</f>
        <v>2</v>
      </c>
      <c r="T16" s="9">
        <f>VLOOKUP($A16,'[1]24-8-24 DATA ENTRY'!$A$1:$BR$258,19,FALSE)</f>
        <v>0</v>
      </c>
      <c r="U16" s="9">
        <f>VLOOKUP($A16,'[1]24-8-24 DATA ENTRY'!$A$1:$BR$258,20,FALSE)</f>
        <v>0</v>
      </c>
      <c r="V16" s="9">
        <f>VLOOKUP($A16,'[1]24-8-24 DATA ENTRY'!$A$1:$BR$258,21,FALSE)</f>
        <v>0</v>
      </c>
      <c r="W16" s="9" t="str">
        <f>VLOOKUP($A16,'[1]24-8-24 DATA ENTRY'!$A$1:$BR$258,22,FALSE)</f>
        <v>old cva, Rt corona radiata infarct, centrum semiovale infarct</v>
      </c>
      <c r="X16" s="9">
        <f>VLOOKUP($A16,'[1]24-8-24 DATA ENTRY'!$A$1:$BR$258,23,FALSE)</f>
        <v>15.5</v>
      </c>
      <c r="Y16" s="9">
        <f>VLOOKUP($A16,'[1]24-8-24 DATA ENTRY'!$A$1:$BR$258,24,FALSE)</f>
        <v>47.1</v>
      </c>
      <c r="Z16" s="9">
        <f>VLOOKUP($A16,'[1]24-8-24 DATA ENTRY'!$A$1:$BR$258,25,FALSE)</f>
        <v>90</v>
      </c>
      <c r="AA16" s="9">
        <f>VLOOKUP($A16,'[1]24-8-24 DATA ENTRY'!$A$1:$BR$258,26,FALSE)</f>
        <v>0</v>
      </c>
      <c r="AB16" s="9">
        <f>VLOOKUP($A16,'[1]24-8-24 DATA ENTRY'!$A$1:$BR$258,27,FALSE)</f>
        <v>7.4</v>
      </c>
      <c r="AC16" s="9">
        <f>VLOOKUP($A16,'[1]24-8-24 DATA ENTRY'!$A$1:$BR$258,28,FALSE)</f>
        <v>115</v>
      </c>
      <c r="AD16" s="9">
        <f>VLOOKUP($A16,'[1]24-8-24 DATA ENTRY'!$A$1:$BR$258,29,FALSE)</f>
        <v>52.2</v>
      </c>
      <c r="AE16" s="9">
        <f>VLOOKUP($A16,'[1]24-8-24 DATA ENTRY'!$A$1:$BR$258,30,FALSE)</f>
        <v>31</v>
      </c>
      <c r="AF16" s="9">
        <f>VLOOKUP($A16,'[1]24-8-24 DATA ENTRY'!$A$1:$BR$258,31,FALSE)</f>
        <v>31.8</v>
      </c>
      <c r="AG16" s="9">
        <f>VLOOKUP($A16,'[1]24-8-24 DATA ENTRY'!$A$1:$BR$258,32,FALSE)</f>
        <v>159</v>
      </c>
      <c r="AH16" s="9">
        <f>VLOOKUP($A16,'[1]24-8-24 DATA ENTRY'!$A$1:$BR$258,33,FALSE)</f>
        <v>400</v>
      </c>
      <c r="AI16" s="9">
        <f>VLOOKUP($A16,'[1]24-8-24 DATA ENTRY'!$A$1:$BR$258,34,FALSE)</f>
        <v>0</v>
      </c>
      <c r="AJ16" s="9">
        <f>VLOOKUP($A16,'[1]24-8-24 DATA ENTRY'!$A$1:$BR$258,35,FALSE)</f>
        <v>0</v>
      </c>
      <c r="AK16" s="9" t="str">
        <f>VLOOKUP($A16,'[1]24-8-24 DATA ENTRY'!$A$1:$BR$258,36,FALSE)</f>
        <v>acute left parietal and Rt frontal lacunar infarct</v>
      </c>
      <c r="AL16" s="9">
        <f>VLOOKUP($A16,'[1]24-8-24 DATA ENTRY'!$A$1:$BR$258,37,FALSE)</f>
        <v>0</v>
      </c>
      <c r="AM16" s="9">
        <f>VLOOKUP($A16,'[1]24-8-24 DATA ENTRY'!$A$1:$BR$258,38,FALSE)</f>
        <v>0</v>
      </c>
      <c r="AN16" s="9">
        <f>VLOOKUP($A16,'[1]24-8-24 DATA ENTRY'!$A$1:$BR$258,39,FALSE)</f>
        <v>0</v>
      </c>
      <c r="AO16" s="9">
        <f>VLOOKUP($A16,'[1]24-8-24 DATA ENTRY'!$A$1:$BR$258,40,FALSE)</f>
        <v>0</v>
      </c>
      <c r="AP16" s="9">
        <f>VLOOKUP($A16,'[1]24-8-24 DATA ENTRY'!$A$1:$BR$258,41,FALSE)</f>
        <v>0</v>
      </c>
      <c r="AQ16" s="9">
        <f>VLOOKUP($A16,'[1]24-8-24 DATA ENTRY'!$A$1:$BR$258,42,FALSE)</f>
        <v>0</v>
      </c>
      <c r="AR16" s="9">
        <f>VLOOKUP($A16,'[1]24-8-24 DATA ENTRY'!$A$1:$BR$258,43,FALSE)</f>
        <v>0</v>
      </c>
      <c r="AS16" s="9">
        <f>VLOOKUP($A16,'[1]24-8-24 DATA ENTRY'!$A$1:$BR$258,44,FALSE)</f>
        <v>0</v>
      </c>
      <c r="AT16" s="9">
        <f>VLOOKUP($A16,'[1]24-8-24 DATA ENTRY'!$A$1:$BR$258,45,FALSE)</f>
        <v>1</v>
      </c>
      <c r="AU16" s="9">
        <f>VLOOKUP($A16,'[1]24-8-24 DATA ENTRY'!$A$1:$BR$258,46,FALSE)</f>
        <v>1</v>
      </c>
      <c r="AV16" s="9">
        <f>VLOOKUP($A16,'[1]24-8-24 DATA ENTRY'!$A$1:$BR$258,47,FALSE)</f>
        <v>2</v>
      </c>
      <c r="AW16" s="9">
        <f>VLOOKUP($A16,'[1]24-8-24 DATA ENTRY'!$A$1:$BR$258,48,FALSE)</f>
        <v>0</v>
      </c>
      <c r="AX16" s="9">
        <f>VLOOKUP($A16,'[1]24-8-24 DATA ENTRY'!$A$1:$BR$258,49,FALSE)</f>
        <v>0</v>
      </c>
      <c r="AY16" s="9">
        <f>VLOOKUP($A16,'[1]24-8-24 DATA ENTRY'!$A$1:$BR$258,50,FALSE)</f>
        <v>0</v>
      </c>
      <c r="AZ16" s="9">
        <f>VLOOKUP($A16,'[1]24-8-24 DATA ENTRY'!$A$1:$BR$258,51,FALSE)</f>
        <v>0</v>
      </c>
      <c r="BA16" s="9">
        <f>VLOOKUP($A16,'[1]24-8-24 DATA ENTRY'!$A$1:$BR$258,52,FALSE)</f>
        <v>0</v>
      </c>
      <c r="BB16" s="5">
        <v>1</v>
      </c>
      <c r="BC16" s="9">
        <f>VLOOKUP($A16,'[1]24-8-24 DATA ENTRY'!$A$1:$BR$258,53,FALSE)</f>
        <v>0</v>
      </c>
      <c r="BD16" s="8">
        <v>1</v>
      </c>
      <c r="BE16" s="8">
        <v>2</v>
      </c>
      <c r="BF16" s="8">
        <v>2</v>
      </c>
      <c r="BG16" s="8">
        <v>2</v>
      </c>
      <c r="BH16" s="8">
        <v>1</v>
      </c>
      <c r="BI16" s="8">
        <v>1</v>
      </c>
      <c r="BJ16" s="8">
        <v>1</v>
      </c>
      <c r="BK16" s="8">
        <v>1</v>
      </c>
      <c r="BL16" s="8">
        <v>2</v>
      </c>
      <c r="BM16" s="8">
        <v>2</v>
      </c>
      <c r="BN16" s="8">
        <v>2</v>
      </c>
      <c r="BO16" s="8">
        <v>1</v>
      </c>
      <c r="BP16" s="8">
        <v>1</v>
      </c>
      <c r="BQ16" s="8">
        <v>1</v>
      </c>
      <c r="BR16" s="8">
        <v>20</v>
      </c>
      <c r="BS16" s="8">
        <v>1</v>
      </c>
      <c r="BT16" s="8">
        <v>1</v>
      </c>
      <c r="BU16" s="8" t="s">
        <v>373</v>
      </c>
    </row>
    <row r="17" spans="1:73" x14ac:dyDescent="0.25">
      <c r="A17" s="5" t="s">
        <v>459</v>
      </c>
      <c r="B17" s="5">
        <v>1</v>
      </c>
      <c r="C17" s="5">
        <v>0.91022599999999998</v>
      </c>
      <c r="D17" s="6">
        <v>220402573</v>
      </c>
      <c r="E17" s="5">
        <v>50</v>
      </c>
      <c r="F17" s="5">
        <v>1</v>
      </c>
      <c r="G17" s="7"/>
      <c r="H17" s="5"/>
      <c r="I17" s="7">
        <v>44974</v>
      </c>
      <c r="J17" s="7">
        <v>44979</v>
      </c>
      <c r="K17" s="5">
        <v>9373878732</v>
      </c>
      <c r="L17" s="5"/>
      <c r="M17" s="5">
        <v>3</v>
      </c>
      <c r="N17" s="5">
        <v>1</v>
      </c>
      <c r="O17" s="5">
        <v>2</v>
      </c>
      <c r="P17" s="5">
        <v>2</v>
      </c>
      <c r="Q17" s="5">
        <v>2</v>
      </c>
      <c r="R17" s="5">
        <v>2</v>
      </c>
      <c r="S17" s="5">
        <v>2</v>
      </c>
      <c r="T17" s="5">
        <v>2</v>
      </c>
      <c r="U17" s="5">
        <v>2</v>
      </c>
      <c r="V17" s="5">
        <v>2</v>
      </c>
      <c r="W17" s="5" t="s">
        <v>460</v>
      </c>
      <c r="X17" s="5">
        <v>16.2</v>
      </c>
      <c r="Y17" s="5">
        <v>47</v>
      </c>
      <c r="Z17" s="5"/>
      <c r="AA17" s="5">
        <v>70</v>
      </c>
      <c r="AB17" s="5">
        <v>5.4</v>
      </c>
      <c r="AC17" s="5"/>
      <c r="AD17" s="5"/>
      <c r="AE17" s="5"/>
      <c r="AF17" s="5"/>
      <c r="AG17" s="5"/>
      <c r="AH17" s="5">
        <v>2000</v>
      </c>
      <c r="AI17" s="5" t="s">
        <v>461</v>
      </c>
      <c r="AJ17" s="5"/>
      <c r="AK17" s="5" t="s">
        <v>462</v>
      </c>
      <c r="AL17" s="5" t="s">
        <v>326</v>
      </c>
      <c r="AM17" s="5"/>
      <c r="AN17" s="5">
        <v>10</v>
      </c>
      <c r="AO17" s="5">
        <v>1</v>
      </c>
      <c r="AP17" s="5">
        <v>3</v>
      </c>
      <c r="AQ17" s="5">
        <v>3</v>
      </c>
      <c r="AR17" s="5">
        <v>5</v>
      </c>
      <c r="AS17" s="5"/>
      <c r="AT17" s="5">
        <v>1</v>
      </c>
      <c r="AU17" s="5">
        <v>1</v>
      </c>
      <c r="AV17" s="5">
        <v>2</v>
      </c>
      <c r="AW17" s="5"/>
      <c r="AX17" s="5">
        <v>4</v>
      </c>
      <c r="AY17" s="5">
        <v>2</v>
      </c>
      <c r="AZ17" s="5">
        <v>2</v>
      </c>
      <c r="BA17" s="5">
        <v>5</v>
      </c>
      <c r="BB17" s="5">
        <v>2</v>
      </c>
      <c r="BC17" s="5">
        <v>10</v>
      </c>
      <c r="BD17" s="5">
        <v>1</v>
      </c>
      <c r="BE17" s="5">
        <v>2</v>
      </c>
      <c r="BF17" s="5">
        <v>2</v>
      </c>
      <c r="BG17" s="5">
        <v>2</v>
      </c>
      <c r="BH17" s="5">
        <v>1</v>
      </c>
      <c r="BI17" s="5">
        <v>1</v>
      </c>
      <c r="BJ17" s="5">
        <v>1</v>
      </c>
      <c r="BK17" s="5">
        <v>1</v>
      </c>
      <c r="BL17" s="5">
        <v>2</v>
      </c>
      <c r="BM17" s="5">
        <v>2</v>
      </c>
      <c r="BN17" s="5">
        <v>2</v>
      </c>
      <c r="BO17" s="5">
        <v>1</v>
      </c>
      <c r="BP17" s="5">
        <v>1</v>
      </c>
      <c r="BQ17" s="5">
        <v>1</v>
      </c>
      <c r="BR17" s="5">
        <v>20</v>
      </c>
      <c r="BS17" s="5">
        <v>1</v>
      </c>
      <c r="BT17" s="5">
        <v>1</v>
      </c>
      <c r="BU17" s="5"/>
    </row>
    <row r="18" spans="1:73" x14ac:dyDescent="0.25">
      <c r="A18" s="5" t="s">
        <v>433</v>
      </c>
      <c r="B18" s="5">
        <v>1</v>
      </c>
      <c r="C18" s="5">
        <v>0.92019600000000001</v>
      </c>
      <c r="D18" s="6">
        <v>24000000000</v>
      </c>
      <c r="E18" s="5">
        <v>42</v>
      </c>
      <c r="F18" s="5">
        <v>1</v>
      </c>
      <c r="G18" s="7">
        <v>45324</v>
      </c>
      <c r="H18" s="20">
        <v>0.95833333333333337</v>
      </c>
      <c r="I18" s="7">
        <v>45325</v>
      </c>
      <c r="J18" s="7"/>
      <c r="K18" s="5">
        <v>9021456694</v>
      </c>
      <c r="L18" s="5"/>
      <c r="M18" s="5">
        <v>3</v>
      </c>
      <c r="N18" s="5">
        <v>1</v>
      </c>
      <c r="O18" s="5">
        <v>2</v>
      </c>
      <c r="P18" s="5">
        <v>1</v>
      </c>
      <c r="Q18" s="5">
        <v>2</v>
      </c>
      <c r="R18" s="5">
        <v>1</v>
      </c>
      <c r="S18" s="5">
        <v>2</v>
      </c>
      <c r="T18" s="5">
        <v>2</v>
      </c>
      <c r="U18" s="5">
        <v>2</v>
      </c>
      <c r="V18" s="5">
        <v>2</v>
      </c>
      <c r="W18" s="5"/>
      <c r="X18" s="5"/>
      <c r="Y18" s="5"/>
      <c r="Z18" s="5"/>
      <c r="AA18" s="5"/>
      <c r="AB18" s="5"/>
      <c r="AC18" s="5"/>
      <c r="AD18" s="5"/>
      <c r="AE18" s="5"/>
      <c r="AF18" s="5"/>
      <c r="AG18" s="5"/>
      <c r="AH18" s="5"/>
      <c r="AI18" s="5"/>
      <c r="AJ18" s="5"/>
      <c r="AK18" s="5" t="s">
        <v>434</v>
      </c>
      <c r="AL18" s="5" t="s">
        <v>435</v>
      </c>
      <c r="AM18" s="5"/>
      <c r="AN18" s="5">
        <v>8</v>
      </c>
      <c r="AO18" s="5" t="s">
        <v>720</v>
      </c>
      <c r="AP18" s="5">
        <v>3</v>
      </c>
      <c r="AQ18" s="5">
        <v>2</v>
      </c>
      <c r="AR18" s="5">
        <v>5</v>
      </c>
      <c r="AS18" s="5"/>
      <c r="AT18" s="5">
        <v>1</v>
      </c>
      <c r="AU18" s="5">
        <v>1</v>
      </c>
      <c r="AV18" s="5">
        <v>2</v>
      </c>
      <c r="AW18" s="5">
        <v>4</v>
      </c>
      <c r="AX18" s="5">
        <v>8</v>
      </c>
      <c r="AY18" s="5">
        <v>2</v>
      </c>
      <c r="AZ18" s="5">
        <v>2</v>
      </c>
      <c r="BA18" s="5">
        <v>4</v>
      </c>
      <c r="BB18" s="5">
        <v>2</v>
      </c>
      <c r="BC18" s="5">
        <v>15</v>
      </c>
      <c r="BD18" s="5">
        <v>1</v>
      </c>
      <c r="BE18" s="5">
        <v>2</v>
      </c>
      <c r="BF18" s="5">
        <v>2</v>
      </c>
      <c r="BG18" s="5">
        <v>2</v>
      </c>
      <c r="BH18" s="5">
        <v>1</v>
      </c>
      <c r="BI18" s="5">
        <v>1</v>
      </c>
      <c r="BJ18" s="5">
        <v>1</v>
      </c>
      <c r="BK18" s="5">
        <v>1</v>
      </c>
      <c r="BL18" s="5">
        <v>2</v>
      </c>
      <c r="BM18" s="5">
        <v>2</v>
      </c>
      <c r="BN18" s="5">
        <v>2</v>
      </c>
      <c r="BO18" s="5">
        <v>1</v>
      </c>
      <c r="BP18" s="5">
        <v>1</v>
      </c>
      <c r="BQ18" s="5">
        <v>1</v>
      </c>
      <c r="BR18" s="5">
        <v>20</v>
      </c>
      <c r="BS18" s="5">
        <v>1</v>
      </c>
      <c r="BT18" s="5">
        <v>1</v>
      </c>
      <c r="BU18" s="5"/>
    </row>
    <row r="19" spans="1:73" x14ac:dyDescent="0.25">
      <c r="A19" s="5" t="s">
        <v>463</v>
      </c>
      <c r="B19" s="5">
        <v>1</v>
      </c>
      <c r="C19" s="5">
        <v>0.93472299999999997</v>
      </c>
      <c r="D19" s="6">
        <v>230000000000</v>
      </c>
      <c r="E19" s="5">
        <v>47</v>
      </c>
      <c r="F19" s="5">
        <v>1</v>
      </c>
      <c r="G19" s="7">
        <v>45208</v>
      </c>
      <c r="H19" s="11">
        <v>0.35416666666666669</v>
      </c>
      <c r="I19" s="7">
        <v>45208</v>
      </c>
      <c r="J19" s="7">
        <v>45211</v>
      </c>
      <c r="K19" s="5">
        <v>932283864</v>
      </c>
      <c r="L19" s="5">
        <v>7378323273</v>
      </c>
      <c r="M19" s="5">
        <v>8</v>
      </c>
      <c r="N19" s="5">
        <v>1</v>
      </c>
      <c r="O19" s="5">
        <v>2</v>
      </c>
      <c r="P19" s="5">
        <v>2</v>
      </c>
      <c r="Q19" s="5">
        <v>2</v>
      </c>
      <c r="R19" s="5">
        <v>1</v>
      </c>
      <c r="S19" s="5">
        <v>2</v>
      </c>
      <c r="T19" s="5">
        <v>2</v>
      </c>
      <c r="U19" s="5">
        <v>2</v>
      </c>
      <c r="V19" s="5">
        <v>2</v>
      </c>
      <c r="W19" s="5" t="s">
        <v>464</v>
      </c>
      <c r="X19" s="5">
        <v>13.2</v>
      </c>
      <c r="Y19" s="5"/>
      <c r="Z19" s="5"/>
      <c r="AA19" s="5">
        <v>7.61</v>
      </c>
      <c r="AB19" s="5"/>
      <c r="AC19" s="5">
        <v>182</v>
      </c>
      <c r="AD19" s="5">
        <v>126.6</v>
      </c>
      <c r="AE19" s="5">
        <v>41</v>
      </c>
      <c r="AF19" s="5">
        <v>14.4</v>
      </c>
      <c r="AG19" s="5">
        <v>72</v>
      </c>
      <c r="AH19" s="5">
        <v>735</v>
      </c>
      <c r="AI19" s="5"/>
      <c r="AJ19" s="5"/>
      <c r="AK19" s="5" t="s">
        <v>465</v>
      </c>
      <c r="AL19" s="5" t="s">
        <v>326</v>
      </c>
      <c r="AM19" s="5"/>
      <c r="AN19" s="5">
        <v>10</v>
      </c>
      <c r="AO19" s="5">
        <v>1</v>
      </c>
      <c r="AP19" s="5">
        <v>5</v>
      </c>
      <c r="AQ19" s="5">
        <v>3</v>
      </c>
      <c r="AR19" s="5">
        <v>5</v>
      </c>
      <c r="AS19" s="5"/>
      <c r="AT19" s="5">
        <v>1</v>
      </c>
      <c r="AU19" s="5">
        <v>2</v>
      </c>
      <c r="AV19" s="5">
        <v>2</v>
      </c>
      <c r="AW19" s="5"/>
      <c r="AX19" s="5"/>
      <c r="AY19" s="5"/>
      <c r="AZ19" s="5"/>
      <c r="BA19" s="5">
        <v>5</v>
      </c>
      <c r="BB19" s="5">
        <v>2</v>
      </c>
      <c r="BC19" s="5">
        <v>15</v>
      </c>
      <c r="BD19" s="5">
        <v>1</v>
      </c>
      <c r="BE19" s="5">
        <v>2</v>
      </c>
      <c r="BF19" s="5">
        <v>2</v>
      </c>
      <c r="BG19" s="5">
        <v>2</v>
      </c>
      <c r="BH19" s="5">
        <v>1</v>
      </c>
      <c r="BI19" s="5">
        <v>1</v>
      </c>
      <c r="BJ19" s="5">
        <v>1</v>
      </c>
      <c r="BK19" s="5">
        <v>1</v>
      </c>
      <c r="BL19" s="5">
        <v>2</v>
      </c>
      <c r="BM19" s="5">
        <v>2</v>
      </c>
      <c r="BN19" s="5">
        <v>2</v>
      </c>
      <c r="BO19" s="5">
        <v>1</v>
      </c>
      <c r="BP19" s="5">
        <v>1</v>
      </c>
      <c r="BQ19" s="5">
        <v>1</v>
      </c>
      <c r="BR19" s="5">
        <v>20</v>
      </c>
      <c r="BS19" s="5">
        <v>1</v>
      </c>
      <c r="BT19" s="5">
        <v>1</v>
      </c>
      <c r="BU19" s="5"/>
    </row>
    <row r="20" spans="1:73" x14ac:dyDescent="0.25">
      <c r="A20" s="5" t="s">
        <v>436</v>
      </c>
      <c r="B20" s="5">
        <v>1</v>
      </c>
      <c r="C20" s="5">
        <v>0.93472599999999995</v>
      </c>
      <c r="D20" s="6">
        <v>240000000000</v>
      </c>
      <c r="E20" s="5">
        <v>59</v>
      </c>
      <c r="F20" s="5">
        <v>1</v>
      </c>
      <c r="G20" s="7">
        <v>45298</v>
      </c>
      <c r="H20" s="11">
        <v>0.58333333333333337</v>
      </c>
      <c r="I20" s="7">
        <v>45298</v>
      </c>
      <c r="J20" s="7">
        <v>45300</v>
      </c>
      <c r="K20" s="5">
        <v>8390060098</v>
      </c>
      <c r="L20" s="5">
        <v>7350544384</v>
      </c>
      <c r="M20" s="5">
        <v>2</v>
      </c>
      <c r="N20" s="5">
        <v>1</v>
      </c>
      <c r="O20" s="5">
        <v>2</v>
      </c>
      <c r="P20" s="5">
        <v>2</v>
      </c>
      <c r="Q20" s="5">
        <v>2</v>
      </c>
      <c r="R20" s="5">
        <v>2</v>
      </c>
      <c r="S20" s="5">
        <v>2</v>
      </c>
      <c r="T20" s="5">
        <v>2</v>
      </c>
      <c r="U20" s="5">
        <v>2</v>
      </c>
      <c r="V20" s="5">
        <v>2</v>
      </c>
      <c r="W20" s="5" t="s">
        <v>437</v>
      </c>
      <c r="X20" s="5">
        <v>13.2</v>
      </c>
      <c r="Y20" s="5">
        <v>39.299999999999997</v>
      </c>
      <c r="Z20" s="5">
        <v>82.9</v>
      </c>
      <c r="AA20" s="5">
        <v>48.66</v>
      </c>
      <c r="AB20" s="5"/>
      <c r="AC20" s="5">
        <v>145</v>
      </c>
      <c r="AD20" s="5">
        <v>94.6</v>
      </c>
      <c r="AE20" s="5">
        <v>43</v>
      </c>
      <c r="AF20" s="5">
        <v>7.4</v>
      </c>
      <c r="AG20" s="5">
        <v>37</v>
      </c>
      <c r="AH20" s="5">
        <v>148</v>
      </c>
      <c r="AI20" s="5"/>
      <c r="AJ20" s="5"/>
      <c r="AK20" s="5" t="s">
        <v>438</v>
      </c>
      <c r="AL20" s="5" t="s">
        <v>326</v>
      </c>
      <c r="AM20" s="5"/>
      <c r="AN20" s="5">
        <v>9</v>
      </c>
      <c r="AO20" s="5">
        <v>1</v>
      </c>
      <c r="AP20" s="5">
        <v>3</v>
      </c>
      <c r="AQ20" s="5">
        <v>3</v>
      </c>
      <c r="AR20" s="5">
        <v>5</v>
      </c>
      <c r="AS20" s="5"/>
      <c r="AT20" s="5">
        <v>1</v>
      </c>
      <c r="AU20" s="5"/>
      <c r="AV20" s="5">
        <v>2</v>
      </c>
      <c r="AW20" s="5"/>
      <c r="AX20" s="5"/>
      <c r="AY20" s="5"/>
      <c r="AZ20" s="5">
        <v>1</v>
      </c>
      <c r="BA20" s="5">
        <v>4</v>
      </c>
      <c r="BB20" s="5">
        <v>2</v>
      </c>
      <c r="BC20" s="5">
        <v>15</v>
      </c>
      <c r="BD20" s="5">
        <v>1</v>
      </c>
      <c r="BE20" s="5">
        <v>2</v>
      </c>
      <c r="BF20" s="5">
        <v>2</v>
      </c>
      <c r="BG20" s="5">
        <v>2</v>
      </c>
      <c r="BH20" s="5">
        <v>1</v>
      </c>
      <c r="BI20" s="5">
        <v>1</v>
      </c>
      <c r="BJ20" s="5">
        <v>1</v>
      </c>
      <c r="BK20" s="5">
        <v>1</v>
      </c>
      <c r="BL20" s="5">
        <v>2</v>
      </c>
      <c r="BM20" s="5">
        <v>2</v>
      </c>
      <c r="BN20" s="5">
        <v>2</v>
      </c>
      <c r="BO20" s="5">
        <v>1</v>
      </c>
      <c r="BP20" s="5">
        <v>1</v>
      </c>
      <c r="BQ20" s="5">
        <v>1</v>
      </c>
      <c r="BR20" s="5">
        <v>20</v>
      </c>
      <c r="BS20" s="5">
        <v>1</v>
      </c>
      <c r="BT20" s="5">
        <v>1</v>
      </c>
      <c r="BU20" s="5"/>
    </row>
    <row r="21" spans="1:73" x14ac:dyDescent="0.25">
      <c r="A21" s="5" t="s">
        <v>439</v>
      </c>
      <c r="B21" s="5">
        <v>1</v>
      </c>
      <c r="C21" s="5">
        <v>0.95894199999999996</v>
      </c>
      <c r="D21" s="6">
        <v>130403752</v>
      </c>
      <c r="E21" s="5">
        <v>75</v>
      </c>
      <c r="F21" s="5">
        <v>1</v>
      </c>
      <c r="G21" s="7">
        <v>45125</v>
      </c>
      <c r="H21" s="11">
        <v>0.66666666666666663</v>
      </c>
      <c r="I21" s="7">
        <v>45125</v>
      </c>
      <c r="J21" s="7">
        <v>45132</v>
      </c>
      <c r="K21" s="5">
        <v>8421492004</v>
      </c>
      <c r="L21" s="5"/>
      <c r="M21" s="5">
        <v>6</v>
      </c>
      <c r="N21" s="5">
        <v>2</v>
      </c>
      <c r="O21" s="5">
        <v>2</v>
      </c>
      <c r="P21" s="5">
        <v>1</v>
      </c>
      <c r="Q21" s="5">
        <v>1</v>
      </c>
      <c r="R21" s="5">
        <v>1</v>
      </c>
      <c r="S21" s="5">
        <v>2</v>
      </c>
      <c r="T21" s="5">
        <v>2</v>
      </c>
      <c r="U21" s="5">
        <v>2</v>
      </c>
      <c r="V21" s="5">
        <v>2</v>
      </c>
      <c r="W21" s="5" t="s">
        <v>440</v>
      </c>
      <c r="X21" s="5">
        <v>13</v>
      </c>
      <c r="Y21" s="5">
        <v>39.6</v>
      </c>
      <c r="Z21" s="5">
        <v>89.2</v>
      </c>
      <c r="AA21" s="5">
        <v>39.6</v>
      </c>
      <c r="AB21" s="5">
        <v>5.7</v>
      </c>
      <c r="AC21" s="5"/>
      <c r="AD21" s="5"/>
      <c r="AE21" s="5"/>
      <c r="AF21" s="5"/>
      <c r="AG21" s="5"/>
      <c r="AH21" s="5">
        <v>401</v>
      </c>
      <c r="AI21" s="5" t="s">
        <v>441</v>
      </c>
      <c r="AJ21" s="5"/>
      <c r="AK21" s="5" t="s">
        <v>442</v>
      </c>
      <c r="AL21" s="5" t="s">
        <v>443</v>
      </c>
      <c r="AM21" s="5"/>
      <c r="AN21" s="5">
        <v>9</v>
      </c>
      <c r="AO21" s="5" t="s">
        <v>722</v>
      </c>
      <c r="AP21" s="5">
        <v>4</v>
      </c>
      <c r="AQ21" s="5">
        <v>3</v>
      </c>
      <c r="AR21" s="5">
        <v>5</v>
      </c>
      <c r="AS21" s="5"/>
      <c r="AT21" s="5">
        <v>1</v>
      </c>
      <c r="AU21" s="5">
        <v>2</v>
      </c>
      <c r="AV21" s="5">
        <v>2</v>
      </c>
      <c r="AW21" s="5">
        <v>4</v>
      </c>
      <c r="AX21" s="5">
        <v>2</v>
      </c>
      <c r="AY21" s="5">
        <v>2</v>
      </c>
      <c r="AZ21" s="5">
        <v>2</v>
      </c>
      <c r="BA21" s="5">
        <v>4</v>
      </c>
      <c r="BB21" s="5">
        <v>2</v>
      </c>
      <c r="BC21" s="5">
        <v>20</v>
      </c>
      <c r="BD21" s="5">
        <v>1</v>
      </c>
      <c r="BE21" s="5">
        <v>2</v>
      </c>
      <c r="BF21" s="5">
        <v>2</v>
      </c>
      <c r="BG21" s="5">
        <v>2</v>
      </c>
      <c r="BH21" s="5">
        <v>1</v>
      </c>
      <c r="BI21" s="5">
        <v>1</v>
      </c>
      <c r="BJ21" s="5">
        <v>1</v>
      </c>
      <c r="BK21" s="5">
        <v>1</v>
      </c>
      <c r="BL21" s="5">
        <v>2</v>
      </c>
      <c r="BM21" s="5">
        <v>2</v>
      </c>
      <c r="BN21" s="5">
        <v>2</v>
      </c>
      <c r="BO21" s="5">
        <v>1</v>
      </c>
      <c r="BP21" s="5">
        <v>1</v>
      </c>
      <c r="BQ21" s="5">
        <v>1</v>
      </c>
      <c r="BR21" s="5">
        <v>20</v>
      </c>
      <c r="BS21" s="5">
        <v>1</v>
      </c>
      <c r="BT21" s="5">
        <v>1</v>
      </c>
      <c r="BU21" s="5" t="s">
        <v>444</v>
      </c>
    </row>
    <row r="22" spans="1:73" x14ac:dyDescent="0.25">
      <c r="A22" s="5" t="s">
        <v>528</v>
      </c>
      <c r="B22" s="5">
        <v>0</v>
      </c>
      <c r="C22" s="5">
        <v>0.98799999999999999</v>
      </c>
      <c r="D22" s="6">
        <v>230000000000</v>
      </c>
      <c r="E22" s="5">
        <v>45</v>
      </c>
      <c r="F22" s="5">
        <v>1</v>
      </c>
      <c r="G22" s="7">
        <v>45289</v>
      </c>
      <c r="H22" s="11">
        <v>0.39583333333333331</v>
      </c>
      <c r="I22" s="7">
        <v>45289</v>
      </c>
      <c r="J22" s="7">
        <v>45291</v>
      </c>
      <c r="K22" s="5">
        <v>9950627520</v>
      </c>
      <c r="L22" s="5">
        <v>9545324206</v>
      </c>
      <c r="M22" s="5">
        <v>1</v>
      </c>
      <c r="N22" s="5">
        <v>2</v>
      </c>
      <c r="O22" s="5">
        <v>1</v>
      </c>
      <c r="P22" s="5">
        <v>2</v>
      </c>
      <c r="Q22" s="5">
        <v>2</v>
      </c>
      <c r="R22" s="5">
        <v>2</v>
      </c>
      <c r="S22" s="5">
        <v>2</v>
      </c>
      <c r="T22" s="5">
        <v>2</v>
      </c>
      <c r="U22" s="5">
        <v>2</v>
      </c>
      <c r="V22" s="5">
        <v>2</v>
      </c>
      <c r="W22" s="5"/>
      <c r="X22" s="5">
        <v>14.6</v>
      </c>
      <c r="Y22" s="5">
        <v>43.8</v>
      </c>
      <c r="Z22" s="5">
        <v>80.5</v>
      </c>
      <c r="AA22" s="5">
        <v>13.4</v>
      </c>
      <c r="AB22" s="5">
        <v>10.9</v>
      </c>
      <c r="AC22" s="5">
        <v>38</v>
      </c>
      <c r="AD22" s="5">
        <v>174.4</v>
      </c>
      <c r="AE22" s="5">
        <v>38</v>
      </c>
      <c r="AF22" s="5">
        <v>33.6</v>
      </c>
      <c r="AG22" s="5">
        <v>160</v>
      </c>
      <c r="AH22" s="5"/>
      <c r="AI22" s="5"/>
      <c r="AJ22" s="5"/>
      <c r="AK22" s="5" t="s">
        <v>529</v>
      </c>
      <c r="AL22" s="5" t="s">
        <v>530</v>
      </c>
      <c r="AM22" s="5"/>
      <c r="AN22" s="5">
        <v>10</v>
      </c>
      <c r="AO22" s="5">
        <v>1</v>
      </c>
      <c r="AP22" s="5">
        <v>3</v>
      </c>
      <c r="AQ22" s="5">
        <v>3</v>
      </c>
      <c r="AR22" s="5">
        <v>5</v>
      </c>
      <c r="AS22" s="5"/>
      <c r="AT22" s="5">
        <v>2</v>
      </c>
      <c r="AU22" s="5">
        <v>2</v>
      </c>
      <c r="AV22" s="5">
        <v>2</v>
      </c>
      <c r="AW22" s="5">
        <v>4</v>
      </c>
      <c r="AX22" s="5">
        <v>1</v>
      </c>
      <c r="AY22" s="5">
        <v>2</v>
      </c>
      <c r="AZ22" s="5">
        <v>2</v>
      </c>
      <c r="BA22" s="5">
        <v>5</v>
      </c>
      <c r="BB22" s="5">
        <v>2</v>
      </c>
      <c r="BC22" s="5">
        <v>20</v>
      </c>
      <c r="BD22" s="5">
        <v>1</v>
      </c>
      <c r="BE22" s="5">
        <v>2</v>
      </c>
      <c r="BF22" s="5">
        <v>2</v>
      </c>
      <c r="BG22" s="5">
        <v>2</v>
      </c>
      <c r="BH22" s="5">
        <v>1</v>
      </c>
      <c r="BI22" s="5">
        <v>1</v>
      </c>
      <c r="BJ22" s="5">
        <v>1</v>
      </c>
      <c r="BK22" s="5">
        <v>1</v>
      </c>
      <c r="BL22" s="5">
        <v>2</v>
      </c>
      <c r="BM22" s="5">
        <v>2</v>
      </c>
      <c r="BN22" s="5">
        <v>2</v>
      </c>
      <c r="BO22" s="5">
        <v>1</v>
      </c>
      <c r="BP22" s="5">
        <v>1</v>
      </c>
      <c r="BQ22" s="5">
        <v>1</v>
      </c>
      <c r="BR22" s="5">
        <v>20</v>
      </c>
      <c r="BS22" s="5">
        <v>0</v>
      </c>
      <c r="BT22" s="5">
        <v>1</v>
      </c>
      <c r="BU22" s="5"/>
    </row>
    <row r="23" spans="1:73" x14ac:dyDescent="0.25">
      <c r="A23" s="5" t="s">
        <v>466</v>
      </c>
      <c r="B23" s="5">
        <v>1</v>
      </c>
      <c r="C23" s="5">
        <v>1.06549</v>
      </c>
      <c r="D23" s="6">
        <v>180100273</v>
      </c>
      <c r="E23" s="5">
        <v>38</v>
      </c>
      <c r="F23" s="5">
        <v>1</v>
      </c>
      <c r="G23" s="7"/>
      <c r="H23" s="5"/>
      <c r="I23" s="7">
        <v>44789</v>
      </c>
      <c r="J23" s="7">
        <v>44791</v>
      </c>
      <c r="K23" s="5">
        <v>8022554869</v>
      </c>
      <c r="L23" s="5"/>
      <c r="M23" s="5">
        <v>3</v>
      </c>
      <c r="N23" s="5">
        <v>1</v>
      </c>
      <c r="O23" s="5">
        <v>2</v>
      </c>
      <c r="P23" s="5">
        <v>2</v>
      </c>
      <c r="Q23" s="5">
        <v>2</v>
      </c>
      <c r="R23" s="5">
        <v>2</v>
      </c>
      <c r="S23" s="5">
        <v>2</v>
      </c>
      <c r="T23" s="5">
        <v>2</v>
      </c>
      <c r="U23" s="5">
        <v>2</v>
      </c>
      <c r="V23" s="5">
        <v>2</v>
      </c>
      <c r="W23" s="5"/>
      <c r="X23" s="5">
        <v>15.1</v>
      </c>
      <c r="Y23" s="5"/>
      <c r="Z23" s="5"/>
      <c r="AA23" s="5">
        <v>18.440000000000001</v>
      </c>
      <c r="AB23" s="5">
        <v>5.9</v>
      </c>
      <c r="AC23" s="5">
        <v>168</v>
      </c>
      <c r="AD23" s="5">
        <v>111.2</v>
      </c>
      <c r="AE23" s="5">
        <v>33</v>
      </c>
      <c r="AF23" s="5"/>
      <c r="AG23" s="5">
        <v>119</v>
      </c>
      <c r="AH23" s="5">
        <v>163</v>
      </c>
      <c r="AI23" s="5"/>
      <c r="AJ23" s="5"/>
      <c r="AK23" s="5"/>
      <c r="AL23" s="5" t="s">
        <v>467</v>
      </c>
      <c r="AM23" s="5"/>
      <c r="AN23" s="5">
        <v>9</v>
      </c>
      <c r="AO23" s="5">
        <v>1</v>
      </c>
      <c r="AP23" s="5">
        <v>3</v>
      </c>
      <c r="AQ23" s="5">
        <v>3</v>
      </c>
      <c r="AR23" s="5">
        <v>5</v>
      </c>
      <c r="AS23" s="5"/>
      <c r="AT23" s="5">
        <v>1</v>
      </c>
      <c r="AU23" s="5">
        <v>1</v>
      </c>
      <c r="AV23" s="5">
        <v>2</v>
      </c>
      <c r="AW23" s="5"/>
      <c r="AX23" s="5"/>
      <c r="AY23" s="5"/>
      <c r="AZ23" s="5"/>
      <c r="BA23" s="5">
        <v>5</v>
      </c>
      <c r="BB23" s="5">
        <v>2</v>
      </c>
      <c r="BC23" s="5">
        <v>25</v>
      </c>
      <c r="BD23" s="5">
        <v>1</v>
      </c>
      <c r="BE23" s="5">
        <v>2</v>
      </c>
      <c r="BF23" s="5">
        <v>2</v>
      </c>
      <c r="BG23" s="5">
        <v>2</v>
      </c>
      <c r="BH23" s="5">
        <v>1</v>
      </c>
      <c r="BI23" s="5">
        <v>1</v>
      </c>
      <c r="BJ23" s="5">
        <v>1</v>
      </c>
      <c r="BK23" s="5">
        <v>1</v>
      </c>
      <c r="BL23" s="5">
        <v>2</v>
      </c>
      <c r="BM23" s="5">
        <v>2</v>
      </c>
      <c r="BN23" s="5">
        <v>2</v>
      </c>
      <c r="BO23" s="5">
        <v>1</v>
      </c>
      <c r="BP23" s="5">
        <v>1</v>
      </c>
      <c r="BQ23" s="5">
        <v>1</v>
      </c>
      <c r="BR23" s="5">
        <v>20</v>
      </c>
      <c r="BS23" s="5">
        <v>1</v>
      </c>
      <c r="BT23" s="5">
        <v>0</v>
      </c>
      <c r="BU23" s="5"/>
    </row>
    <row r="24" spans="1:73" x14ac:dyDescent="0.25">
      <c r="A24" s="5" t="s">
        <v>445</v>
      </c>
      <c r="B24" s="5">
        <v>1</v>
      </c>
      <c r="C24" s="5">
        <v>1.08002</v>
      </c>
      <c r="D24" s="6">
        <v>230000000000</v>
      </c>
      <c r="E24" s="5">
        <v>47</v>
      </c>
      <c r="F24" s="5">
        <v>2</v>
      </c>
      <c r="G24" s="7">
        <v>45216</v>
      </c>
      <c r="H24" s="11">
        <v>0.45833333333333331</v>
      </c>
      <c r="I24" s="7">
        <v>45216</v>
      </c>
      <c r="J24" s="7">
        <v>45217</v>
      </c>
      <c r="K24" s="5">
        <v>9175019937</v>
      </c>
      <c r="L24" s="5">
        <v>9175702520</v>
      </c>
      <c r="M24" s="5">
        <v>5</v>
      </c>
      <c r="N24" s="5">
        <v>1</v>
      </c>
      <c r="O24" s="5">
        <v>2</v>
      </c>
      <c r="P24" s="5">
        <v>2</v>
      </c>
      <c r="Q24" s="5">
        <v>2</v>
      </c>
      <c r="R24" s="5">
        <v>2</v>
      </c>
      <c r="S24" s="5">
        <v>2</v>
      </c>
      <c r="T24" s="5">
        <v>2</v>
      </c>
      <c r="U24" s="5">
        <v>2</v>
      </c>
      <c r="V24" s="5">
        <v>2</v>
      </c>
      <c r="W24" s="5"/>
      <c r="X24" s="5">
        <v>14.6</v>
      </c>
      <c r="Y24" s="5">
        <v>46.2</v>
      </c>
      <c r="Z24" s="5">
        <v>83.9</v>
      </c>
      <c r="AA24" s="5">
        <v>15.88</v>
      </c>
      <c r="AB24" s="5">
        <v>6</v>
      </c>
      <c r="AC24" s="5">
        <v>246</v>
      </c>
      <c r="AD24" s="5">
        <v>141.4</v>
      </c>
      <c r="AE24" s="5">
        <v>48</v>
      </c>
      <c r="AF24" s="5">
        <v>56.6</v>
      </c>
      <c r="AG24" s="5">
        <v>283</v>
      </c>
      <c r="AH24" s="5">
        <v>179</v>
      </c>
      <c r="AI24" s="5"/>
      <c r="AJ24" s="5"/>
      <c r="AK24" s="5" t="s">
        <v>446</v>
      </c>
      <c r="AL24" s="5" t="s">
        <v>326</v>
      </c>
      <c r="AM24" s="5"/>
      <c r="AN24" s="5">
        <v>10</v>
      </c>
      <c r="AO24" s="5">
        <v>1</v>
      </c>
      <c r="AP24" s="5">
        <v>5</v>
      </c>
      <c r="AQ24" s="5">
        <v>3</v>
      </c>
      <c r="AR24" s="5">
        <v>5</v>
      </c>
      <c r="AS24" s="5"/>
      <c r="AT24" s="5">
        <v>1</v>
      </c>
      <c r="AU24" s="5">
        <v>2</v>
      </c>
      <c r="AV24" s="5">
        <v>1</v>
      </c>
      <c r="AW24" s="5">
        <v>1</v>
      </c>
      <c r="AX24" s="5"/>
      <c r="AY24" s="5"/>
      <c r="AZ24" s="5"/>
      <c r="BA24" s="5">
        <v>4</v>
      </c>
      <c r="BB24" s="5">
        <v>2</v>
      </c>
      <c r="BC24" s="5">
        <v>25</v>
      </c>
      <c r="BD24" s="5">
        <v>1</v>
      </c>
      <c r="BE24" s="5">
        <v>2</v>
      </c>
      <c r="BF24" s="5">
        <v>2</v>
      </c>
      <c r="BG24" s="5">
        <v>2</v>
      </c>
      <c r="BH24" s="5">
        <v>1</v>
      </c>
      <c r="BI24" s="5">
        <v>1</v>
      </c>
      <c r="BJ24" s="5">
        <v>1</v>
      </c>
      <c r="BK24" s="5">
        <v>1</v>
      </c>
      <c r="BL24" s="5">
        <v>2</v>
      </c>
      <c r="BM24" s="5">
        <v>2</v>
      </c>
      <c r="BN24" s="5">
        <v>2</v>
      </c>
      <c r="BO24" s="5">
        <v>1</v>
      </c>
      <c r="BP24" s="5">
        <v>1</v>
      </c>
      <c r="BQ24" s="5">
        <v>1</v>
      </c>
      <c r="BR24" s="5">
        <v>20</v>
      </c>
      <c r="BS24" s="5">
        <v>1</v>
      </c>
      <c r="BT24" s="5">
        <v>1</v>
      </c>
      <c r="BU24" s="5"/>
    </row>
    <row r="25" spans="1:73" x14ac:dyDescent="0.25">
      <c r="A25" s="5" t="s">
        <v>361</v>
      </c>
      <c r="B25" s="5">
        <v>1</v>
      </c>
      <c r="C25" s="5">
        <v>1.0848599999999999</v>
      </c>
      <c r="D25" s="6">
        <v>230402472</v>
      </c>
      <c r="E25" s="5">
        <v>46</v>
      </c>
      <c r="F25" s="5">
        <v>2</v>
      </c>
      <c r="G25" s="7"/>
      <c r="H25" s="5"/>
      <c r="I25" s="7">
        <v>45032</v>
      </c>
      <c r="J25" s="7"/>
      <c r="K25" s="5">
        <v>9028922641</v>
      </c>
      <c r="L25" s="5"/>
      <c r="M25" s="5">
        <v>4</v>
      </c>
      <c r="N25" s="5">
        <v>1</v>
      </c>
      <c r="O25" s="5">
        <v>1</v>
      </c>
      <c r="P25" s="5">
        <v>2</v>
      </c>
      <c r="Q25" s="5">
        <v>2</v>
      </c>
      <c r="R25" s="5">
        <v>2</v>
      </c>
      <c r="S25" s="5">
        <v>2</v>
      </c>
      <c r="T25" s="5">
        <v>2</v>
      </c>
      <c r="U25" s="5">
        <v>2</v>
      </c>
      <c r="V25" s="5">
        <v>2</v>
      </c>
      <c r="W25" s="5"/>
      <c r="X25" s="5">
        <v>13.9</v>
      </c>
      <c r="Y25" s="5">
        <v>41.6</v>
      </c>
      <c r="Z25" s="5"/>
      <c r="AA25" s="5">
        <v>7.47</v>
      </c>
      <c r="AB25" s="5">
        <v>13.4</v>
      </c>
      <c r="AC25" s="5">
        <v>296</v>
      </c>
      <c r="AD25" s="5">
        <v>193.6</v>
      </c>
      <c r="AE25" s="5">
        <v>47</v>
      </c>
      <c r="AF25" s="5"/>
      <c r="AG25" s="5">
        <v>277</v>
      </c>
      <c r="AH25" s="5">
        <v>282</v>
      </c>
      <c r="AI25" s="5" t="s">
        <v>362</v>
      </c>
      <c r="AJ25" s="5"/>
      <c r="AK25" s="5" t="s">
        <v>363</v>
      </c>
      <c r="AL25" s="5" t="s">
        <v>364</v>
      </c>
      <c r="AM25" s="5"/>
      <c r="AN25" s="5">
        <v>9</v>
      </c>
      <c r="AO25" s="5">
        <v>1</v>
      </c>
      <c r="AP25" s="5">
        <v>3</v>
      </c>
      <c r="AQ25" s="5">
        <v>3</v>
      </c>
      <c r="AR25" s="5">
        <v>5</v>
      </c>
      <c r="AS25" s="5"/>
      <c r="AT25" s="5">
        <v>1</v>
      </c>
      <c r="AU25" s="5">
        <v>2</v>
      </c>
      <c r="AV25" s="5">
        <v>2</v>
      </c>
      <c r="AW25" s="5">
        <v>4</v>
      </c>
      <c r="AX25" s="5">
        <v>8</v>
      </c>
      <c r="AY25" s="5">
        <v>2</v>
      </c>
      <c r="AZ25" s="5">
        <v>2</v>
      </c>
      <c r="BA25" s="5">
        <v>5</v>
      </c>
      <c r="BB25" s="5">
        <v>2</v>
      </c>
      <c r="BC25" s="5">
        <v>25</v>
      </c>
      <c r="BD25" s="5">
        <v>1</v>
      </c>
      <c r="BE25" s="5">
        <v>2</v>
      </c>
      <c r="BF25" s="5">
        <v>2</v>
      </c>
      <c r="BG25" s="5">
        <v>2</v>
      </c>
      <c r="BH25" s="5">
        <v>1</v>
      </c>
      <c r="BI25" s="5">
        <v>1</v>
      </c>
      <c r="BJ25" s="5">
        <v>1</v>
      </c>
      <c r="BK25" s="5">
        <v>0</v>
      </c>
      <c r="BL25" s="5">
        <v>2</v>
      </c>
      <c r="BM25" s="5">
        <v>2</v>
      </c>
      <c r="BN25" s="5">
        <v>2</v>
      </c>
      <c r="BO25" s="5">
        <v>1</v>
      </c>
      <c r="BP25" s="5">
        <v>1</v>
      </c>
      <c r="BQ25" s="5">
        <v>1</v>
      </c>
      <c r="BR25" s="5">
        <v>19</v>
      </c>
      <c r="BS25" s="5">
        <v>1</v>
      </c>
      <c r="BT25" s="5">
        <v>0</v>
      </c>
      <c r="BU25" s="5"/>
    </row>
    <row r="26" spans="1:73" x14ac:dyDescent="0.25">
      <c r="A26" s="5" t="s">
        <v>258</v>
      </c>
      <c r="B26" s="5">
        <v>1</v>
      </c>
      <c r="C26" s="5">
        <v>1.1534199999999999</v>
      </c>
      <c r="D26" s="6">
        <v>230000000000</v>
      </c>
      <c r="E26" s="5">
        <v>72</v>
      </c>
      <c r="F26" s="5">
        <v>1</v>
      </c>
      <c r="G26" s="7">
        <v>45266</v>
      </c>
      <c r="H26" s="11">
        <v>0.35416666666666669</v>
      </c>
      <c r="I26" s="7">
        <v>45266</v>
      </c>
      <c r="J26" s="7">
        <v>45267</v>
      </c>
      <c r="K26" s="5">
        <v>9325344148</v>
      </c>
      <c r="L26" s="5"/>
      <c r="M26" s="5">
        <v>10</v>
      </c>
      <c r="N26" s="5">
        <v>2</v>
      </c>
      <c r="O26" s="5">
        <v>2</v>
      </c>
      <c r="P26" s="5">
        <v>2</v>
      </c>
      <c r="Q26" s="5">
        <v>2</v>
      </c>
      <c r="R26" s="5">
        <v>2</v>
      </c>
      <c r="S26" s="5">
        <v>2</v>
      </c>
      <c r="T26" s="5">
        <v>2</v>
      </c>
      <c r="U26" s="5">
        <v>2</v>
      </c>
      <c r="V26" s="5">
        <v>2</v>
      </c>
      <c r="W26" s="5" t="s">
        <v>259</v>
      </c>
      <c r="X26" s="5">
        <v>14.1</v>
      </c>
      <c r="Y26" s="5">
        <v>43.2</v>
      </c>
      <c r="Z26" s="5">
        <v>98.6</v>
      </c>
      <c r="AA26" s="5">
        <v>77.569999999999993</v>
      </c>
      <c r="AB26" s="5">
        <v>5.3</v>
      </c>
      <c r="AC26" s="5">
        <v>166</v>
      </c>
      <c r="AD26" s="5">
        <v>123.4</v>
      </c>
      <c r="AE26" s="5">
        <v>25</v>
      </c>
      <c r="AF26" s="5">
        <v>17.600000000000001</v>
      </c>
      <c r="AG26" s="5">
        <v>88</v>
      </c>
      <c r="AH26" s="5">
        <v>2000</v>
      </c>
      <c r="AI26" s="5"/>
      <c r="AJ26" s="5"/>
      <c r="AK26" s="5"/>
      <c r="AL26" s="5" t="s">
        <v>260</v>
      </c>
      <c r="AM26" s="5"/>
      <c r="AN26" s="5">
        <v>10</v>
      </c>
      <c r="AO26" s="5">
        <v>1</v>
      </c>
      <c r="AP26" s="5">
        <v>3</v>
      </c>
      <c r="AQ26" s="5">
        <v>3</v>
      </c>
      <c r="AR26" s="5">
        <v>5</v>
      </c>
      <c r="AS26" s="5"/>
      <c r="AT26" s="5">
        <v>1</v>
      </c>
      <c r="AU26" s="5">
        <v>2</v>
      </c>
      <c r="AV26" s="5">
        <v>2</v>
      </c>
      <c r="AW26" s="5">
        <v>4</v>
      </c>
      <c r="AX26" s="5">
        <v>8</v>
      </c>
      <c r="AY26" s="5">
        <v>1</v>
      </c>
      <c r="AZ26" s="5">
        <v>2</v>
      </c>
      <c r="BA26" s="5">
        <v>4</v>
      </c>
      <c r="BB26" s="5">
        <v>2</v>
      </c>
      <c r="BC26" s="5">
        <v>35</v>
      </c>
      <c r="BD26" s="5">
        <v>1</v>
      </c>
      <c r="BE26" s="5">
        <v>2</v>
      </c>
      <c r="BF26" s="5">
        <v>2</v>
      </c>
      <c r="BG26" s="5">
        <v>2</v>
      </c>
      <c r="BH26" s="5">
        <v>1</v>
      </c>
      <c r="BI26" s="5">
        <v>1</v>
      </c>
      <c r="BJ26" s="5">
        <v>1</v>
      </c>
      <c r="BK26" s="5">
        <v>0</v>
      </c>
      <c r="BL26" s="5">
        <v>1</v>
      </c>
      <c r="BM26" s="5">
        <v>2</v>
      </c>
      <c r="BN26" s="5">
        <v>2</v>
      </c>
      <c r="BO26" s="5">
        <v>1</v>
      </c>
      <c r="BP26" s="5">
        <v>1</v>
      </c>
      <c r="BQ26" s="5">
        <v>1</v>
      </c>
      <c r="BR26" s="5">
        <v>18</v>
      </c>
      <c r="BS26" s="5"/>
      <c r="BT26" s="5"/>
      <c r="BU26" s="5"/>
    </row>
    <row r="27" spans="1:73" x14ac:dyDescent="0.25">
      <c r="A27" s="5" t="s">
        <v>536</v>
      </c>
      <c r="B27" s="5">
        <v>0</v>
      </c>
      <c r="C27" s="5">
        <v>1.2015800000000001</v>
      </c>
      <c r="D27" s="6">
        <v>120805543</v>
      </c>
      <c r="E27" s="5">
        <v>63</v>
      </c>
      <c r="F27" s="5">
        <v>2</v>
      </c>
      <c r="G27" s="7">
        <v>45208</v>
      </c>
      <c r="H27" s="11">
        <v>0.6875</v>
      </c>
      <c r="I27" s="7">
        <v>45209</v>
      </c>
      <c r="J27" s="7">
        <v>45210</v>
      </c>
      <c r="K27" s="5">
        <v>7083569288</v>
      </c>
      <c r="L27" s="5">
        <v>8483834992</v>
      </c>
      <c r="M27" s="5">
        <v>5</v>
      </c>
      <c r="N27" s="5">
        <v>1</v>
      </c>
      <c r="O27" s="5">
        <v>2</v>
      </c>
      <c r="P27" s="5">
        <v>2</v>
      </c>
      <c r="Q27" s="5">
        <v>2</v>
      </c>
      <c r="R27" s="5">
        <v>2</v>
      </c>
      <c r="S27" s="5">
        <v>2</v>
      </c>
      <c r="T27" s="5">
        <v>2</v>
      </c>
      <c r="U27" s="5">
        <v>2</v>
      </c>
      <c r="V27" s="5">
        <v>2</v>
      </c>
      <c r="W27" s="5"/>
      <c r="X27" s="5">
        <v>12.2</v>
      </c>
      <c r="Y27" s="5">
        <v>38.5</v>
      </c>
      <c r="Z27" s="5">
        <v>91.3</v>
      </c>
      <c r="AA27" s="5">
        <v>12.37</v>
      </c>
      <c r="AB27" s="5">
        <v>6.1</v>
      </c>
      <c r="AC27" s="5">
        <v>221</v>
      </c>
      <c r="AD27" s="5">
        <v>115.4</v>
      </c>
      <c r="AE27" s="5">
        <v>41</v>
      </c>
      <c r="AF27" s="5">
        <v>54.6</v>
      </c>
      <c r="AG27" s="5">
        <v>273</v>
      </c>
      <c r="AH27" s="5"/>
      <c r="AI27" s="5"/>
      <c r="AJ27" s="5"/>
      <c r="AK27" s="5" t="s">
        <v>537</v>
      </c>
      <c r="AL27" s="5" t="s">
        <v>326</v>
      </c>
      <c r="AM27" s="5"/>
      <c r="AN27" s="5">
        <v>9</v>
      </c>
      <c r="AO27" s="5">
        <v>3</v>
      </c>
      <c r="AP27" s="5">
        <v>3</v>
      </c>
      <c r="AQ27" s="5">
        <v>2</v>
      </c>
      <c r="AR27" s="5">
        <v>5</v>
      </c>
      <c r="AS27" s="5"/>
      <c r="AT27" s="5">
        <v>1</v>
      </c>
      <c r="AU27" s="5">
        <v>1</v>
      </c>
      <c r="AV27" s="5">
        <v>2</v>
      </c>
      <c r="AW27" s="5"/>
      <c r="AX27" s="5"/>
      <c r="AY27" s="5"/>
      <c r="AZ27" s="5"/>
      <c r="BA27" s="5">
        <v>4</v>
      </c>
      <c r="BB27" s="5">
        <v>2</v>
      </c>
      <c r="BC27" s="5">
        <v>40</v>
      </c>
      <c r="BD27" s="5">
        <v>1</v>
      </c>
      <c r="BE27" s="5">
        <v>2</v>
      </c>
      <c r="BF27" s="5">
        <v>2</v>
      </c>
      <c r="BG27" s="5">
        <v>2</v>
      </c>
      <c r="BH27" s="5">
        <v>1</v>
      </c>
      <c r="BI27" s="5">
        <v>1</v>
      </c>
      <c r="BJ27" s="5">
        <v>1</v>
      </c>
      <c r="BK27" s="5">
        <v>1</v>
      </c>
      <c r="BL27" s="5">
        <v>2</v>
      </c>
      <c r="BM27" s="5">
        <v>2</v>
      </c>
      <c r="BN27" s="5">
        <v>2</v>
      </c>
      <c r="BO27" s="5">
        <v>1</v>
      </c>
      <c r="BP27" s="5">
        <v>1</v>
      </c>
      <c r="BQ27" s="5">
        <v>1</v>
      </c>
      <c r="BR27" s="5">
        <v>20</v>
      </c>
      <c r="BS27" s="5">
        <v>1</v>
      </c>
      <c r="BT27" s="5">
        <v>1</v>
      </c>
      <c r="BU27" s="5"/>
    </row>
    <row r="28" spans="1:73" x14ac:dyDescent="0.25">
      <c r="A28" s="5" t="s">
        <v>184</v>
      </c>
      <c r="B28" s="5">
        <v>1</v>
      </c>
      <c r="C28" s="5">
        <v>1.44326</v>
      </c>
      <c r="D28" s="6">
        <v>240000000000</v>
      </c>
      <c r="E28" s="5">
        <v>77</v>
      </c>
      <c r="F28" s="5">
        <v>1</v>
      </c>
      <c r="G28" s="7">
        <v>45292</v>
      </c>
      <c r="H28" s="11">
        <v>0.5</v>
      </c>
      <c r="I28" s="7">
        <v>45292</v>
      </c>
      <c r="J28" s="7">
        <v>45294</v>
      </c>
      <c r="K28" s="5">
        <v>9403662700</v>
      </c>
      <c r="L28" s="5"/>
      <c r="M28" s="5"/>
      <c r="N28" s="5">
        <v>2</v>
      </c>
      <c r="O28" s="5">
        <v>2</v>
      </c>
      <c r="P28" s="5">
        <v>2</v>
      </c>
      <c r="Q28" s="5">
        <v>2</v>
      </c>
      <c r="R28" s="5">
        <v>2</v>
      </c>
      <c r="S28" s="5">
        <v>2</v>
      </c>
      <c r="T28" s="5">
        <v>1</v>
      </c>
      <c r="U28" s="5">
        <v>1</v>
      </c>
      <c r="V28" s="5">
        <v>2</v>
      </c>
      <c r="W28" s="5"/>
      <c r="X28" s="5">
        <v>9.6</v>
      </c>
      <c r="Y28" s="5">
        <v>31.9</v>
      </c>
      <c r="Z28" s="5">
        <v>69.8</v>
      </c>
      <c r="AA28" s="5">
        <v>15.55</v>
      </c>
      <c r="AB28" s="5">
        <v>5.6</v>
      </c>
      <c r="AC28" s="5">
        <v>124</v>
      </c>
      <c r="AD28" s="5">
        <v>70.400000000000006</v>
      </c>
      <c r="AE28" s="5">
        <v>35</v>
      </c>
      <c r="AF28" s="5">
        <v>18.600000000000001</v>
      </c>
      <c r="AG28" s="5">
        <v>93</v>
      </c>
      <c r="AH28" s="5">
        <v>191</v>
      </c>
      <c r="AI28" s="5"/>
      <c r="AJ28" s="5"/>
      <c r="AK28" s="5" t="s">
        <v>185</v>
      </c>
      <c r="AL28" s="5"/>
      <c r="AM28" s="5"/>
      <c r="AN28" s="5">
        <v>9</v>
      </c>
      <c r="AO28" s="5">
        <v>1</v>
      </c>
      <c r="AP28" s="5">
        <v>3</v>
      </c>
      <c r="AQ28" s="5">
        <v>3</v>
      </c>
      <c r="AR28" s="5">
        <v>5</v>
      </c>
      <c r="AS28" s="5"/>
      <c r="AT28" s="5">
        <v>1</v>
      </c>
      <c r="AU28" s="5">
        <v>1</v>
      </c>
      <c r="AV28" s="5"/>
      <c r="AW28" s="5"/>
      <c r="AX28" s="5"/>
      <c r="AY28" s="5"/>
      <c r="AZ28" s="5"/>
      <c r="BA28" s="5">
        <v>4</v>
      </c>
      <c r="BB28" s="5">
        <v>2</v>
      </c>
      <c r="BC28" s="5">
        <v>40</v>
      </c>
      <c r="BD28" s="5">
        <v>0</v>
      </c>
      <c r="BE28" s="5">
        <v>1</v>
      </c>
      <c r="BF28" s="5">
        <v>2</v>
      </c>
      <c r="BG28" s="5">
        <v>2</v>
      </c>
      <c r="BH28" s="5">
        <v>1</v>
      </c>
      <c r="BI28" s="5">
        <v>1</v>
      </c>
      <c r="BJ28" s="5">
        <v>1</v>
      </c>
      <c r="BK28" s="5">
        <v>1</v>
      </c>
      <c r="BL28" s="5">
        <v>1</v>
      </c>
      <c r="BM28" s="5">
        <v>2</v>
      </c>
      <c r="BN28" s="5">
        <v>2</v>
      </c>
      <c r="BO28" s="5">
        <v>1</v>
      </c>
      <c r="BP28" s="5">
        <v>1</v>
      </c>
      <c r="BQ28" s="5">
        <v>1</v>
      </c>
      <c r="BR28" s="5">
        <v>17</v>
      </c>
      <c r="BS28" s="5">
        <v>0</v>
      </c>
      <c r="BT28" s="5">
        <v>0</v>
      </c>
      <c r="BU28" s="5"/>
    </row>
    <row r="29" spans="1:73" x14ac:dyDescent="0.25">
      <c r="A29" s="5" t="s">
        <v>261</v>
      </c>
      <c r="B29" s="5">
        <v>1</v>
      </c>
      <c r="C29" s="5">
        <v>1.4449700000000001</v>
      </c>
      <c r="D29" s="6">
        <v>210603906</v>
      </c>
      <c r="E29" s="5">
        <v>71</v>
      </c>
      <c r="F29" s="5">
        <v>2</v>
      </c>
      <c r="G29" s="7">
        <v>45167</v>
      </c>
      <c r="H29" s="11">
        <v>0.54166666666666663</v>
      </c>
      <c r="I29" s="7">
        <v>45168</v>
      </c>
      <c r="J29" s="7">
        <v>45170</v>
      </c>
      <c r="K29" s="5">
        <v>9922551013</v>
      </c>
      <c r="L29" s="5"/>
      <c r="M29" s="5">
        <v>9</v>
      </c>
      <c r="N29" s="5">
        <v>1</v>
      </c>
      <c r="O29" s="5">
        <v>1</v>
      </c>
      <c r="P29" s="5">
        <v>2</v>
      </c>
      <c r="Q29" s="5">
        <v>2</v>
      </c>
      <c r="R29" s="5">
        <v>1</v>
      </c>
      <c r="S29" s="5">
        <v>2</v>
      </c>
      <c r="T29" s="5">
        <v>2</v>
      </c>
      <c r="U29" s="5">
        <v>2</v>
      </c>
      <c r="V29" s="5">
        <v>2</v>
      </c>
      <c r="W29" s="5" t="s">
        <v>262</v>
      </c>
      <c r="X29" s="5">
        <v>10.5</v>
      </c>
      <c r="Y29" s="5">
        <v>32.6</v>
      </c>
      <c r="Z29" s="5">
        <v>88.2</v>
      </c>
      <c r="AA29" s="5">
        <v>7.17</v>
      </c>
      <c r="AB29" s="5">
        <v>5.6</v>
      </c>
      <c r="AC29" s="5">
        <v>182</v>
      </c>
      <c r="AD29" s="5">
        <v>113.4</v>
      </c>
      <c r="AE29" s="5">
        <v>58</v>
      </c>
      <c r="AF29" s="5">
        <v>10.6</v>
      </c>
      <c r="AG29" s="5">
        <v>53</v>
      </c>
      <c r="AH29" s="5">
        <v>2000</v>
      </c>
      <c r="AI29" s="5"/>
      <c r="AJ29" s="5"/>
      <c r="AK29" s="5" t="s">
        <v>263</v>
      </c>
      <c r="AL29" s="5" t="s">
        <v>264</v>
      </c>
      <c r="AM29" s="5"/>
      <c r="AN29" s="5">
        <v>9</v>
      </c>
      <c r="AO29" s="5" t="s">
        <v>720</v>
      </c>
      <c r="AP29" s="5">
        <v>3</v>
      </c>
      <c r="AQ29" s="5">
        <v>2</v>
      </c>
      <c r="AR29" s="5">
        <v>5</v>
      </c>
      <c r="AS29" s="5"/>
      <c r="AT29" s="5">
        <v>1</v>
      </c>
      <c r="AU29" s="5">
        <v>2</v>
      </c>
      <c r="AV29" s="5">
        <v>2</v>
      </c>
      <c r="AW29" s="5"/>
      <c r="AX29" s="5"/>
      <c r="AY29" s="5"/>
      <c r="AZ29" s="5"/>
      <c r="BA29" s="5">
        <v>4</v>
      </c>
      <c r="BB29" s="5">
        <v>2</v>
      </c>
      <c r="BC29" s="5">
        <v>40</v>
      </c>
      <c r="BD29" s="5">
        <v>1</v>
      </c>
      <c r="BE29" s="5">
        <v>1</v>
      </c>
      <c r="BF29" s="5">
        <v>2</v>
      </c>
      <c r="BG29" s="5">
        <v>2</v>
      </c>
      <c r="BH29" s="5">
        <v>1</v>
      </c>
      <c r="BI29" s="5">
        <v>1</v>
      </c>
      <c r="BJ29" s="5">
        <v>1</v>
      </c>
      <c r="BK29" s="5">
        <v>1</v>
      </c>
      <c r="BL29" s="5">
        <v>1</v>
      </c>
      <c r="BM29" s="5">
        <v>2</v>
      </c>
      <c r="BN29" s="5">
        <v>2</v>
      </c>
      <c r="BO29" s="5">
        <v>1</v>
      </c>
      <c r="BP29" s="5">
        <v>1</v>
      </c>
      <c r="BQ29" s="5">
        <v>1</v>
      </c>
      <c r="BR29" s="5">
        <v>18</v>
      </c>
      <c r="BS29" s="5">
        <v>1</v>
      </c>
      <c r="BT29" s="5">
        <v>1</v>
      </c>
      <c r="BU29" s="5"/>
    </row>
    <row r="30" spans="1:73" x14ac:dyDescent="0.25">
      <c r="A30" s="21" t="s">
        <v>492</v>
      </c>
      <c r="B30" s="5">
        <v>0</v>
      </c>
      <c r="C30" s="5">
        <v>1.53043</v>
      </c>
      <c r="D30" s="9">
        <f>VLOOKUP($A30,'[1]24-8-24 DATA ENTRY'!$A$1:$BR$278,3,FALSE)</f>
        <v>240000047870</v>
      </c>
      <c r="E30" s="9">
        <f>VLOOKUP($A30,'[1]24-8-24 DATA ENTRY'!$A$1:$BR$278,4,FALSE)</f>
        <v>48</v>
      </c>
      <c r="F30" s="9">
        <f>VLOOKUP($A30,'[1]24-8-24 DATA ENTRY'!$A$1:$BR$278,5,FALSE)</f>
        <v>2</v>
      </c>
      <c r="G30" s="10">
        <f>VLOOKUP($A30,'[1]24-8-24 DATA ENTRY'!$A$1:$BR$278,6,FALSE)</f>
        <v>45442</v>
      </c>
      <c r="H30" s="9">
        <f>VLOOKUP($A30,'[1]24-8-24 DATA ENTRY'!$A$1:$BR$278,7,FALSE)</f>
        <v>8.3333333333333329E-2</v>
      </c>
      <c r="I30" s="10">
        <f>VLOOKUP($A30,'[1]24-8-24 DATA ENTRY'!$A$1:$BR$278,8,FALSE)</f>
        <v>45442</v>
      </c>
      <c r="J30" s="10">
        <f>VLOOKUP($A30,'[1]24-8-24 DATA ENTRY'!$A$1:$BR$278,9,FALSE)</f>
        <v>45450</v>
      </c>
      <c r="K30" s="9">
        <f>VLOOKUP($A30,'[1]24-8-24 DATA ENTRY'!$A$1:$BR$278,10,FALSE)</f>
        <v>7088751810</v>
      </c>
      <c r="L30" s="9">
        <f>VLOOKUP($A30,'[1]24-8-24 DATA ENTRY'!$A$1:$BR$278,11,FALSE)</f>
        <v>0</v>
      </c>
      <c r="M30" s="9">
        <f>VLOOKUP($A30,'[1]24-8-24 DATA ENTRY'!$A$1:$BR$278,12,FALSE)</f>
        <v>7</v>
      </c>
      <c r="N30" s="9">
        <f>VLOOKUP($A30,'[1]24-8-24 DATA ENTRY'!$A$1:$BR$278,13,FALSE)</f>
        <v>2</v>
      </c>
      <c r="O30" s="9">
        <f>VLOOKUP($A30,'[1]24-8-24 DATA ENTRY'!$A$1:$BR$278,14,FALSE)</f>
        <v>2</v>
      </c>
      <c r="P30" s="9">
        <f>VLOOKUP($A30,'[1]24-8-24 DATA ENTRY'!$A$1:$BR$278,15,FALSE)</f>
        <v>2</v>
      </c>
      <c r="Q30" s="9">
        <f>VLOOKUP($A30,'[1]24-8-24 DATA ENTRY'!$A$1:$BR$278,16,FALSE)</f>
        <v>2</v>
      </c>
      <c r="R30" s="9">
        <f>VLOOKUP($A30,'[1]24-8-24 DATA ENTRY'!$A$1:$BR$278,17,FALSE)</f>
        <v>1</v>
      </c>
      <c r="S30" s="9">
        <f>VLOOKUP($A30,'[1]24-8-24 DATA ENTRY'!$A$1:$BR$278,18,FALSE)</f>
        <v>2</v>
      </c>
      <c r="T30" s="9">
        <f>VLOOKUP($A30,'[1]24-8-24 DATA ENTRY'!$A$1:$BR$278,19,FALSE)</f>
        <v>2</v>
      </c>
      <c r="U30" s="9">
        <f>VLOOKUP($A30,'[1]24-8-24 DATA ENTRY'!$A$1:$BR$278,20,FALSE)</f>
        <v>2</v>
      </c>
      <c r="V30" s="9">
        <f>VLOOKUP($A30,'[1]24-8-24 DATA ENTRY'!$A$1:$BR$278,21,FALSE)</f>
        <v>2</v>
      </c>
      <c r="W30" s="9">
        <f>VLOOKUP($A30,'[1]24-8-24 DATA ENTRY'!$A$1:$BR$278,22,FALSE)</f>
        <v>0</v>
      </c>
      <c r="X30" s="9">
        <f>VLOOKUP($A30,'[1]24-8-24 DATA ENTRY'!$A$1:$BR$278,23,FALSE)</f>
        <v>11.3</v>
      </c>
      <c r="Y30" s="9">
        <f>VLOOKUP($A30,'[1]24-8-24 DATA ENTRY'!$A$1:$BR$278,24,FALSE)</f>
        <v>33.200000000000003</v>
      </c>
      <c r="Z30" s="9">
        <f>VLOOKUP($A30,'[1]24-8-24 DATA ENTRY'!$A$1:$BR$278,25,FALSE)</f>
        <v>87.9</v>
      </c>
      <c r="AA30" s="9">
        <f>VLOOKUP($A30,'[1]24-8-24 DATA ENTRY'!$A$1:$BR$278,26,FALSE)</f>
        <v>0</v>
      </c>
      <c r="AB30" s="9">
        <f>VLOOKUP($A30,'[1]24-8-24 DATA ENTRY'!$A$1:$BR$278,27,FALSE)</f>
        <v>0</v>
      </c>
      <c r="AC30" s="9">
        <f>VLOOKUP($A30,'[1]24-8-24 DATA ENTRY'!$A$1:$BR$278,28,FALSE)</f>
        <v>0</v>
      </c>
      <c r="AD30" s="9">
        <f>VLOOKUP($A30,'[1]24-8-24 DATA ENTRY'!$A$1:$BR$278,29,FALSE)</f>
        <v>0</v>
      </c>
      <c r="AE30" s="9">
        <f>VLOOKUP($A30,'[1]24-8-24 DATA ENTRY'!$A$1:$BR$278,30,FALSE)</f>
        <v>0</v>
      </c>
      <c r="AF30" s="9">
        <f>VLOOKUP($A30,'[1]24-8-24 DATA ENTRY'!$A$1:$BR$278,31,FALSE)</f>
        <v>0</v>
      </c>
      <c r="AG30" s="9">
        <f>VLOOKUP($A30,'[1]24-8-24 DATA ENTRY'!$A$1:$BR$278,32,FALSE)</f>
        <v>0</v>
      </c>
      <c r="AH30" s="9">
        <f>VLOOKUP($A30,'[1]24-8-24 DATA ENTRY'!$A$1:$BR$278,33,FALSE)</f>
        <v>0</v>
      </c>
      <c r="AI30" s="9">
        <f>VLOOKUP($A30,'[1]24-8-24 DATA ENTRY'!$A$1:$BR$278,34,FALSE)</f>
        <v>0</v>
      </c>
      <c r="AJ30" s="9">
        <f>VLOOKUP($A30,'[1]24-8-24 DATA ENTRY'!$A$1:$BR$278,35,FALSE)</f>
        <v>0</v>
      </c>
      <c r="AK30" s="9" t="str">
        <f>VLOOKUP($A30,'[1]24-8-24 DATA ENTRY'!$A$1:$BR$278,36,FALSE)</f>
        <v>LEFT LONG INSULAR ARTERY INFARCT</v>
      </c>
      <c r="AL30" s="9" t="str">
        <f>VLOOKUP($A30,'[1]24-8-24 DATA ENTRY'!$A$1:$BR$278,37,FALSE)</f>
        <v>RT VERTEBRAL ARTERY HYPOPLASTIC/ THROMBOSED, REST NORMAL</v>
      </c>
      <c r="AM30" s="9">
        <f>VLOOKUP($A30,'[1]24-8-24 DATA ENTRY'!$A$1:$BR$278,38,FALSE)</f>
        <v>0</v>
      </c>
      <c r="AN30" s="9">
        <f>VLOOKUP($A30,'[1]24-8-24 DATA ENTRY'!$A$1:$BR$278,39,FALSE)</f>
        <v>9</v>
      </c>
      <c r="AO30" s="9">
        <f>VLOOKUP($A30,'[1]24-8-24 DATA ENTRY'!$A$1:$BR$278,40,FALSE)</f>
        <v>1</v>
      </c>
      <c r="AP30" s="9">
        <f>VLOOKUP($A30,'[1]24-8-24 DATA ENTRY'!$A$1:$BR$278,41,FALSE)</f>
        <v>5</v>
      </c>
      <c r="AQ30" s="9">
        <f>VLOOKUP($A30,'[1]24-8-24 DATA ENTRY'!$A$1:$BR$278,42,FALSE)</f>
        <v>3</v>
      </c>
      <c r="AR30" s="9">
        <f>VLOOKUP($A30,'[1]24-8-24 DATA ENTRY'!$A$1:$BR$278,43,FALSE)</f>
        <v>5</v>
      </c>
      <c r="AS30" s="9">
        <f>VLOOKUP($A30,'[1]24-8-24 DATA ENTRY'!$A$1:$BR$278,44,FALSE)</f>
        <v>0</v>
      </c>
      <c r="AT30" s="9">
        <f>VLOOKUP($A30,'[1]24-8-24 DATA ENTRY'!$A$1:$BR$278,45,FALSE)</f>
        <v>1</v>
      </c>
      <c r="AU30" s="9">
        <f>VLOOKUP($A30,'[1]24-8-24 DATA ENTRY'!$A$1:$BR$278,46,FALSE)</f>
        <v>1</v>
      </c>
      <c r="AV30" s="9">
        <f>VLOOKUP($A30,'[1]24-8-24 DATA ENTRY'!$A$1:$BR$278,47,FALSE)</f>
        <v>2</v>
      </c>
      <c r="AW30" s="9">
        <f>VLOOKUP($A30,'[1]24-8-24 DATA ENTRY'!$A$1:$BR$278,48,FALSE)</f>
        <v>0</v>
      </c>
      <c r="AX30" s="9">
        <f>VLOOKUP($A30,'[1]24-8-24 DATA ENTRY'!$A$1:$BR$278,49,FALSE)</f>
        <v>0</v>
      </c>
      <c r="AY30" s="9">
        <f>VLOOKUP($A30,'[1]24-8-24 DATA ENTRY'!$A$1:$BR$278,50,FALSE)</f>
        <v>0</v>
      </c>
      <c r="AZ30" s="9">
        <f>VLOOKUP($A30,'[1]24-8-24 DATA ENTRY'!$A$1:$BR$278,51,FALSE)</f>
        <v>0</v>
      </c>
      <c r="BA30" s="9">
        <f>VLOOKUP($A30,'[1]24-8-24 DATA ENTRY'!$A$1:$BR$278,52,FALSE)</f>
        <v>0</v>
      </c>
      <c r="BB30" s="5">
        <v>1</v>
      </c>
      <c r="BC30" s="9">
        <f>VLOOKUP($A30,'[1]24-8-24 DATA ENTRY'!$A$1:$BR$278,53,FALSE)</f>
        <v>100</v>
      </c>
      <c r="BD30" s="5">
        <v>1</v>
      </c>
      <c r="BE30" s="5">
        <v>2</v>
      </c>
      <c r="BF30" s="5">
        <v>2</v>
      </c>
      <c r="BG30" s="5">
        <v>2</v>
      </c>
      <c r="BH30" s="5">
        <v>1</v>
      </c>
      <c r="BI30" s="5">
        <v>1</v>
      </c>
      <c r="BJ30" s="5">
        <v>1</v>
      </c>
      <c r="BK30" s="5">
        <v>1</v>
      </c>
      <c r="BL30" s="5">
        <v>1</v>
      </c>
      <c r="BM30" s="5">
        <v>2</v>
      </c>
      <c r="BN30" s="5">
        <v>2</v>
      </c>
      <c r="BO30" s="5">
        <v>1</v>
      </c>
      <c r="BP30" s="5">
        <v>1</v>
      </c>
      <c r="BQ30" s="5">
        <v>1</v>
      </c>
      <c r="BR30" s="5">
        <v>19</v>
      </c>
      <c r="BS30" s="5">
        <v>1</v>
      </c>
      <c r="BT30" s="5">
        <v>1</v>
      </c>
      <c r="BU30" s="5"/>
    </row>
    <row r="31" spans="1:73" x14ac:dyDescent="0.25">
      <c r="A31" s="5" t="s">
        <v>525</v>
      </c>
      <c r="B31" s="5">
        <v>0</v>
      </c>
      <c r="C31" s="5">
        <v>1.60792</v>
      </c>
      <c r="D31" s="6">
        <v>170303850</v>
      </c>
      <c r="E31" s="5">
        <v>59</v>
      </c>
      <c r="F31" s="5">
        <v>1</v>
      </c>
      <c r="G31" s="7"/>
      <c r="H31" s="5"/>
      <c r="I31" s="7">
        <v>45031</v>
      </c>
      <c r="J31" s="7">
        <v>45033</v>
      </c>
      <c r="K31" s="5">
        <v>9850842260</v>
      </c>
      <c r="L31" s="5"/>
      <c r="M31" s="5">
        <v>5</v>
      </c>
      <c r="N31" s="5">
        <v>2</v>
      </c>
      <c r="O31" s="5">
        <v>1</v>
      </c>
      <c r="P31" s="5">
        <v>1</v>
      </c>
      <c r="Q31" s="5">
        <v>1</v>
      </c>
      <c r="R31" s="5">
        <v>1</v>
      </c>
      <c r="S31" s="5">
        <v>2</v>
      </c>
      <c r="T31" s="5">
        <v>2</v>
      </c>
      <c r="U31" s="5">
        <v>2</v>
      </c>
      <c r="V31" s="5">
        <v>2</v>
      </c>
      <c r="W31" s="5"/>
      <c r="X31" s="5">
        <v>15.4</v>
      </c>
      <c r="Y31" s="5">
        <v>45</v>
      </c>
      <c r="Z31" s="5"/>
      <c r="AA31" s="5">
        <v>9.3800000000000008</v>
      </c>
      <c r="AB31" s="5">
        <v>9.1999999999999993</v>
      </c>
      <c r="AC31" s="5">
        <v>158</v>
      </c>
      <c r="AD31" s="5">
        <v>65.400000000000006</v>
      </c>
      <c r="AE31" s="5">
        <v>23</v>
      </c>
      <c r="AF31" s="5">
        <v>69.599999999999994</v>
      </c>
      <c r="AG31" s="5">
        <v>348</v>
      </c>
      <c r="AH31" s="5">
        <v>177</v>
      </c>
      <c r="AI31" s="5"/>
      <c r="AJ31" s="5"/>
      <c r="AK31" s="5" t="s">
        <v>526</v>
      </c>
      <c r="AL31" s="5" t="s">
        <v>527</v>
      </c>
      <c r="AM31" s="5"/>
      <c r="AN31" s="5">
        <v>10</v>
      </c>
      <c r="AO31" s="5">
        <v>1</v>
      </c>
      <c r="AP31" s="5">
        <v>4</v>
      </c>
      <c r="AQ31" s="5">
        <v>3</v>
      </c>
      <c r="AR31" s="5">
        <v>5</v>
      </c>
      <c r="AS31" s="5"/>
      <c r="AT31" s="5">
        <v>1</v>
      </c>
      <c r="AU31" s="5">
        <v>2</v>
      </c>
      <c r="AV31" s="5">
        <v>2</v>
      </c>
      <c r="AW31" s="5"/>
      <c r="AX31" s="5"/>
      <c r="AY31" s="5"/>
      <c r="AZ31" s="5">
        <v>1</v>
      </c>
      <c r="BA31" s="5">
        <v>4</v>
      </c>
      <c r="BB31" s="5">
        <v>2</v>
      </c>
      <c r="BC31" s="5">
        <v>45</v>
      </c>
      <c r="BD31" s="5">
        <v>1</v>
      </c>
      <c r="BE31" s="5">
        <v>2</v>
      </c>
      <c r="BF31" s="5">
        <v>2</v>
      </c>
      <c r="BG31" s="5">
        <v>2</v>
      </c>
      <c r="BH31" s="5">
        <v>1</v>
      </c>
      <c r="BI31" s="5">
        <v>1</v>
      </c>
      <c r="BJ31" s="5">
        <v>1</v>
      </c>
      <c r="BK31" s="5">
        <v>1</v>
      </c>
      <c r="BL31" s="5">
        <v>2</v>
      </c>
      <c r="BM31" s="5">
        <v>1</v>
      </c>
      <c r="BN31" s="5">
        <v>2</v>
      </c>
      <c r="BO31" s="5">
        <v>1</v>
      </c>
      <c r="BP31" s="5">
        <v>0</v>
      </c>
      <c r="BQ31" s="5">
        <v>1</v>
      </c>
      <c r="BR31" s="5">
        <v>18</v>
      </c>
      <c r="BS31" s="5">
        <v>1</v>
      </c>
      <c r="BT31" s="5">
        <v>1</v>
      </c>
      <c r="BU31" s="5"/>
    </row>
    <row r="32" spans="1:73" x14ac:dyDescent="0.25">
      <c r="A32" s="5" t="s">
        <v>447</v>
      </c>
      <c r="B32" s="5">
        <v>1</v>
      </c>
      <c r="C32" s="5">
        <v>1.6671800000000001</v>
      </c>
      <c r="D32" s="6"/>
      <c r="E32" s="5">
        <v>40</v>
      </c>
      <c r="F32" s="5">
        <v>1</v>
      </c>
      <c r="G32" s="7">
        <v>45326</v>
      </c>
      <c r="H32" s="20">
        <v>0.75</v>
      </c>
      <c r="I32" s="7">
        <v>45327</v>
      </c>
      <c r="J32" s="7"/>
      <c r="K32" s="5">
        <v>8007484789</v>
      </c>
      <c r="L32" s="5"/>
      <c r="M32" s="5">
        <v>3</v>
      </c>
      <c r="N32" s="5">
        <v>1</v>
      </c>
      <c r="O32" s="5">
        <v>2</v>
      </c>
      <c r="P32" s="5">
        <v>2</v>
      </c>
      <c r="Q32" s="5">
        <v>2</v>
      </c>
      <c r="R32" s="5">
        <v>2</v>
      </c>
      <c r="S32" s="5">
        <v>2</v>
      </c>
      <c r="T32" s="5">
        <v>2</v>
      </c>
      <c r="U32" s="5">
        <v>2</v>
      </c>
      <c r="V32" s="5">
        <v>2</v>
      </c>
      <c r="W32" s="5"/>
      <c r="X32" s="5">
        <v>17.100000000000001</v>
      </c>
      <c r="Y32" s="5">
        <v>50.5</v>
      </c>
      <c r="Z32" s="5">
        <v>79</v>
      </c>
      <c r="AA32" s="5">
        <v>30.8</v>
      </c>
      <c r="AB32" s="5">
        <v>6.7</v>
      </c>
      <c r="AC32" s="5"/>
      <c r="AD32" s="5"/>
      <c r="AE32" s="5"/>
      <c r="AF32" s="5"/>
      <c r="AG32" s="5"/>
      <c r="AH32" s="5">
        <v>225</v>
      </c>
      <c r="AI32" s="5"/>
      <c r="AJ32" s="5"/>
      <c r="AK32" s="5" t="s">
        <v>448</v>
      </c>
      <c r="AL32" s="5" t="s">
        <v>449</v>
      </c>
      <c r="AM32" s="5"/>
      <c r="AN32" s="5">
        <v>8</v>
      </c>
      <c r="AO32" s="5" t="s">
        <v>720</v>
      </c>
      <c r="AP32" s="5">
        <v>3</v>
      </c>
      <c r="AQ32" s="5">
        <v>2</v>
      </c>
      <c r="AR32" s="5">
        <v>5</v>
      </c>
      <c r="AS32" s="5"/>
      <c r="AT32" s="5">
        <v>1</v>
      </c>
      <c r="AU32" s="5">
        <v>2</v>
      </c>
      <c r="AV32" s="5">
        <v>1</v>
      </c>
      <c r="AW32" s="5">
        <v>1</v>
      </c>
      <c r="AX32" s="5"/>
      <c r="AY32" s="5"/>
      <c r="AZ32" s="5"/>
      <c r="BA32" s="5">
        <v>4</v>
      </c>
      <c r="BB32" s="5">
        <v>2</v>
      </c>
      <c r="BC32" s="5">
        <v>50</v>
      </c>
      <c r="BD32" s="5">
        <v>1</v>
      </c>
      <c r="BE32" s="5">
        <v>2</v>
      </c>
      <c r="BF32" s="5">
        <v>2</v>
      </c>
      <c r="BG32" s="5">
        <v>2</v>
      </c>
      <c r="BH32" s="5">
        <v>1</v>
      </c>
      <c r="BI32" s="5">
        <v>1</v>
      </c>
      <c r="BJ32" s="5">
        <v>1</v>
      </c>
      <c r="BK32" s="5">
        <v>1</v>
      </c>
      <c r="BL32" s="5">
        <v>2</v>
      </c>
      <c r="BM32" s="5">
        <v>2</v>
      </c>
      <c r="BN32" s="5">
        <v>2</v>
      </c>
      <c r="BO32" s="5">
        <v>1</v>
      </c>
      <c r="BP32" s="5">
        <v>1</v>
      </c>
      <c r="BQ32" s="5">
        <v>1</v>
      </c>
      <c r="BR32" s="5">
        <v>20</v>
      </c>
      <c r="BS32" s="5">
        <v>1</v>
      </c>
      <c r="BT32" s="5">
        <v>1</v>
      </c>
      <c r="BU32" s="5"/>
    </row>
    <row r="33" spans="1:73" x14ac:dyDescent="0.25">
      <c r="A33" s="5" t="s">
        <v>493</v>
      </c>
      <c r="B33" s="5">
        <v>0</v>
      </c>
      <c r="C33" s="5">
        <v>1.74837</v>
      </c>
      <c r="D33" s="9">
        <f>VLOOKUP($A33,'[1]24-8-24 DATA ENTRY'!$A$1:$BR$303,3,FALSE)</f>
        <v>240000056670</v>
      </c>
      <c r="E33" s="9">
        <f>VLOOKUP($A33,'[1]24-8-24 DATA ENTRY'!$A$1:$BR$303,4,FALSE)</f>
        <v>0</v>
      </c>
      <c r="F33" s="9">
        <f>VLOOKUP($A33,'[1]24-8-24 DATA ENTRY'!$A$1:$BR$303,5,FALSE)</f>
        <v>1</v>
      </c>
      <c r="G33" s="10">
        <f>VLOOKUP($A33,'[1]24-8-24 DATA ENTRY'!$A$1:$BR$303,6,FALSE)</f>
        <v>45471</v>
      </c>
      <c r="H33" s="9">
        <f>VLOOKUP($A33,'[1]24-8-24 DATA ENTRY'!$A$1:$BR$303,7,FALSE)</f>
        <v>0.5</v>
      </c>
      <c r="I33" s="10">
        <f>VLOOKUP($A33,'[1]24-8-24 DATA ENTRY'!$A$1:$BR$303,8,FALSE)</f>
        <v>45471</v>
      </c>
      <c r="J33" s="10">
        <f>VLOOKUP($A33,'[1]24-8-24 DATA ENTRY'!$A$1:$BR$303,9,FALSE)</f>
        <v>45474</v>
      </c>
      <c r="K33" s="9">
        <f>VLOOKUP($A33,'[1]24-8-24 DATA ENTRY'!$A$1:$BR$303,10,FALSE)</f>
        <v>9763443333</v>
      </c>
      <c r="L33" s="9">
        <f>VLOOKUP($A33,'[1]24-8-24 DATA ENTRY'!$A$1:$BR$303,11,FALSE)</f>
        <v>0</v>
      </c>
      <c r="M33" s="9">
        <f>VLOOKUP($A33,'[1]24-8-24 DATA ENTRY'!$A$1:$BR$303,12,FALSE)</f>
        <v>8</v>
      </c>
      <c r="N33" s="9">
        <f>VLOOKUP($A33,'[1]24-8-24 DATA ENTRY'!$A$1:$BR$303,13,FALSE)</f>
        <v>1</v>
      </c>
      <c r="O33" s="9">
        <f>VLOOKUP($A33,'[1]24-8-24 DATA ENTRY'!$A$1:$BR$303,14,FALSE)</f>
        <v>1</v>
      </c>
      <c r="P33" s="9">
        <f>VLOOKUP($A33,'[1]24-8-24 DATA ENTRY'!$A$1:$BR$303,15,FALSE)</f>
        <v>2</v>
      </c>
      <c r="Q33" s="9">
        <f>VLOOKUP($A33,'[1]24-8-24 DATA ENTRY'!$A$1:$BR$303,16,FALSE)</f>
        <v>2</v>
      </c>
      <c r="R33" s="9">
        <f>VLOOKUP($A33,'[1]24-8-24 DATA ENTRY'!$A$1:$BR$303,17,FALSE)</f>
        <v>2</v>
      </c>
      <c r="S33" s="9">
        <f>VLOOKUP($A33,'[1]24-8-24 DATA ENTRY'!$A$1:$BR$303,18,FALSE)</f>
        <v>2</v>
      </c>
      <c r="T33" s="9">
        <f>VLOOKUP($A33,'[1]24-8-24 DATA ENTRY'!$A$1:$BR$303,19,FALSE)</f>
        <v>2</v>
      </c>
      <c r="U33" s="9" t="e">
        <f>VLOOKUP($A33,'[1]24-8-24 DATA ENTRY'!$A$1:$BR$278,20,FALSE)</f>
        <v>#N/A</v>
      </c>
      <c r="V33" s="9">
        <f>VLOOKUP($A33,'[1]24-8-24 DATA ENTRY'!$A$1:$BR$303,21,FALSE)</f>
        <v>2</v>
      </c>
      <c r="W33" s="9">
        <f>VLOOKUP($A33,'[1]24-8-24 DATA ENTRY'!$A$1:$BR$303,22,FALSE)</f>
        <v>0</v>
      </c>
      <c r="X33" s="9">
        <f>VLOOKUP($A33,'[1]24-8-24 DATA ENTRY'!$A$1:$BR$303,23,FALSE)</f>
        <v>11.4</v>
      </c>
      <c r="Y33" s="9">
        <f>VLOOKUP($A33,'[1]24-8-24 DATA ENTRY'!$A$1:$BR$303,24,FALSE)</f>
        <v>36.700000000000003</v>
      </c>
      <c r="Z33" s="9">
        <f>VLOOKUP($A33,'[1]24-8-24 DATA ENTRY'!$A$1:$BR$303,25,FALSE)</f>
        <v>63.4</v>
      </c>
      <c r="AA33" s="9">
        <f>VLOOKUP($A33,'[1]24-8-24 DATA ENTRY'!$A$1:$BR$303,26,FALSE)</f>
        <v>8.7100000000000009</v>
      </c>
      <c r="AB33" s="9">
        <f>VLOOKUP($A33,'[1]24-8-24 DATA ENTRY'!$A$1:$BR$303,27,FALSE)</f>
        <v>10.4</v>
      </c>
      <c r="AC33" s="9">
        <f>VLOOKUP($A33,'[1]24-8-24 DATA ENTRY'!$A$1:$BR$303,28,FALSE)</f>
        <v>86</v>
      </c>
      <c r="AD33" s="9">
        <f>VLOOKUP($A33,'[1]24-8-24 DATA ENTRY'!$A$1:$BR$303,29,FALSE)</f>
        <v>35.4</v>
      </c>
      <c r="AE33" s="9">
        <f>VLOOKUP($A33,'[1]24-8-24 DATA ENTRY'!$A$1:$BR$2303,30,FALSE)</f>
        <v>24</v>
      </c>
      <c r="AF33" s="9">
        <f>VLOOKUP($A33,'[1]24-8-24 DATA ENTRY'!$A$1:$BR$303,31,FALSE)</f>
        <v>26.6</v>
      </c>
      <c r="AG33" s="9">
        <f>VLOOKUP($A33,'[1]24-8-24 DATA ENTRY'!$A$1:$BR$303,32,FALSE)</f>
        <v>133</v>
      </c>
      <c r="AH33" s="9">
        <f>VLOOKUP($A33,'[1]24-8-24 DATA ENTRY'!$A$1:$BR$303,33,FALSE)</f>
        <v>519</v>
      </c>
      <c r="AI33" s="9">
        <f>VLOOKUP($A33,'[1]24-8-24 DATA ENTRY'!$A$1:$BR$303,34,FALSE)</f>
        <v>0</v>
      </c>
      <c r="AJ33" s="9">
        <f>VLOOKUP($A33,'[1]24-8-24 DATA ENTRY'!$A$1:$BR$303,35,FALSE)</f>
        <v>0</v>
      </c>
      <c r="AK33" s="9" t="str">
        <f>VLOOKUP($A33,'[1]24-8-24 DATA ENTRY'!$A$1:$BR$303,36,FALSE)</f>
        <v>left corona radiata infarct and posterior limb of internal capsule</v>
      </c>
      <c r="AL33" s="9" t="str">
        <f>VLOOKUP($A33,'[1]24-8-24 DATA ENTRY'!$A$1:$BR$303,37,FALSE)</f>
        <v>left m2 distal stenosis</v>
      </c>
      <c r="AM33" s="9">
        <f>VLOOKUP($A33,'[1]24-8-24 DATA ENTRY'!$A$1:$BR$303,38,FALSE)</f>
        <v>0</v>
      </c>
      <c r="AN33" s="9">
        <f>VLOOKUP($A33,'[1]24-8-24 DATA ENTRY'!$A$1:$BR$303,39,FALSE)</f>
        <v>0</v>
      </c>
      <c r="AO33" s="9">
        <f>VLOOKUP($A33,'[1]24-8-24 DATA ENTRY'!$A$1:$BR$303,40,FALSE)</f>
        <v>0</v>
      </c>
      <c r="AP33" s="9">
        <f>VLOOKUP($A33,'[1]24-8-24 DATA ENTRY'!$A$1:$BR$303,41,FALSE)</f>
        <v>0</v>
      </c>
      <c r="AQ33" s="9">
        <f>VLOOKUP($A33,'[1]24-8-24 DATA ENTRY'!$A$1:$BR$303,42,FALSE)</f>
        <v>0</v>
      </c>
      <c r="AR33" s="9">
        <f>VLOOKUP($A33,'[1]24-8-24 DATA ENTRY'!$A$1:$BR$303,43,FALSE)</f>
        <v>0</v>
      </c>
      <c r="AS33" s="9">
        <f>VLOOKUP($A33,'[1]24-8-24 DATA ENTRY'!$A$1:$BR$303,44,FALSE)</f>
        <v>0</v>
      </c>
      <c r="AT33" s="9">
        <f>VLOOKUP($A33,'[1]24-8-24 DATA ENTRY'!$A$1:$BR$303,45,FALSE)</f>
        <v>1</v>
      </c>
      <c r="AU33" s="9">
        <f>VLOOKUP($A33,'[1]24-8-24 DATA ENTRY'!$A$1:$BR$303,46,FALSE)</f>
        <v>1</v>
      </c>
      <c r="AV33" s="9">
        <f>VLOOKUP($A33,'[1]24-8-24 DATA ENTRY'!$A$1:$BR$303,47,FALSE)</f>
        <v>2</v>
      </c>
      <c r="AW33" s="9">
        <f>VLOOKUP($A33,'[1]24-8-24 DATA ENTRY'!$A$1:$BR$303,48,FALSE)</f>
        <v>0</v>
      </c>
      <c r="AX33" s="9">
        <f>VLOOKUP($A33,'[1]24-8-24 DATA ENTRY'!$A$1:$BR$303,49,FALSE)</f>
        <v>0</v>
      </c>
      <c r="AY33" s="9">
        <f>VLOOKUP($A33,'[1]24-8-24 DATA ENTRY'!$A$1:$BR$303,50,FALSE)</f>
        <v>0</v>
      </c>
      <c r="AZ33" s="9">
        <f>VLOOKUP($A33,'[1]24-8-24 DATA ENTRY'!$A$1:$BR$303,51,FALSE)</f>
        <v>0</v>
      </c>
      <c r="BA33" s="9">
        <f>VLOOKUP($A33,'[1]24-8-24 DATA ENTRY'!$A$1:$BR$303,52,FALSE)</f>
        <v>0</v>
      </c>
      <c r="BB33" s="5">
        <v>1</v>
      </c>
      <c r="BC33" s="9">
        <f>VLOOKUP($A33,'[1]24-8-24 DATA ENTRY'!$A$1:$BR$303,53,FALSE)</f>
        <v>0</v>
      </c>
      <c r="BD33" s="5">
        <v>1</v>
      </c>
      <c r="BE33" s="5">
        <v>2</v>
      </c>
      <c r="BF33" s="5">
        <v>2</v>
      </c>
      <c r="BG33" s="5">
        <v>2</v>
      </c>
      <c r="BH33" s="5">
        <v>1</v>
      </c>
      <c r="BI33" s="5">
        <v>1</v>
      </c>
      <c r="BJ33" s="5">
        <v>1</v>
      </c>
      <c r="BK33" s="5">
        <v>1</v>
      </c>
      <c r="BL33" s="5">
        <v>2</v>
      </c>
      <c r="BM33" s="5">
        <v>2</v>
      </c>
      <c r="BN33" s="5">
        <v>1</v>
      </c>
      <c r="BO33" s="5">
        <v>1</v>
      </c>
      <c r="BP33" s="5">
        <v>1</v>
      </c>
      <c r="BQ33" s="5">
        <v>1</v>
      </c>
      <c r="BR33" s="5">
        <v>19</v>
      </c>
      <c r="BS33" s="5">
        <v>1</v>
      </c>
      <c r="BT33" s="5">
        <v>1</v>
      </c>
      <c r="BU33" s="5"/>
    </row>
    <row r="34" spans="1:73" x14ac:dyDescent="0.25">
      <c r="A34" s="5" t="s">
        <v>450</v>
      </c>
      <c r="B34" s="5">
        <v>1</v>
      </c>
      <c r="C34" s="5">
        <v>1.74837</v>
      </c>
      <c r="D34" s="6">
        <v>230000000000</v>
      </c>
      <c r="E34" s="5">
        <v>50</v>
      </c>
      <c r="F34" s="5">
        <v>1</v>
      </c>
      <c r="G34" s="7">
        <v>45271</v>
      </c>
      <c r="H34" s="11">
        <v>0.58333333333333337</v>
      </c>
      <c r="I34" s="7">
        <v>45272</v>
      </c>
      <c r="J34" s="7">
        <v>45272</v>
      </c>
      <c r="K34" s="5">
        <v>9764791613</v>
      </c>
      <c r="L34" s="5">
        <v>7385001613</v>
      </c>
      <c r="M34" s="5">
        <v>4</v>
      </c>
      <c r="N34" s="5">
        <v>2</v>
      </c>
      <c r="O34" s="5">
        <v>1</v>
      </c>
      <c r="P34" s="5">
        <v>2</v>
      </c>
      <c r="Q34" s="5">
        <v>2</v>
      </c>
      <c r="R34" s="5">
        <v>1</v>
      </c>
      <c r="S34" s="5">
        <v>2</v>
      </c>
      <c r="T34" s="5">
        <v>2</v>
      </c>
      <c r="U34" s="5">
        <v>2</v>
      </c>
      <c r="V34" s="5">
        <v>2</v>
      </c>
      <c r="W34" s="5"/>
      <c r="X34" s="5">
        <v>10.5</v>
      </c>
      <c r="Y34" s="5">
        <v>33.9</v>
      </c>
      <c r="Z34" s="5">
        <v>75.900000000000006</v>
      </c>
      <c r="AA34" s="5"/>
      <c r="AB34" s="5"/>
      <c r="AC34" s="5">
        <v>293</v>
      </c>
      <c r="AD34" s="5">
        <v>207.4</v>
      </c>
      <c r="AE34" s="5">
        <v>73</v>
      </c>
      <c r="AF34" s="5">
        <v>12.6</v>
      </c>
      <c r="AG34" s="5">
        <v>63</v>
      </c>
      <c r="AH34" s="5">
        <v>194</v>
      </c>
      <c r="AI34" s="5"/>
      <c r="AJ34" s="5"/>
      <c r="AK34" s="5" t="s">
        <v>451</v>
      </c>
      <c r="AL34" s="5"/>
      <c r="AM34" s="5"/>
      <c r="AN34" s="5">
        <v>9</v>
      </c>
      <c r="AO34" s="5">
        <v>1</v>
      </c>
      <c r="AP34" s="5">
        <v>3</v>
      </c>
      <c r="AQ34" s="5">
        <v>3</v>
      </c>
      <c r="AR34" s="5">
        <v>5</v>
      </c>
      <c r="AS34" s="5"/>
      <c r="AT34" s="5">
        <v>1</v>
      </c>
      <c r="AU34" s="5">
        <v>1</v>
      </c>
      <c r="AV34" s="5">
        <v>2</v>
      </c>
      <c r="AW34" s="5">
        <v>4</v>
      </c>
      <c r="AX34" s="5">
        <v>4</v>
      </c>
      <c r="AY34" s="5">
        <v>2</v>
      </c>
      <c r="AZ34" s="5">
        <v>2</v>
      </c>
      <c r="BA34" s="5">
        <v>4</v>
      </c>
      <c r="BB34" s="5">
        <v>2</v>
      </c>
      <c r="BC34" s="5">
        <v>50</v>
      </c>
      <c r="BD34" s="5">
        <v>1</v>
      </c>
      <c r="BE34" s="5">
        <v>2</v>
      </c>
      <c r="BF34" s="5">
        <v>2</v>
      </c>
      <c r="BG34" s="5">
        <v>2</v>
      </c>
      <c r="BH34" s="5">
        <v>1</v>
      </c>
      <c r="BI34" s="5">
        <v>1</v>
      </c>
      <c r="BJ34" s="5">
        <v>1</v>
      </c>
      <c r="BK34" s="5">
        <v>1</v>
      </c>
      <c r="BL34" s="5">
        <v>2</v>
      </c>
      <c r="BM34" s="5">
        <v>2</v>
      </c>
      <c r="BN34" s="5">
        <v>2</v>
      </c>
      <c r="BO34" s="5">
        <v>1</v>
      </c>
      <c r="BP34" s="5">
        <v>1</v>
      </c>
      <c r="BQ34" s="5">
        <v>1</v>
      </c>
      <c r="BR34" s="5">
        <v>20</v>
      </c>
      <c r="BS34" s="5">
        <v>1</v>
      </c>
      <c r="BT34" s="5">
        <v>1</v>
      </c>
      <c r="BU34" s="5"/>
    </row>
    <row r="35" spans="1:73" x14ac:dyDescent="0.25">
      <c r="A35" s="5" t="s">
        <v>559</v>
      </c>
      <c r="B35" s="5">
        <v>0</v>
      </c>
      <c r="C35" s="5">
        <v>1.7725900000000001</v>
      </c>
      <c r="D35" s="6">
        <v>171000107</v>
      </c>
      <c r="E35" s="5">
        <v>56</v>
      </c>
      <c r="F35" s="5">
        <v>1</v>
      </c>
      <c r="G35" s="7">
        <v>44989</v>
      </c>
      <c r="H35" s="5"/>
      <c r="I35" s="7">
        <v>44989</v>
      </c>
      <c r="J35" s="7">
        <v>44993</v>
      </c>
      <c r="K35" s="5">
        <v>9011496111</v>
      </c>
      <c r="L35" s="5"/>
      <c r="M35" s="5">
        <v>13</v>
      </c>
      <c r="N35" s="5">
        <v>1</v>
      </c>
      <c r="O35" s="5">
        <v>1</v>
      </c>
      <c r="P35" s="5">
        <v>1</v>
      </c>
      <c r="Q35" s="5">
        <v>2</v>
      </c>
      <c r="R35" s="5">
        <v>1</v>
      </c>
      <c r="S35" s="5">
        <v>2</v>
      </c>
      <c r="T35" s="5">
        <v>2</v>
      </c>
      <c r="U35" s="5">
        <v>2</v>
      </c>
      <c r="V35" s="5">
        <v>2</v>
      </c>
      <c r="W35" s="5"/>
      <c r="X35" s="5">
        <v>16.399999999999999</v>
      </c>
      <c r="Y35" s="5">
        <v>48.7</v>
      </c>
      <c r="Z35" s="5"/>
      <c r="AA35" s="5">
        <v>23.15</v>
      </c>
      <c r="AB35" s="5">
        <v>7.9</v>
      </c>
      <c r="AC35" s="5"/>
      <c r="AD35" s="5"/>
      <c r="AE35" s="5"/>
      <c r="AF35" s="5"/>
      <c r="AG35" s="5"/>
      <c r="AH35" s="5">
        <v>182</v>
      </c>
      <c r="AI35" s="5" t="s">
        <v>560</v>
      </c>
      <c r="AJ35" s="5"/>
      <c r="AK35" s="5" t="s">
        <v>561</v>
      </c>
      <c r="AL35" s="5" t="s">
        <v>562</v>
      </c>
      <c r="AM35" s="5"/>
      <c r="AN35" s="5">
        <v>9</v>
      </c>
      <c r="AO35" s="5">
        <v>3</v>
      </c>
      <c r="AP35" s="5">
        <v>3</v>
      </c>
      <c r="AQ35" s="5">
        <v>2</v>
      </c>
      <c r="AR35" s="5">
        <v>5</v>
      </c>
      <c r="AS35" s="5"/>
      <c r="AT35" s="5">
        <v>1</v>
      </c>
      <c r="AU35" s="5">
        <v>1</v>
      </c>
      <c r="AV35" s="5">
        <v>1</v>
      </c>
      <c r="AW35" s="5">
        <v>1</v>
      </c>
      <c r="AX35" s="5">
        <v>8</v>
      </c>
      <c r="AY35" s="5">
        <v>2</v>
      </c>
      <c r="AZ35" s="5">
        <v>2</v>
      </c>
      <c r="BA35" s="5">
        <v>3</v>
      </c>
      <c r="BB35" s="5">
        <v>2</v>
      </c>
      <c r="BC35" s="5">
        <v>60</v>
      </c>
      <c r="BD35" s="5">
        <v>1</v>
      </c>
      <c r="BE35" s="5">
        <v>2</v>
      </c>
      <c r="BF35" s="5">
        <v>2</v>
      </c>
      <c r="BG35" s="5">
        <v>2</v>
      </c>
      <c r="BH35" s="5">
        <v>1</v>
      </c>
      <c r="BI35" s="5">
        <v>1</v>
      </c>
      <c r="BJ35" s="5">
        <v>1</v>
      </c>
      <c r="BK35" s="5">
        <v>1</v>
      </c>
      <c r="BL35" s="5">
        <v>2</v>
      </c>
      <c r="BM35" s="5">
        <v>2</v>
      </c>
      <c r="BN35" s="5">
        <v>2</v>
      </c>
      <c r="BO35" s="5">
        <v>1</v>
      </c>
      <c r="BP35" s="5">
        <v>1</v>
      </c>
      <c r="BQ35" s="5">
        <v>1</v>
      </c>
      <c r="BR35" s="5">
        <v>20</v>
      </c>
      <c r="BS35" s="5">
        <v>1</v>
      </c>
      <c r="BT35" s="5">
        <v>1</v>
      </c>
      <c r="BU35" s="5"/>
    </row>
    <row r="36" spans="1:73" x14ac:dyDescent="0.25">
      <c r="A36" s="5" t="s">
        <v>494</v>
      </c>
      <c r="B36" s="5">
        <v>0</v>
      </c>
      <c r="C36" s="5">
        <v>1.8064899999999999</v>
      </c>
      <c r="D36" s="9">
        <f>VLOOKUP($A36,'[1]24-8-24 DATA ENTRY'!$A$1:$BR$303,3,FALSE)</f>
        <v>240000058594</v>
      </c>
      <c r="E36" s="9">
        <f>VLOOKUP($A36,'[1]24-8-24 DATA ENTRY'!$A$1:$BR$303,4,FALSE)</f>
        <v>48</v>
      </c>
      <c r="F36" s="9">
        <f>VLOOKUP($A36,'[1]24-8-24 DATA ENTRY'!$A$1:$BR$303,5,FALSE)</f>
        <v>1</v>
      </c>
      <c r="G36" s="10">
        <f>VLOOKUP($A36,'[1]24-8-24 DATA ENTRY'!$A$1:$BR$303,6,FALSE)</f>
        <v>45477</v>
      </c>
      <c r="H36" s="9">
        <f>VLOOKUP($A36,'[1]24-8-24 DATA ENTRY'!$A$1:$BR$303,7,FALSE)</f>
        <v>0.47916666666666669</v>
      </c>
      <c r="I36" s="10">
        <f>VLOOKUP($A36,'[1]24-8-24 DATA ENTRY'!$A$1:$BR$303,8,FALSE)</f>
        <v>45478</v>
      </c>
      <c r="J36" s="10">
        <f>VLOOKUP($A36,'[1]24-8-24 DATA ENTRY'!$A$1:$BR$303,9,FALSE)</f>
        <v>45479</v>
      </c>
      <c r="K36" s="9">
        <f>VLOOKUP($A36,'[1]24-8-24 DATA ENTRY'!$A$1:$BR$303,10,FALSE)</f>
        <v>7249567458</v>
      </c>
      <c r="L36" s="9">
        <f>VLOOKUP($A36,'[1]24-8-24 DATA ENTRY'!$A$1:$BR$303,11,FALSE)</f>
        <v>7709499969</v>
      </c>
      <c r="M36" s="9">
        <f>VLOOKUP($A36,'[1]24-8-24 DATA ENTRY'!$A$1:$BR$303,12,FALSE)</f>
        <v>6</v>
      </c>
      <c r="N36" s="9">
        <f>VLOOKUP($A36,'[1]24-8-24 DATA ENTRY'!$A$1:$BR$303,13,FALSE)</f>
        <v>1</v>
      </c>
      <c r="O36" s="9">
        <f>VLOOKUP($A36,'[1]24-8-24 DATA ENTRY'!$A$1:$BR$303,14,FALSE)</f>
        <v>2</v>
      </c>
      <c r="P36" s="9">
        <f>VLOOKUP($A36,'[1]24-8-24 DATA ENTRY'!$A$1:$BR$303,15,FALSE)</f>
        <v>2</v>
      </c>
      <c r="Q36" s="9">
        <f>VLOOKUP($A36,'[1]24-8-24 DATA ENTRY'!$A$1:$BR$303,16,FALSE)</f>
        <v>2</v>
      </c>
      <c r="R36" s="9">
        <f>VLOOKUP($A36,'[1]24-8-24 DATA ENTRY'!$A$1:$BR$303,17,FALSE)</f>
        <v>2</v>
      </c>
      <c r="S36" s="9">
        <f>VLOOKUP($A36,'[1]24-8-24 DATA ENTRY'!$A$1:$BR$303,18,FALSE)</f>
        <v>2</v>
      </c>
      <c r="T36" s="9">
        <f>VLOOKUP($A36,'[1]24-8-24 DATA ENTRY'!$A$1:$BR$303,19,FALSE)</f>
        <v>2</v>
      </c>
      <c r="U36" s="9" t="e">
        <f>VLOOKUP($A36,'[1]24-8-24 DATA ENTRY'!$A$1:$BR$278,20,FALSE)</f>
        <v>#N/A</v>
      </c>
      <c r="V36" s="9">
        <f>VLOOKUP($A36,'[1]24-8-24 DATA ENTRY'!$A$1:$BR$303,21,FALSE)</f>
        <v>2</v>
      </c>
      <c r="W36" s="9">
        <f>VLOOKUP($A36,'[1]24-8-24 DATA ENTRY'!$A$1:$BR$303,22,FALSE)</f>
        <v>0</v>
      </c>
      <c r="X36" s="9">
        <f>VLOOKUP($A36,'[1]24-8-24 DATA ENTRY'!$A$1:$BR$303,23,FALSE)</f>
        <v>13</v>
      </c>
      <c r="Y36" s="9">
        <f>VLOOKUP($A36,'[1]24-8-24 DATA ENTRY'!$A$1:$BR$303,24,FALSE)</f>
        <v>0</v>
      </c>
      <c r="Z36" s="9">
        <f>VLOOKUP($A36,'[1]24-8-24 DATA ENTRY'!$A$1:$BR$303,25,FALSE)</f>
        <v>0</v>
      </c>
      <c r="AA36" s="9">
        <f>VLOOKUP($A36,'[1]24-8-24 DATA ENTRY'!$A$1:$BR$303,26,FALSE)</f>
        <v>17.5</v>
      </c>
      <c r="AB36" s="9">
        <f>VLOOKUP($A36,'[1]24-8-24 DATA ENTRY'!$A$1:$BR$303,27,FALSE)</f>
        <v>0</v>
      </c>
      <c r="AC36" s="9">
        <f>VLOOKUP($A36,'[1]24-8-24 DATA ENTRY'!$A$1:$BR$303,28,FALSE)</f>
        <v>198</v>
      </c>
      <c r="AD36" s="9">
        <f>VLOOKUP($A36,'[1]24-8-24 DATA ENTRY'!$A$1:$BR$303,29,FALSE)</f>
        <v>142</v>
      </c>
      <c r="AE36" s="9">
        <f>VLOOKUP($A36,'[1]24-8-24 DATA ENTRY'!$A$1:$BR$2303,30,FALSE)</f>
        <v>34</v>
      </c>
      <c r="AF36" s="9">
        <f>VLOOKUP($A36,'[1]24-8-24 DATA ENTRY'!$A$1:$BR$303,31,FALSE)</f>
        <v>21.4</v>
      </c>
      <c r="AG36" s="9">
        <f>VLOOKUP($A36,'[1]24-8-24 DATA ENTRY'!$A$1:$BR$303,32,FALSE)</f>
        <v>107</v>
      </c>
      <c r="AH36" s="9">
        <f>VLOOKUP($A36,'[1]24-8-24 DATA ENTRY'!$A$1:$BR$303,33,FALSE)</f>
        <v>320</v>
      </c>
      <c r="AI36" s="9">
        <f>VLOOKUP($A36,'[1]24-8-24 DATA ENTRY'!$A$1:$BR$303,34,FALSE)</f>
        <v>0</v>
      </c>
      <c r="AJ36" s="9">
        <f>VLOOKUP($A36,'[1]24-8-24 DATA ENTRY'!$A$1:$BR$303,35,FALSE)</f>
        <v>0</v>
      </c>
      <c r="AK36" s="9" t="str">
        <f>VLOOKUP($A36,'[1]24-8-24 DATA ENTRY'!$A$1:$BR$303,36,FALSE)</f>
        <v>Right PLIC and corona radiata infarct</v>
      </c>
      <c r="AL36" s="9" t="str">
        <f>VLOOKUP($A36,'[1]24-8-24 DATA ENTRY'!$A$1:$BR$303,37,FALSE)</f>
        <v>normal</v>
      </c>
      <c r="AM36" s="9">
        <f>VLOOKUP($A36,'[1]24-8-24 DATA ENTRY'!$A$1:$BR$303,38,FALSE)</f>
        <v>0</v>
      </c>
      <c r="AN36" s="9">
        <f>VLOOKUP($A36,'[1]24-8-24 DATA ENTRY'!$A$1:$BR$303,39,FALSE)</f>
        <v>10</v>
      </c>
      <c r="AO36" s="9">
        <f>VLOOKUP($A36,'[1]24-8-24 DATA ENTRY'!$A$1:$BR$303,40,FALSE)</f>
        <v>1</v>
      </c>
      <c r="AP36" s="9">
        <f>VLOOKUP($A36,'[1]24-8-24 DATA ENTRY'!$A$1:$BR$303,41,FALSE)</f>
        <v>5</v>
      </c>
      <c r="AQ36" s="9">
        <f>VLOOKUP($A36,'[1]24-8-24 DATA ENTRY'!$A$1:$BR$303,42,FALSE)</f>
        <v>3</v>
      </c>
      <c r="AR36" s="9">
        <f>VLOOKUP($A36,'[1]24-8-24 DATA ENTRY'!$A$1:$BR$303,43,FALSE)</f>
        <v>5</v>
      </c>
      <c r="AS36" s="9">
        <f>VLOOKUP($A36,'[1]24-8-24 DATA ENTRY'!$A$1:$BR$303,44,FALSE)</f>
        <v>0</v>
      </c>
      <c r="AT36" s="9">
        <f>VLOOKUP($A36,'[1]24-8-24 DATA ENTRY'!$A$1:$BR$303,45,FALSE)</f>
        <v>1</v>
      </c>
      <c r="AU36" s="9">
        <f>VLOOKUP($A36,'[1]24-8-24 DATA ENTRY'!$A$1:$BR$303,46,FALSE)</f>
        <v>1</v>
      </c>
      <c r="AV36" s="9">
        <f>VLOOKUP($A36,'[1]24-8-24 DATA ENTRY'!$A$1:$BR$303,47,FALSE)</f>
        <v>2</v>
      </c>
      <c r="AW36" s="9">
        <f>VLOOKUP($A36,'[1]24-8-24 DATA ENTRY'!$A$1:$BR$303,48,FALSE)</f>
        <v>0</v>
      </c>
      <c r="AX36" s="9">
        <f>VLOOKUP($A36,'[1]24-8-24 DATA ENTRY'!$A$1:$BR$303,49,FALSE)</f>
        <v>0</v>
      </c>
      <c r="AY36" s="9">
        <f>VLOOKUP($A36,'[1]24-8-24 DATA ENTRY'!$A$1:$BR$303,50,FALSE)</f>
        <v>0</v>
      </c>
      <c r="AZ36" s="9">
        <f>VLOOKUP($A36,'[1]24-8-24 DATA ENTRY'!$A$1:$BR$303,51,FALSE)</f>
        <v>0</v>
      </c>
      <c r="BA36" s="9">
        <f>VLOOKUP($A36,'[1]24-8-24 DATA ENTRY'!$A$1:$BR$303,52,FALSE)</f>
        <v>0</v>
      </c>
      <c r="BB36" s="5">
        <v>1</v>
      </c>
      <c r="BC36" s="9">
        <f>VLOOKUP($A36,'[1]24-8-24 DATA ENTRY'!$A$1:$BR$303,53,FALSE)</f>
        <v>100</v>
      </c>
      <c r="BD36" s="5">
        <v>1</v>
      </c>
      <c r="BE36" s="5">
        <v>2</v>
      </c>
      <c r="BF36" s="5">
        <v>2</v>
      </c>
      <c r="BG36" s="5">
        <v>2</v>
      </c>
      <c r="BH36" s="5">
        <v>1</v>
      </c>
      <c r="BI36" s="5">
        <v>1</v>
      </c>
      <c r="BJ36" s="5">
        <v>1</v>
      </c>
      <c r="BK36" s="5">
        <v>1</v>
      </c>
      <c r="BL36" s="5">
        <v>2</v>
      </c>
      <c r="BM36" s="5">
        <v>2</v>
      </c>
      <c r="BN36" s="5">
        <v>2</v>
      </c>
      <c r="BO36" s="5">
        <v>1</v>
      </c>
      <c r="BP36" s="5">
        <v>1</v>
      </c>
      <c r="BQ36" s="5">
        <v>1</v>
      </c>
      <c r="BR36" s="5">
        <v>20</v>
      </c>
      <c r="BS36" s="5">
        <v>1</v>
      </c>
      <c r="BT36" s="5">
        <v>1</v>
      </c>
      <c r="BU36" s="5"/>
    </row>
    <row r="37" spans="1:73" x14ac:dyDescent="0.25">
      <c r="A37" s="5" t="s">
        <v>72</v>
      </c>
      <c r="B37" s="5">
        <v>1</v>
      </c>
      <c r="C37" s="5">
        <v>1.8210200000000001</v>
      </c>
      <c r="D37" s="6">
        <v>230000000000</v>
      </c>
      <c r="E37" s="5">
        <v>62</v>
      </c>
      <c r="F37" s="5">
        <v>1</v>
      </c>
      <c r="G37" s="7">
        <v>45243</v>
      </c>
      <c r="H37" s="5"/>
      <c r="I37" s="7">
        <v>45243</v>
      </c>
      <c r="J37" s="7">
        <v>45245</v>
      </c>
      <c r="K37" s="5">
        <v>9158221010</v>
      </c>
      <c r="L37" s="5"/>
      <c r="M37" s="5">
        <v>2</v>
      </c>
      <c r="N37" s="5">
        <v>2</v>
      </c>
      <c r="O37" s="5">
        <v>1</v>
      </c>
      <c r="P37" s="5">
        <v>2</v>
      </c>
      <c r="Q37" s="5">
        <v>2</v>
      </c>
      <c r="R37" s="5">
        <v>2</v>
      </c>
      <c r="S37" s="5">
        <v>2</v>
      </c>
      <c r="T37" s="5">
        <v>2</v>
      </c>
      <c r="U37" s="5">
        <v>2</v>
      </c>
      <c r="V37" s="5">
        <v>2</v>
      </c>
      <c r="W37" s="5"/>
      <c r="X37" s="5">
        <v>13.4</v>
      </c>
      <c r="Y37" s="5"/>
      <c r="Z37" s="5"/>
      <c r="AA37" s="5">
        <v>138</v>
      </c>
      <c r="AB37" s="5">
        <v>7.2</v>
      </c>
      <c r="AC37" s="5"/>
      <c r="AD37" s="5"/>
      <c r="AE37" s="5"/>
      <c r="AF37" s="5"/>
      <c r="AG37" s="5"/>
      <c r="AH37" s="5">
        <v>148</v>
      </c>
      <c r="AI37" s="5"/>
      <c r="AJ37" s="5"/>
      <c r="AK37" s="5" t="s">
        <v>73</v>
      </c>
      <c r="AL37" s="5"/>
      <c r="AM37" s="5"/>
      <c r="AN37" s="5">
        <v>9</v>
      </c>
      <c r="AO37" s="5" t="s">
        <v>720</v>
      </c>
      <c r="AP37" s="5">
        <v>3</v>
      </c>
      <c r="AQ37" s="5">
        <v>2</v>
      </c>
      <c r="AR37" s="5">
        <v>5</v>
      </c>
      <c r="AS37" s="5"/>
      <c r="AT37" s="5">
        <v>1</v>
      </c>
      <c r="AU37" s="5">
        <v>1</v>
      </c>
      <c r="AV37" s="5">
        <v>2</v>
      </c>
      <c r="AW37" s="5">
        <v>4</v>
      </c>
      <c r="AX37" s="5">
        <v>8</v>
      </c>
      <c r="AY37" s="5">
        <v>2</v>
      </c>
      <c r="AZ37" s="5">
        <v>2</v>
      </c>
      <c r="BA37" s="5">
        <v>4</v>
      </c>
      <c r="BB37" s="5">
        <v>2</v>
      </c>
      <c r="BC37" s="5">
        <v>60</v>
      </c>
      <c r="BD37" s="5">
        <v>1</v>
      </c>
      <c r="BE37" s="5">
        <v>2</v>
      </c>
      <c r="BF37" s="5">
        <v>2</v>
      </c>
      <c r="BG37" s="5">
        <v>2</v>
      </c>
      <c r="BH37" s="5">
        <v>1</v>
      </c>
      <c r="BI37" s="5">
        <v>1</v>
      </c>
      <c r="BJ37" s="5">
        <v>1</v>
      </c>
      <c r="BK37" s="5">
        <v>0</v>
      </c>
      <c r="BL37" s="5">
        <v>2</v>
      </c>
      <c r="BM37" s="5">
        <v>2</v>
      </c>
      <c r="BN37" s="5">
        <v>2</v>
      </c>
      <c r="BO37" s="5">
        <v>1</v>
      </c>
      <c r="BP37" s="5">
        <v>1</v>
      </c>
      <c r="BQ37" s="5">
        <v>1</v>
      </c>
      <c r="BR37" s="5">
        <v>19</v>
      </c>
      <c r="BS37" s="5">
        <v>1</v>
      </c>
      <c r="BT37" s="5">
        <v>0</v>
      </c>
      <c r="BU37" s="5" t="s">
        <v>74</v>
      </c>
    </row>
    <row r="38" spans="1:73" x14ac:dyDescent="0.25">
      <c r="A38" s="21" t="s">
        <v>495</v>
      </c>
      <c r="B38" s="5">
        <v>0</v>
      </c>
      <c r="C38" s="5">
        <v>1.9566300000000001</v>
      </c>
      <c r="D38" s="9">
        <f>VLOOKUP($A38,'[1]24-8-24 DATA ENTRY'!$A$1:$BR$278,3,FALSE)</f>
        <v>240000048377</v>
      </c>
      <c r="E38" s="9">
        <f>VLOOKUP($A38,'[1]24-8-24 DATA ENTRY'!$A$1:$BR$278,4,FALSE)</f>
        <v>61</v>
      </c>
      <c r="F38" s="9">
        <f>VLOOKUP($A38,'[1]24-8-24 DATA ENTRY'!$A$1:$BR$278,5,FALSE)</f>
        <v>1</v>
      </c>
      <c r="G38" s="10">
        <f>VLOOKUP($A38,'[1]24-8-24 DATA ENTRY'!$A$1:$BR$278,6,FALSE)</f>
        <v>45443</v>
      </c>
      <c r="H38" s="9">
        <f>VLOOKUP($A38,'[1]24-8-24 DATA ENTRY'!$A$1:$BR$278,7,FALSE)</f>
        <v>0.54166666666666663</v>
      </c>
      <c r="I38" s="10">
        <f>VLOOKUP($A38,'[1]24-8-24 DATA ENTRY'!$A$1:$BR$278,8,FALSE)</f>
        <v>45443</v>
      </c>
      <c r="J38" s="10">
        <f>VLOOKUP($A38,'[1]24-8-24 DATA ENTRY'!$A$1:$BR$278,9,FALSE)</f>
        <v>45444</v>
      </c>
      <c r="K38" s="9">
        <f>VLOOKUP($A38,'[1]24-8-24 DATA ENTRY'!$A$1:$BR$278,10,FALSE)</f>
        <v>8446008244</v>
      </c>
      <c r="L38" s="9">
        <f>VLOOKUP($A38,'[1]24-8-24 DATA ENTRY'!$A$1:$BR$278,11,FALSE)</f>
        <v>0</v>
      </c>
      <c r="M38" s="9">
        <f>VLOOKUP($A38,'[1]24-8-24 DATA ENTRY'!$A$1:$BR$278,12,FALSE)</f>
        <v>3</v>
      </c>
      <c r="N38" s="9">
        <f>VLOOKUP($A38,'[1]24-8-24 DATA ENTRY'!$A$1:$BR$278,13,FALSE)</f>
        <v>1</v>
      </c>
      <c r="O38" s="9">
        <f>VLOOKUP($A38,'[1]24-8-24 DATA ENTRY'!$A$1:$BR$278,14,FALSE)</f>
        <v>2</v>
      </c>
      <c r="P38" s="9">
        <f>VLOOKUP($A38,'[1]24-8-24 DATA ENTRY'!$A$1:$BR$278,15,FALSE)</f>
        <v>1</v>
      </c>
      <c r="Q38" s="9">
        <f>VLOOKUP($A38,'[1]24-8-24 DATA ENTRY'!$A$1:$BR$278,16,FALSE)</f>
        <v>2</v>
      </c>
      <c r="R38" s="9">
        <f>VLOOKUP($A38,'[1]24-8-24 DATA ENTRY'!$A$1:$BR$278,17,FALSE)</f>
        <v>2</v>
      </c>
      <c r="S38" s="9">
        <f>VLOOKUP($A38,'[1]24-8-24 DATA ENTRY'!$A$1:$BR$278,18,FALSE)</f>
        <v>2</v>
      </c>
      <c r="T38" s="9">
        <f>VLOOKUP($A38,'[1]24-8-24 DATA ENTRY'!$A$1:$BR$278,19,FALSE)</f>
        <v>2</v>
      </c>
      <c r="U38" s="9">
        <f>VLOOKUP($A38,'[1]24-8-24 DATA ENTRY'!$A$1:$BR$278,20,FALSE)</f>
        <v>2</v>
      </c>
      <c r="V38" s="9">
        <f>VLOOKUP($A38,'[1]24-8-24 DATA ENTRY'!$A$1:$BR$278,21,FALSE)</f>
        <v>2</v>
      </c>
      <c r="W38" s="9">
        <f>VLOOKUP($A38,'[1]24-8-24 DATA ENTRY'!$A$1:$BR$278,22,FALSE)</f>
        <v>0</v>
      </c>
      <c r="X38" s="9">
        <f>VLOOKUP($A38,'[1]24-8-24 DATA ENTRY'!$A$1:$BR$278,23,FALSE)</f>
        <v>14.3</v>
      </c>
      <c r="Y38" s="9">
        <f>VLOOKUP($A38,'[1]24-8-24 DATA ENTRY'!$A$1:$BR$278,24,FALSE)</f>
        <v>42</v>
      </c>
      <c r="Z38" s="9">
        <f>VLOOKUP($A38,'[1]24-8-24 DATA ENTRY'!$A$1:$BR$278,25,FALSE)</f>
        <v>95.8</v>
      </c>
      <c r="AA38" s="9">
        <f>VLOOKUP($A38,'[1]24-8-24 DATA ENTRY'!$A$1:$BR$278,26,FALSE)</f>
        <v>42.56</v>
      </c>
      <c r="AB38" s="9">
        <f>VLOOKUP($A38,'[1]24-8-24 DATA ENTRY'!$A$1:$BR$278,27,FALSE)</f>
        <v>5.9</v>
      </c>
      <c r="AC38" s="9">
        <f>VLOOKUP($A38,'[1]24-8-24 DATA ENTRY'!$A$1:$BR$278,28,FALSE)</f>
        <v>152</v>
      </c>
      <c r="AD38" s="9">
        <f>VLOOKUP($A38,'[1]24-8-24 DATA ENTRY'!$A$1:$BR$278,29,FALSE)</f>
        <v>95.6</v>
      </c>
      <c r="AE38" s="9">
        <f>VLOOKUP($A38,'[1]24-8-24 DATA ENTRY'!$A$1:$BR$278,30,FALSE)</f>
        <v>35</v>
      </c>
      <c r="AF38" s="9">
        <f>VLOOKUP($A38,'[1]24-8-24 DATA ENTRY'!$A$1:$BR$278,31,FALSE)</f>
        <v>21.4</v>
      </c>
      <c r="AG38" s="9">
        <f>VLOOKUP($A38,'[1]24-8-24 DATA ENTRY'!$A$1:$BR$278,32,FALSE)</f>
        <v>107</v>
      </c>
      <c r="AH38" s="9">
        <f>VLOOKUP($A38,'[1]24-8-24 DATA ENTRY'!$A$1:$BR$278,33,FALSE)</f>
        <v>148</v>
      </c>
      <c r="AI38" s="9">
        <f>VLOOKUP($A38,'[1]24-8-24 DATA ENTRY'!$A$1:$BR$278,34,FALSE)</f>
        <v>0</v>
      </c>
      <c r="AJ38" s="9">
        <f>VLOOKUP($A38,'[1]24-8-24 DATA ENTRY'!$A$1:$BR$278,35,FALSE)</f>
        <v>0</v>
      </c>
      <c r="AK38" s="9" t="str">
        <f>VLOOKUP($A38,'[1]24-8-24 DATA ENTRY'!$A$1:$BR$278,36,FALSE)</f>
        <v>left putamen, external capsule acute infarct . left occipital infarct</v>
      </c>
      <c r="AL38" s="9" t="str">
        <f>VLOOKUP($A38,'[1]24-8-24 DATA ENTRY'!$A$1:$BR$278,37,FALSE)</f>
        <v>normal</v>
      </c>
      <c r="AM38" s="9">
        <f>VLOOKUP($A38,'[1]24-8-24 DATA ENTRY'!$A$1:$BR$278,38,FALSE)</f>
        <v>0</v>
      </c>
      <c r="AN38" s="9">
        <f>VLOOKUP($A38,'[1]24-8-24 DATA ENTRY'!$A$1:$BR$278,39,FALSE)</f>
        <v>9</v>
      </c>
      <c r="AO38" s="9">
        <f>VLOOKUP($A38,'[1]24-8-24 DATA ENTRY'!$A$1:$BR$278,40,FALSE)</f>
        <v>1</v>
      </c>
      <c r="AP38" s="9">
        <f>VLOOKUP($A38,'[1]24-8-24 DATA ENTRY'!$A$1:$BR$278,41,FALSE)</f>
        <v>3</v>
      </c>
      <c r="AQ38" s="9">
        <f>VLOOKUP($A38,'[1]24-8-24 DATA ENTRY'!$A$1:$BR$278,42,FALSE)</f>
        <v>3</v>
      </c>
      <c r="AR38" s="9">
        <f>VLOOKUP($A38,'[1]24-8-24 DATA ENTRY'!$A$1:$BR$278,43,FALSE)</f>
        <v>5</v>
      </c>
      <c r="AS38" s="9">
        <f>VLOOKUP($A38,'[1]24-8-24 DATA ENTRY'!$A$1:$BR$278,44,FALSE)</f>
        <v>0</v>
      </c>
      <c r="AT38" s="9">
        <f>VLOOKUP($A38,'[1]24-8-24 DATA ENTRY'!$A$1:$BR$278,45,FALSE)</f>
        <v>1</v>
      </c>
      <c r="AU38" s="9">
        <f>VLOOKUP($A38,'[1]24-8-24 DATA ENTRY'!$A$1:$BR$278,46,FALSE)</f>
        <v>1</v>
      </c>
      <c r="AV38" s="9">
        <f>VLOOKUP($A38,'[1]24-8-24 DATA ENTRY'!$A$1:$BR$278,47,FALSE)</f>
        <v>2</v>
      </c>
      <c r="AW38" s="9">
        <f>VLOOKUP($A38,'[1]24-8-24 DATA ENTRY'!$A$1:$BR$278,48,FALSE)</f>
        <v>0</v>
      </c>
      <c r="AX38" s="9">
        <f>VLOOKUP($A38,'[1]24-8-24 DATA ENTRY'!$A$1:$BR$278,49,FALSE)</f>
        <v>0</v>
      </c>
      <c r="AY38" s="9">
        <f>VLOOKUP($A38,'[1]24-8-24 DATA ENTRY'!$A$1:$BR$278,50,FALSE)</f>
        <v>0</v>
      </c>
      <c r="AZ38" s="9">
        <f>VLOOKUP($A38,'[1]24-8-24 DATA ENTRY'!$A$1:$BR$278,51,FALSE)</f>
        <v>0</v>
      </c>
      <c r="BA38" s="9">
        <f>VLOOKUP($A38,'[1]24-8-24 DATA ENTRY'!$A$1:$BR$278,52,FALSE)</f>
        <v>0</v>
      </c>
      <c r="BB38" s="5">
        <v>1</v>
      </c>
      <c r="BC38" s="9">
        <f>VLOOKUP($A38,'[1]24-8-24 DATA ENTRY'!$A$1:$BR$278,53,FALSE)</f>
        <v>0</v>
      </c>
      <c r="BD38" s="5">
        <v>1</v>
      </c>
      <c r="BE38" s="5">
        <v>2</v>
      </c>
      <c r="BF38" s="5">
        <v>2</v>
      </c>
      <c r="BG38" s="5">
        <v>2</v>
      </c>
      <c r="BH38" s="5">
        <v>1</v>
      </c>
      <c r="BI38" s="5">
        <v>1</v>
      </c>
      <c r="BJ38" s="5">
        <v>1</v>
      </c>
      <c r="BK38" s="5">
        <v>1</v>
      </c>
      <c r="BL38" s="5">
        <v>2</v>
      </c>
      <c r="BM38" s="5">
        <v>2</v>
      </c>
      <c r="BN38" s="5">
        <v>2</v>
      </c>
      <c r="BO38" s="5">
        <v>1</v>
      </c>
      <c r="BP38" s="5">
        <v>1</v>
      </c>
      <c r="BQ38" s="5">
        <v>1</v>
      </c>
      <c r="BR38" s="5">
        <v>20</v>
      </c>
      <c r="BS38" s="5">
        <v>1</v>
      </c>
      <c r="BT38" s="5">
        <v>1</v>
      </c>
      <c r="BU38" s="5"/>
    </row>
    <row r="39" spans="1:73" x14ac:dyDescent="0.25">
      <c r="A39" s="5" t="s">
        <v>426</v>
      </c>
      <c r="B39" s="5">
        <v>1</v>
      </c>
      <c r="C39" s="5">
        <v>2.0050300000000001</v>
      </c>
      <c r="D39" s="6">
        <v>230502703</v>
      </c>
      <c r="E39" s="5">
        <v>47</v>
      </c>
      <c r="F39" s="5">
        <v>1</v>
      </c>
      <c r="G39" s="7">
        <v>45063</v>
      </c>
      <c r="H39" s="11">
        <v>0.75</v>
      </c>
      <c r="I39" s="7">
        <v>45065</v>
      </c>
      <c r="J39" s="7">
        <v>45067</v>
      </c>
      <c r="K39" s="5">
        <v>9637820789</v>
      </c>
      <c r="L39" s="5"/>
      <c r="M39" s="5">
        <v>9</v>
      </c>
      <c r="N39" s="5">
        <v>2</v>
      </c>
      <c r="O39" s="5">
        <v>2</v>
      </c>
      <c r="P39" s="5">
        <v>1</v>
      </c>
      <c r="Q39" s="5">
        <v>1</v>
      </c>
      <c r="R39" s="5">
        <v>2</v>
      </c>
      <c r="S39" s="5">
        <v>2</v>
      </c>
      <c r="T39" s="5">
        <v>2</v>
      </c>
      <c r="U39" s="5">
        <v>2</v>
      </c>
      <c r="V39" s="5">
        <v>2</v>
      </c>
      <c r="W39" s="5" t="s">
        <v>427</v>
      </c>
      <c r="X39" s="5">
        <v>13.7</v>
      </c>
      <c r="Y39" s="5">
        <v>42.3</v>
      </c>
      <c r="Z39" s="5"/>
      <c r="AA39" s="5">
        <v>38.15</v>
      </c>
      <c r="AB39" s="5">
        <v>5</v>
      </c>
      <c r="AC39" s="5">
        <v>235</v>
      </c>
      <c r="AD39" s="5">
        <v>156.6</v>
      </c>
      <c r="AE39" s="5">
        <v>61</v>
      </c>
      <c r="AF39" s="5">
        <v>17.399999999999999</v>
      </c>
      <c r="AG39" s="5">
        <v>87</v>
      </c>
      <c r="AH39" s="5">
        <v>153</v>
      </c>
      <c r="AI39" s="5" t="s">
        <v>428</v>
      </c>
      <c r="AJ39" s="5"/>
      <c r="AK39" s="5" t="s">
        <v>429</v>
      </c>
      <c r="AL39" s="5" t="s">
        <v>430</v>
      </c>
      <c r="AM39" s="5"/>
      <c r="AN39" s="5">
        <v>8</v>
      </c>
      <c r="AO39" s="5" t="s">
        <v>720</v>
      </c>
      <c r="AP39" s="5">
        <v>3</v>
      </c>
      <c r="AQ39" s="5">
        <v>2</v>
      </c>
      <c r="AR39" s="5">
        <v>5</v>
      </c>
      <c r="AS39" s="5"/>
      <c r="AT39" s="5">
        <v>1</v>
      </c>
      <c r="AU39" s="5">
        <v>2</v>
      </c>
      <c r="AV39" s="5">
        <v>2</v>
      </c>
      <c r="AW39" s="5">
        <v>4</v>
      </c>
      <c r="AX39" s="5">
        <v>8</v>
      </c>
      <c r="AY39" s="5">
        <v>2</v>
      </c>
      <c r="AZ39" s="5">
        <v>2</v>
      </c>
      <c r="BA39" s="5">
        <v>3</v>
      </c>
      <c r="BB39" s="5">
        <v>2</v>
      </c>
      <c r="BC39" s="5">
        <v>60</v>
      </c>
      <c r="BD39" s="5">
        <v>1</v>
      </c>
      <c r="BE39" s="5">
        <v>2</v>
      </c>
      <c r="BF39" s="5">
        <v>2</v>
      </c>
      <c r="BG39" s="5">
        <v>2</v>
      </c>
      <c r="BH39" s="5">
        <v>1</v>
      </c>
      <c r="BI39" s="5">
        <v>1</v>
      </c>
      <c r="BJ39" s="5">
        <v>1</v>
      </c>
      <c r="BK39" s="5">
        <v>1</v>
      </c>
      <c r="BL39" s="5">
        <v>2</v>
      </c>
      <c r="BM39" s="5">
        <v>2</v>
      </c>
      <c r="BN39" s="5">
        <v>2</v>
      </c>
      <c r="BO39" s="5">
        <v>1</v>
      </c>
      <c r="BP39" s="5">
        <v>1</v>
      </c>
      <c r="BQ39" s="5">
        <v>1</v>
      </c>
      <c r="BR39" s="5">
        <v>20</v>
      </c>
      <c r="BS39" s="5">
        <v>1</v>
      </c>
      <c r="BT39" s="5">
        <v>1</v>
      </c>
      <c r="BU39" s="5"/>
    </row>
    <row r="40" spans="1:73" x14ac:dyDescent="0.25">
      <c r="A40" s="12" t="s">
        <v>353</v>
      </c>
      <c r="B40" s="5">
        <v>1</v>
      </c>
      <c r="C40" s="12">
        <v>2.0583399999999998</v>
      </c>
      <c r="D40" s="13">
        <v>130904484</v>
      </c>
      <c r="E40" s="12">
        <v>74</v>
      </c>
      <c r="F40" s="12">
        <v>2</v>
      </c>
      <c r="G40" s="14">
        <v>45151</v>
      </c>
      <c r="H40" s="16">
        <v>0.89583333333333337</v>
      </c>
      <c r="I40" s="14">
        <v>45152</v>
      </c>
      <c r="J40" s="14">
        <v>45163</v>
      </c>
      <c r="K40" s="12">
        <v>8275694855</v>
      </c>
      <c r="L40" s="12"/>
      <c r="M40" s="12">
        <v>20</v>
      </c>
      <c r="N40" s="12">
        <v>1</v>
      </c>
      <c r="O40" s="12">
        <v>1</v>
      </c>
      <c r="P40" s="12">
        <v>2</v>
      </c>
      <c r="Q40" s="12">
        <v>2</v>
      </c>
      <c r="R40" s="12">
        <v>1</v>
      </c>
      <c r="S40" s="12">
        <v>2</v>
      </c>
      <c r="T40" s="12">
        <v>2</v>
      </c>
      <c r="U40" s="12">
        <v>2</v>
      </c>
      <c r="V40" s="12">
        <v>2</v>
      </c>
      <c r="W40" s="12" t="s">
        <v>354</v>
      </c>
      <c r="X40" s="12">
        <v>9.8000000000000007</v>
      </c>
      <c r="Y40" s="12">
        <v>85</v>
      </c>
      <c r="Z40" s="12">
        <v>29.7</v>
      </c>
      <c r="AA40" s="12">
        <v>10.99</v>
      </c>
      <c r="AB40" s="12">
        <v>6.6</v>
      </c>
      <c r="AC40" s="12">
        <v>153</v>
      </c>
      <c r="AD40" s="12">
        <v>93</v>
      </c>
      <c r="AE40" s="12">
        <v>42</v>
      </c>
      <c r="AF40" s="12">
        <v>17.8</v>
      </c>
      <c r="AG40" s="12">
        <v>89</v>
      </c>
      <c r="AH40" s="12">
        <v>2000</v>
      </c>
      <c r="AI40" s="12"/>
      <c r="AJ40" s="12"/>
      <c r="AK40" s="12" t="s">
        <v>355</v>
      </c>
      <c r="AL40" s="12" t="s">
        <v>356</v>
      </c>
      <c r="AM40" s="12"/>
      <c r="AN40" s="12">
        <v>9</v>
      </c>
      <c r="AO40" s="12">
        <v>1</v>
      </c>
      <c r="AP40" s="12">
        <v>5</v>
      </c>
      <c r="AQ40" s="12">
        <v>3</v>
      </c>
      <c r="AR40" s="12">
        <v>5</v>
      </c>
      <c r="AS40" s="12"/>
      <c r="AT40" s="12"/>
      <c r="AU40" s="12"/>
      <c r="AV40" s="12"/>
      <c r="AW40" s="12"/>
      <c r="AX40" s="12"/>
      <c r="AY40" s="12"/>
      <c r="AZ40" s="12"/>
      <c r="BA40" s="12">
        <v>2</v>
      </c>
      <c r="BB40" s="5">
        <v>1</v>
      </c>
      <c r="BC40" s="12">
        <v>65</v>
      </c>
      <c r="BD40" s="12">
        <v>1</v>
      </c>
      <c r="BE40" s="12">
        <v>2</v>
      </c>
      <c r="BF40" s="12">
        <v>2</v>
      </c>
      <c r="BG40" s="12">
        <v>2</v>
      </c>
      <c r="BH40" s="12">
        <v>1</v>
      </c>
      <c r="BI40" s="12">
        <v>1</v>
      </c>
      <c r="BJ40" s="12">
        <v>1</v>
      </c>
      <c r="BK40" s="12">
        <v>1</v>
      </c>
      <c r="BL40" s="12">
        <v>2</v>
      </c>
      <c r="BM40" s="12">
        <v>2</v>
      </c>
      <c r="BN40" s="12">
        <v>2</v>
      </c>
      <c r="BO40" s="12">
        <v>0</v>
      </c>
      <c r="BP40" s="12">
        <v>1</v>
      </c>
      <c r="BQ40" s="12">
        <v>1</v>
      </c>
      <c r="BR40" s="12">
        <v>19</v>
      </c>
      <c r="BS40" s="12">
        <v>1</v>
      </c>
      <c r="BT40" s="12">
        <v>1</v>
      </c>
      <c r="BU40" s="12"/>
    </row>
    <row r="41" spans="1:73" x14ac:dyDescent="0.25">
      <c r="A41" s="5" t="s">
        <v>254</v>
      </c>
      <c r="B41" s="5">
        <v>1</v>
      </c>
      <c r="C41" s="5">
        <v>2.0625599999999999</v>
      </c>
      <c r="D41" s="6">
        <v>221004402</v>
      </c>
      <c r="E41" s="5">
        <v>55</v>
      </c>
      <c r="F41" s="5">
        <v>2</v>
      </c>
      <c r="G41" s="7"/>
      <c r="H41" s="5"/>
      <c r="I41" s="7">
        <v>44861</v>
      </c>
      <c r="J41" s="7">
        <v>44862</v>
      </c>
      <c r="K41" s="5">
        <v>9730042462</v>
      </c>
      <c r="L41" s="5"/>
      <c r="M41" s="5">
        <v>3</v>
      </c>
      <c r="N41" s="5">
        <v>1</v>
      </c>
      <c r="O41" s="5">
        <v>1</v>
      </c>
      <c r="P41" s="5">
        <v>2</v>
      </c>
      <c r="Q41" s="5">
        <v>2</v>
      </c>
      <c r="R41" s="5">
        <v>2</v>
      </c>
      <c r="S41" s="5">
        <v>2</v>
      </c>
      <c r="T41" s="5">
        <v>2</v>
      </c>
      <c r="U41" s="5">
        <v>2</v>
      </c>
      <c r="V41" s="5">
        <v>2</v>
      </c>
      <c r="W41" s="5" t="s">
        <v>255</v>
      </c>
      <c r="X41" s="5">
        <v>10</v>
      </c>
      <c r="Y41" s="5">
        <v>32.1</v>
      </c>
      <c r="Z41" s="5"/>
      <c r="AA41" s="5">
        <v>19.98</v>
      </c>
      <c r="AB41" s="5">
        <v>10.9</v>
      </c>
      <c r="AC41" s="5"/>
      <c r="AD41" s="5"/>
      <c r="AE41" s="5"/>
      <c r="AF41" s="5"/>
      <c r="AG41" s="5"/>
      <c r="AH41" s="5">
        <v>271</v>
      </c>
      <c r="AI41" s="5" t="s">
        <v>256</v>
      </c>
      <c r="AJ41" s="5"/>
      <c r="AK41" s="5" t="s">
        <v>257</v>
      </c>
      <c r="AL41" s="5"/>
      <c r="AM41" s="5"/>
      <c r="AN41" s="5">
        <v>9</v>
      </c>
      <c r="AO41" s="5">
        <v>1</v>
      </c>
      <c r="AP41" s="5">
        <v>3</v>
      </c>
      <c r="AQ41" s="5">
        <v>3</v>
      </c>
      <c r="AR41" s="5">
        <v>5</v>
      </c>
      <c r="AS41" s="5"/>
      <c r="AT41" s="5">
        <v>1</v>
      </c>
      <c r="AU41" s="5">
        <v>1</v>
      </c>
      <c r="AV41" s="5">
        <v>2</v>
      </c>
      <c r="AW41" s="5">
        <v>4</v>
      </c>
      <c r="AX41" s="5">
        <v>8</v>
      </c>
      <c r="AY41" s="5">
        <v>2</v>
      </c>
      <c r="AZ41" s="5">
        <v>2</v>
      </c>
      <c r="BA41" s="5">
        <v>3</v>
      </c>
      <c r="BB41" s="5">
        <v>2</v>
      </c>
      <c r="BC41" s="5">
        <v>65</v>
      </c>
      <c r="BD41" s="5">
        <v>1</v>
      </c>
      <c r="BE41" s="5">
        <v>2</v>
      </c>
      <c r="BF41" s="5">
        <v>2</v>
      </c>
      <c r="BG41" s="5">
        <v>2</v>
      </c>
      <c r="BH41" s="5">
        <v>1</v>
      </c>
      <c r="BI41" s="5">
        <v>1</v>
      </c>
      <c r="BJ41" s="5">
        <v>1</v>
      </c>
      <c r="BK41" s="5">
        <v>0</v>
      </c>
      <c r="BL41" s="5">
        <v>1</v>
      </c>
      <c r="BM41" s="5">
        <v>2</v>
      </c>
      <c r="BN41" s="5">
        <v>2</v>
      </c>
      <c r="BO41" s="5">
        <v>1</v>
      </c>
      <c r="BP41" s="5">
        <v>1</v>
      </c>
      <c r="BQ41" s="5">
        <v>1</v>
      </c>
      <c r="BR41" s="5">
        <v>18</v>
      </c>
      <c r="BS41" s="5">
        <v>1</v>
      </c>
      <c r="BT41" s="5">
        <v>1</v>
      </c>
      <c r="BU41" s="5"/>
    </row>
    <row r="42" spans="1:73" x14ac:dyDescent="0.25">
      <c r="A42" s="12" t="s">
        <v>148</v>
      </c>
      <c r="B42" s="5">
        <v>1</v>
      </c>
      <c r="C42" s="12">
        <v>2.2731300000000001</v>
      </c>
      <c r="D42" s="13">
        <v>201200469</v>
      </c>
      <c r="E42" s="12">
        <v>73</v>
      </c>
      <c r="F42" s="12">
        <v>1</v>
      </c>
      <c r="G42" s="14">
        <v>45063</v>
      </c>
      <c r="H42" s="12"/>
      <c r="I42" s="14">
        <v>45065</v>
      </c>
      <c r="J42" s="14">
        <v>45075</v>
      </c>
      <c r="K42" s="12">
        <v>9822495454</v>
      </c>
      <c r="L42" s="12"/>
      <c r="M42" s="12">
        <v>6</v>
      </c>
      <c r="N42" s="12">
        <v>1</v>
      </c>
      <c r="O42" s="12">
        <v>1</v>
      </c>
      <c r="P42" s="12">
        <v>2</v>
      </c>
      <c r="Q42" s="12">
        <v>2</v>
      </c>
      <c r="R42" s="12">
        <v>2</v>
      </c>
      <c r="S42" s="12">
        <v>2</v>
      </c>
      <c r="T42" s="12">
        <v>2</v>
      </c>
      <c r="U42" s="12">
        <v>2</v>
      </c>
      <c r="V42" s="12">
        <v>2</v>
      </c>
      <c r="W42" s="12"/>
      <c r="X42" s="12">
        <v>13.5</v>
      </c>
      <c r="Y42" s="12">
        <v>40</v>
      </c>
      <c r="Z42" s="12"/>
      <c r="AA42" s="12">
        <v>16.170000000000002</v>
      </c>
      <c r="AB42" s="12">
        <v>7</v>
      </c>
      <c r="AC42" s="12"/>
      <c r="AD42" s="12"/>
      <c r="AE42" s="12"/>
      <c r="AF42" s="12"/>
      <c r="AG42" s="12"/>
      <c r="AH42" s="12">
        <v>215</v>
      </c>
      <c r="AI42" s="12" t="s">
        <v>149</v>
      </c>
      <c r="AJ42" s="12"/>
      <c r="AK42" s="12" t="s">
        <v>150</v>
      </c>
      <c r="AL42" s="12" t="s">
        <v>151</v>
      </c>
      <c r="AM42" s="12"/>
      <c r="AN42" s="12">
        <v>10</v>
      </c>
      <c r="AO42" s="12">
        <v>3</v>
      </c>
      <c r="AP42" s="12">
        <v>3</v>
      </c>
      <c r="AQ42" s="12">
        <v>3</v>
      </c>
      <c r="AR42" s="12">
        <v>5</v>
      </c>
      <c r="AS42" s="12"/>
      <c r="AT42" s="12"/>
      <c r="AU42" s="12"/>
      <c r="AV42" s="12"/>
      <c r="AW42" s="12"/>
      <c r="AX42" s="12"/>
      <c r="AY42" s="12"/>
      <c r="AZ42" s="12"/>
      <c r="BA42" s="12">
        <v>2</v>
      </c>
      <c r="BB42" s="5">
        <v>1</v>
      </c>
      <c r="BC42" s="12">
        <v>65</v>
      </c>
      <c r="BD42" s="12">
        <v>0</v>
      </c>
      <c r="BE42" s="12">
        <v>1</v>
      </c>
      <c r="BF42" s="12">
        <v>2</v>
      </c>
      <c r="BG42" s="12">
        <v>2</v>
      </c>
      <c r="BH42" s="12">
        <v>1</v>
      </c>
      <c r="BI42" s="12">
        <v>1</v>
      </c>
      <c r="BJ42" s="12">
        <v>1</v>
      </c>
      <c r="BK42" s="12">
        <v>0</v>
      </c>
      <c r="BL42" s="12">
        <v>1</v>
      </c>
      <c r="BM42" s="12">
        <v>2</v>
      </c>
      <c r="BN42" s="12">
        <v>2</v>
      </c>
      <c r="BO42" s="12">
        <v>1</v>
      </c>
      <c r="BP42" s="12">
        <v>1</v>
      </c>
      <c r="BQ42" s="12">
        <v>1</v>
      </c>
      <c r="BR42" s="12">
        <v>16</v>
      </c>
      <c r="BS42" s="12">
        <v>1</v>
      </c>
      <c r="BT42" s="12">
        <v>1</v>
      </c>
      <c r="BU42" s="12"/>
    </row>
    <row r="43" spans="1:73" x14ac:dyDescent="0.25">
      <c r="A43" s="8" t="s">
        <v>228</v>
      </c>
      <c r="B43" s="5">
        <v>0</v>
      </c>
      <c r="C43" s="8">
        <v>2.2907999999999999</v>
      </c>
      <c r="D43" s="9">
        <f>VLOOKUP($A43,'[1]24-8-24 DATA ENTRY'!$A$1:$BR$258,3,FALSE)</f>
        <v>240000035534</v>
      </c>
      <c r="E43" s="9">
        <f>VLOOKUP($A43,'[1]24-8-24 DATA ENTRY'!$A$1:$BR$258,4,FALSE)</f>
        <v>52</v>
      </c>
      <c r="F43" s="9">
        <f>VLOOKUP($A43,'[1]24-8-24 DATA ENTRY'!$A$1:$BR$258,5,FALSE)</f>
        <v>1</v>
      </c>
      <c r="G43" s="10">
        <f>VLOOKUP($A43,'[1]24-8-24 DATA ENTRY'!$A$1:$BR$258,6,FALSE)</f>
        <v>45398</v>
      </c>
      <c r="H43" s="9">
        <f>VLOOKUP($A43,'[1]24-8-24 DATA ENTRY'!$A$1:$BR$258,7,FALSE)</f>
        <v>0.91666666666666663</v>
      </c>
      <c r="I43" s="10">
        <f>VLOOKUP($A43,'[1]24-8-24 DATA ENTRY'!$A$1:$BR$258,8,FALSE)</f>
        <v>45399</v>
      </c>
      <c r="J43" s="10">
        <f>VLOOKUP($A43,'[1]24-8-24 DATA ENTRY'!$A$1:$BR$258,9,FALSE)</f>
        <v>0</v>
      </c>
      <c r="K43" s="9">
        <f>VLOOKUP($A43,'[1]24-8-24 DATA ENTRY'!$A$1:$BR$258,10,FALSE)</f>
        <v>0</v>
      </c>
      <c r="L43" s="9">
        <f>VLOOKUP($A43,'[1]24-8-24 DATA ENTRY'!$A$1:$BR$258,11,FALSE)</f>
        <v>0</v>
      </c>
      <c r="M43" s="9">
        <f>VLOOKUP($A43,'[1]24-8-24 DATA ENTRY'!$A$1:$BR$258,12,FALSE)</f>
        <v>8</v>
      </c>
      <c r="N43" s="9">
        <f>VLOOKUP($A43,'[1]24-8-24 DATA ENTRY'!$A$1:$BR$258,13,FALSE)</f>
        <v>1</v>
      </c>
      <c r="O43" s="9">
        <f>VLOOKUP($A43,'[1]24-8-24 DATA ENTRY'!$A$1:$BR$258,14,FALSE)</f>
        <v>1</v>
      </c>
      <c r="P43" s="9">
        <f>VLOOKUP($A43,'[1]24-8-24 DATA ENTRY'!$A$1:$BR$258,15,FALSE)</f>
        <v>1</v>
      </c>
      <c r="Q43" s="9">
        <f>VLOOKUP($A43,'[1]24-8-24 DATA ENTRY'!$A$1:$BR$258,16,FALSE)</f>
        <v>2</v>
      </c>
      <c r="R43" s="9">
        <f>VLOOKUP($A43,'[1]24-8-24 DATA ENTRY'!$A$1:$BR$258,17,FALSE)</f>
        <v>2</v>
      </c>
      <c r="S43" s="9">
        <f>VLOOKUP($A43,'[1]24-8-24 DATA ENTRY'!$A$1:$BR$258,18,FALSE)</f>
        <v>2</v>
      </c>
      <c r="T43" s="9">
        <f>VLOOKUP($A43,'[1]24-8-24 DATA ENTRY'!$A$1:$BR$258,19,FALSE)</f>
        <v>2</v>
      </c>
      <c r="U43" s="9">
        <f>VLOOKUP($A43,'[1]24-8-24 DATA ENTRY'!$A$1:$BR$258,20,FALSE)</f>
        <v>2</v>
      </c>
      <c r="V43" s="9">
        <f>VLOOKUP($A43,'[1]24-8-24 DATA ENTRY'!$A$1:$BR$258,21,FALSE)</f>
        <v>2</v>
      </c>
      <c r="W43" s="9" t="str">
        <f>VLOOKUP($A43,'[1]24-8-24 DATA ENTRY'!$A$1:$BR$258,22,FALSE)</f>
        <v>rheumatoid arthritis, obese</v>
      </c>
      <c r="X43" s="9">
        <f>VLOOKUP($A43,'[1]24-8-24 DATA ENTRY'!$A$1:$BR$258,23,FALSE)</f>
        <v>10.4</v>
      </c>
      <c r="Y43" s="9">
        <f>VLOOKUP($A43,'[1]24-8-24 DATA ENTRY'!$A$1:$BR$258,24,FALSE)</f>
        <v>32.700000000000003</v>
      </c>
      <c r="Z43" s="9">
        <f>VLOOKUP($A43,'[1]24-8-24 DATA ENTRY'!$A$1:$BR$258,25,FALSE)</f>
        <v>75.900000000000006</v>
      </c>
      <c r="AA43" s="9">
        <f>VLOOKUP($A43,'[1]24-8-24 DATA ENTRY'!$A$1:$BR$258,26,FALSE)</f>
        <v>9.31</v>
      </c>
      <c r="AB43" s="9">
        <f>VLOOKUP($A43,'[1]24-8-24 DATA ENTRY'!$A$1:$BR$258,27,FALSE)</f>
        <v>0</v>
      </c>
      <c r="AC43" s="9">
        <f>VLOOKUP($A43,'[1]24-8-24 DATA ENTRY'!$A$1:$BR$258,28,FALSE)</f>
        <v>277</v>
      </c>
      <c r="AD43" s="9">
        <f>VLOOKUP($A43,'[1]24-8-24 DATA ENTRY'!$A$1:$BR$258,29,FALSE)</f>
        <v>0</v>
      </c>
      <c r="AE43" s="9">
        <f>VLOOKUP($A43,'[1]24-8-24 DATA ENTRY'!$A$1:$BR$258,30,FALSE)</f>
        <v>38</v>
      </c>
      <c r="AF43" s="9">
        <f>VLOOKUP($A43,'[1]24-8-24 DATA ENTRY'!$A$1:$BR$258,31,FALSE)</f>
        <v>0</v>
      </c>
      <c r="AG43" s="9">
        <f>VLOOKUP($A43,'[1]24-8-24 DATA ENTRY'!$A$1:$BR$258,32,FALSE)</f>
        <v>627</v>
      </c>
      <c r="AH43" s="9">
        <f>VLOOKUP($A43,'[1]24-8-24 DATA ENTRY'!$A$1:$BR$258,33,FALSE)</f>
        <v>497</v>
      </c>
      <c r="AI43" s="9">
        <f>VLOOKUP($A43,'[1]24-8-24 DATA ENTRY'!$A$1:$BR$258,34,FALSE)</f>
        <v>0</v>
      </c>
      <c r="AJ43" s="9">
        <f>VLOOKUP($A43,'[1]24-8-24 DATA ENTRY'!$A$1:$BR$258,35,FALSE)</f>
        <v>0</v>
      </c>
      <c r="AK43" s="9" t="str">
        <f>VLOOKUP($A43,'[1]24-8-24 DATA ENTRY'!$A$1:$BR$258,36,FALSE)</f>
        <v>left corona radiata and posterior limb of internal capsule infarct</v>
      </c>
      <c r="AL43" s="9" t="str">
        <f>VLOOKUP($A43,'[1]24-8-24 DATA ENTRY'!$A$1:$BR$258,37,FALSE)</f>
        <v xml:space="preserve">Rt ICA plaque &lt;50% stenosis </v>
      </c>
      <c r="AM43" s="9">
        <f>VLOOKUP($A43,'[1]24-8-24 DATA ENTRY'!$A$1:$BR$258,38,FALSE)</f>
        <v>0</v>
      </c>
      <c r="AN43" s="9">
        <f>VLOOKUP($A43,'[1]24-8-24 DATA ENTRY'!$A$1:$BR$258,39,FALSE)</f>
        <v>9</v>
      </c>
      <c r="AO43" s="9">
        <f>VLOOKUP($A43,'[1]24-8-24 DATA ENTRY'!$A$1:$BR$258,40,FALSE)</f>
        <v>1</v>
      </c>
      <c r="AP43" s="9">
        <f>VLOOKUP($A43,'[1]24-8-24 DATA ENTRY'!$A$1:$BR$258,41,FALSE)</f>
        <v>3</v>
      </c>
      <c r="AQ43" s="9">
        <f>VLOOKUP($A43,'[1]24-8-24 DATA ENTRY'!$A$1:$BR$258,42,FALSE)</f>
        <v>3</v>
      </c>
      <c r="AR43" s="9">
        <f>VLOOKUP($A43,'[1]24-8-24 DATA ENTRY'!$A$1:$BR$258,43,FALSE)</f>
        <v>5</v>
      </c>
      <c r="AS43" s="9">
        <f>VLOOKUP($A43,'[1]24-8-24 DATA ENTRY'!$A$1:$BR$258,44,FALSE)</f>
        <v>0</v>
      </c>
      <c r="AT43" s="9">
        <f>VLOOKUP($A43,'[1]24-8-24 DATA ENTRY'!$A$1:$BR$258,45,FALSE)</f>
        <v>1</v>
      </c>
      <c r="AU43" s="9">
        <f>VLOOKUP($A43,'[1]24-8-24 DATA ENTRY'!$A$1:$BR$258,46,FALSE)</f>
        <v>1</v>
      </c>
      <c r="AV43" s="9">
        <f>VLOOKUP($A43,'[1]24-8-24 DATA ENTRY'!$A$1:$BR$258,47,FALSE)</f>
        <v>2</v>
      </c>
      <c r="AW43" s="9">
        <f>VLOOKUP($A43,'[1]24-8-24 DATA ENTRY'!$A$1:$BR$258,48,FALSE)</f>
        <v>0</v>
      </c>
      <c r="AX43" s="9">
        <f>VLOOKUP($A43,'[1]24-8-24 DATA ENTRY'!$A$1:$BR$258,49,FALSE)</f>
        <v>0</v>
      </c>
      <c r="AY43" s="9">
        <f>VLOOKUP($A43,'[1]24-8-24 DATA ENTRY'!$A$1:$BR$258,50,FALSE)</f>
        <v>0</v>
      </c>
      <c r="AZ43" s="9">
        <f>VLOOKUP($A43,'[1]24-8-24 DATA ENTRY'!$A$1:$BR$258,51,FALSE)</f>
        <v>0</v>
      </c>
      <c r="BA43" s="9">
        <f>VLOOKUP($A43,'[1]24-8-24 DATA ENTRY'!$A$1:$BR$258,52,FALSE)</f>
        <v>1</v>
      </c>
      <c r="BB43" s="5">
        <v>1</v>
      </c>
      <c r="BC43" s="9">
        <f>VLOOKUP($A43,'[1]24-8-24 DATA ENTRY'!$A$1:$BR$258,53,FALSE)</f>
        <v>90</v>
      </c>
      <c r="BD43" s="8">
        <v>0</v>
      </c>
      <c r="BE43" s="8">
        <v>2</v>
      </c>
      <c r="BF43" s="8">
        <v>2</v>
      </c>
      <c r="BG43" s="8">
        <v>2</v>
      </c>
      <c r="BH43" s="8">
        <v>1</v>
      </c>
      <c r="BI43" s="8">
        <v>1</v>
      </c>
      <c r="BJ43" s="8">
        <v>1</v>
      </c>
      <c r="BK43" s="8">
        <v>0</v>
      </c>
      <c r="BL43" s="8">
        <v>2</v>
      </c>
      <c r="BM43" s="8">
        <v>2</v>
      </c>
      <c r="BN43" s="8">
        <v>2</v>
      </c>
      <c r="BO43" s="8">
        <v>1</v>
      </c>
      <c r="BP43" s="8">
        <v>1</v>
      </c>
      <c r="BQ43" s="8">
        <v>1</v>
      </c>
      <c r="BR43" s="8">
        <v>18</v>
      </c>
      <c r="BS43" s="8">
        <v>1</v>
      </c>
      <c r="BT43" s="8">
        <v>1</v>
      </c>
      <c r="BU43" s="8"/>
    </row>
    <row r="44" spans="1:73" x14ac:dyDescent="0.25">
      <c r="A44" s="12" t="s">
        <v>452</v>
      </c>
      <c r="B44" s="5">
        <v>1</v>
      </c>
      <c r="C44" s="12">
        <v>2.3247100000000001</v>
      </c>
      <c r="D44" s="13">
        <v>141002331</v>
      </c>
      <c r="E44" s="12">
        <v>43</v>
      </c>
      <c r="F44" s="12">
        <v>2</v>
      </c>
      <c r="G44" s="14">
        <v>45003</v>
      </c>
      <c r="H44" s="16">
        <v>0.29166666666666669</v>
      </c>
      <c r="I44" s="14">
        <v>45003</v>
      </c>
      <c r="J44" s="14">
        <v>45006</v>
      </c>
      <c r="K44" s="12">
        <v>8999976013</v>
      </c>
      <c r="L44" s="12"/>
      <c r="M44" s="12">
        <v>3</v>
      </c>
      <c r="N44" s="12">
        <v>2</v>
      </c>
      <c r="O44" s="12">
        <v>2</v>
      </c>
      <c r="P44" s="12">
        <v>2</v>
      </c>
      <c r="Q44" s="12">
        <v>2</v>
      </c>
      <c r="R44" s="12">
        <v>2</v>
      </c>
      <c r="S44" s="12">
        <v>2</v>
      </c>
      <c r="T44" s="12">
        <v>2</v>
      </c>
      <c r="U44" s="12">
        <v>2</v>
      </c>
      <c r="V44" s="12">
        <v>2</v>
      </c>
      <c r="W44" s="12" t="s">
        <v>453</v>
      </c>
      <c r="X44" s="12">
        <v>7.7</v>
      </c>
      <c r="Y44" s="12">
        <v>26.2</v>
      </c>
      <c r="Z44" s="12"/>
      <c r="AA44" s="12">
        <v>8.82</v>
      </c>
      <c r="AB44" s="12">
        <v>5.0999999999999996</v>
      </c>
      <c r="AC44" s="12"/>
      <c r="AD44" s="12"/>
      <c r="AE44" s="12"/>
      <c r="AF44" s="12"/>
      <c r="AG44" s="12"/>
      <c r="AH44" s="12">
        <v>183</v>
      </c>
      <c r="AI44" s="12" t="s">
        <v>454</v>
      </c>
      <c r="AJ44" s="12"/>
      <c r="AK44" s="12" t="s">
        <v>455</v>
      </c>
      <c r="AL44" s="12" t="s">
        <v>456</v>
      </c>
      <c r="AM44" s="12"/>
      <c r="AN44" s="12">
        <v>7</v>
      </c>
      <c r="AO44" s="12" t="s">
        <v>720</v>
      </c>
      <c r="AP44" s="12">
        <v>3</v>
      </c>
      <c r="AQ44" s="12">
        <v>2</v>
      </c>
      <c r="AR44" s="12">
        <v>5</v>
      </c>
      <c r="AS44" s="12"/>
      <c r="AT44" s="12">
        <v>1</v>
      </c>
      <c r="AU44" s="12">
        <v>1</v>
      </c>
      <c r="AV44" s="12">
        <v>2</v>
      </c>
      <c r="AW44" s="12"/>
      <c r="AX44" s="12"/>
      <c r="AY44" s="12"/>
      <c r="AZ44" s="12"/>
      <c r="BA44" s="12">
        <v>4</v>
      </c>
      <c r="BB44" s="5">
        <v>2</v>
      </c>
      <c r="BC44" s="12">
        <v>65</v>
      </c>
      <c r="BD44" s="12">
        <v>1</v>
      </c>
      <c r="BE44" s="12">
        <v>2</v>
      </c>
      <c r="BF44" s="12">
        <v>2</v>
      </c>
      <c r="BG44" s="12">
        <v>2</v>
      </c>
      <c r="BH44" s="12">
        <v>1</v>
      </c>
      <c r="BI44" s="12">
        <v>1</v>
      </c>
      <c r="BJ44" s="12">
        <v>1</v>
      </c>
      <c r="BK44" s="12">
        <v>1</v>
      </c>
      <c r="BL44" s="12">
        <v>2</v>
      </c>
      <c r="BM44" s="12">
        <v>2</v>
      </c>
      <c r="BN44" s="12">
        <v>2</v>
      </c>
      <c r="BO44" s="12">
        <v>1</v>
      </c>
      <c r="BP44" s="12">
        <v>1</v>
      </c>
      <c r="BQ44" s="12">
        <v>1</v>
      </c>
      <c r="BR44" s="12">
        <v>20</v>
      </c>
      <c r="BS44" s="12">
        <v>1</v>
      </c>
      <c r="BT44" s="12">
        <v>1</v>
      </c>
      <c r="BU44" s="12"/>
    </row>
    <row r="45" spans="1:73" x14ac:dyDescent="0.25">
      <c r="A45" s="12" t="s">
        <v>457</v>
      </c>
      <c r="B45" s="5">
        <v>1</v>
      </c>
      <c r="C45" s="12">
        <v>2.3634499999999998</v>
      </c>
      <c r="D45" s="13">
        <v>170800526</v>
      </c>
      <c r="E45" s="12">
        <v>59</v>
      </c>
      <c r="F45" s="12">
        <v>1</v>
      </c>
      <c r="G45" s="14"/>
      <c r="H45" s="12"/>
      <c r="I45" s="14">
        <v>44904</v>
      </c>
      <c r="J45" s="14">
        <v>44905</v>
      </c>
      <c r="K45" s="12"/>
      <c r="L45" s="12"/>
      <c r="M45" s="12">
        <v>3</v>
      </c>
      <c r="N45" s="12">
        <v>2</v>
      </c>
      <c r="O45" s="12">
        <v>1</v>
      </c>
      <c r="P45" s="12">
        <v>1</v>
      </c>
      <c r="Q45" s="12">
        <v>1</v>
      </c>
      <c r="R45" s="12">
        <v>1</v>
      </c>
      <c r="S45" s="12">
        <v>2</v>
      </c>
      <c r="T45" s="12">
        <v>2</v>
      </c>
      <c r="U45" s="12">
        <v>2</v>
      </c>
      <c r="V45" s="12">
        <v>2</v>
      </c>
      <c r="W45" s="12"/>
      <c r="X45" s="12">
        <v>14.4</v>
      </c>
      <c r="Y45" s="12"/>
      <c r="Z45" s="12"/>
      <c r="AA45" s="12">
        <v>11.3</v>
      </c>
      <c r="AB45" s="12">
        <v>10.9</v>
      </c>
      <c r="AC45" s="12">
        <v>153</v>
      </c>
      <c r="AD45" s="12">
        <v>88.8</v>
      </c>
      <c r="AE45" s="12">
        <v>47</v>
      </c>
      <c r="AF45" s="12"/>
      <c r="AG45" s="12">
        <v>86</v>
      </c>
      <c r="AH45" s="12"/>
      <c r="AI45" s="12"/>
      <c r="AJ45" s="12"/>
      <c r="AK45" s="12" t="s">
        <v>458</v>
      </c>
      <c r="AL45" s="12" t="s">
        <v>435</v>
      </c>
      <c r="AM45" s="12"/>
      <c r="AN45" s="12">
        <v>9</v>
      </c>
      <c r="AO45" s="12">
        <v>1</v>
      </c>
      <c r="AP45" s="12">
        <v>3</v>
      </c>
      <c r="AQ45" s="12">
        <v>3</v>
      </c>
      <c r="AR45" s="12">
        <v>5</v>
      </c>
      <c r="AS45" s="12"/>
      <c r="AT45" s="12">
        <v>1</v>
      </c>
      <c r="AU45" s="12">
        <v>1</v>
      </c>
      <c r="AV45" s="12">
        <v>2</v>
      </c>
      <c r="AW45" s="12"/>
      <c r="AX45" s="12"/>
      <c r="AY45" s="12"/>
      <c r="AZ45" s="12"/>
      <c r="BA45" s="12">
        <v>4</v>
      </c>
      <c r="BB45" s="5">
        <v>2</v>
      </c>
      <c r="BC45" s="12">
        <v>65</v>
      </c>
      <c r="BD45" s="12">
        <v>1</v>
      </c>
      <c r="BE45" s="12">
        <v>2</v>
      </c>
      <c r="BF45" s="12">
        <v>2</v>
      </c>
      <c r="BG45" s="12">
        <v>2</v>
      </c>
      <c r="BH45" s="12">
        <v>1</v>
      </c>
      <c r="BI45" s="12">
        <v>1</v>
      </c>
      <c r="BJ45" s="12">
        <v>1</v>
      </c>
      <c r="BK45" s="12">
        <v>1</v>
      </c>
      <c r="BL45" s="12">
        <v>2</v>
      </c>
      <c r="BM45" s="12">
        <v>2</v>
      </c>
      <c r="BN45" s="12">
        <v>2</v>
      </c>
      <c r="BO45" s="12">
        <v>1</v>
      </c>
      <c r="BP45" s="12">
        <v>1</v>
      </c>
      <c r="BQ45" s="12">
        <v>1</v>
      </c>
      <c r="BR45" s="12">
        <v>20</v>
      </c>
      <c r="BS45" s="12">
        <v>1</v>
      </c>
      <c r="BT45" s="12">
        <v>1</v>
      </c>
      <c r="BU45" s="12"/>
    </row>
    <row r="46" spans="1:73" x14ac:dyDescent="0.25">
      <c r="A46" s="12" t="s">
        <v>431</v>
      </c>
      <c r="B46" s="5">
        <v>1</v>
      </c>
      <c r="C46" s="12">
        <v>2.4990600000000001</v>
      </c>
      <c r="D46" s="13">
        <v>231002099</v>
      </c>
      <c r="E46" s="12">
        <v>57</v>
      </c>
      <c r="F46" s="12">
        <v>1</v>
      </c>
      <c r="G46" s="14">
        <v>45216</v>
      </c>
      <c r="H46" s="16">
        <v>0.27083333333333331</v>
      </c>
      <c r="I46" s="14">
        <v>45216</v>
      </c>
      <c r="J46" s="14"/>
      <c r="K46" s="12">
        <v>9767246428</v>
      </c>
      <c r="L46" s="12"/>
      <c r="M46" s="12">
        <v>6</v>
      </c>
      <c r="N46" s="12">
        <v>2</v>
      </c>
      <c r="O46" s="12">
        <v>2</v>
      </c>
      <c r="P46" s="12">
        <v>1</v>
      </c>
      <c r="Q46" s="12">
        <v>1</v>
      </c>
      <c r="R46" s="12">
        <v>1</v>
      </c>
      <c r="S46" s="12">
        <v>2</v>
      </c>
      <c r="T46" s="12">
        <v>2</v>
      </c>
      <c r="U46" s="12">
        <v>2</v>
      </c>
      <c r="V46" s="12">
        <v>2</v>
      </c>
      <c r="W46" s="12"/>
      <c r="X46" s="12">
        <v>10.7</v>
      </c>
      <c r="Y46" s="12">
        <v>35.299999999999997</v>
      </c>
      <c r="Z46" s="12">
        <v>75.2</v>
      </c>
      <c r="AA46" s="12">
        <v>36.47</v>
      </c>
      <c r="AB46" s="12">
        <v>6.4</v>
      </c>
      <c r="AC46" s="12">
        <v>146</v>
      </c>
      <c r="AD46" s="12">
        <v>88</v>
      </c>
      <c r="AE46" s="12">
        <v>38</v>
      </c>
      <c r="AF46" s="12">
        <v>20</v>
      </c>
      <c r="AG46" s="12">
        <v>100</v>
      </c>
      <c r="AH46" s="12">
        <v>220</v>
      </c>
      <c r="AI46" s="12"/>
      <c r="AJ46" s="12"/>
      <c r="AK46" s="12" t="s">
        <v>432</v>
      </c>
      <c r="AL46" s="12" t="s">
        <v>326</v>
      </c>
      <c r="AM46" s="12"/>
      <c r="AN46" s="12">
        <v>9</v>
      </c>
      <c r="AO46" s="12">
        <v>1</v>
      </c>
      <c r="AP46" s="12">
        <v>3</v>
      </c>
      <c r="AQ46" s="12">
        <v>3</v>
      </c>
      <c r="AR46" s="12">
        <v>5</v>
      </c>
      <c r="AS46" s="12"/>
      <c r="AT46" s="12">
        <v>1</v>
      </c>
      <c r="AU46" s="12">
        <v>1</v>
      </c>
      <c r="AV46" s="12">
        <v>2</v>
      </c>
      <c r="AW46" s="12">
        <v>4</v>
      </c>
      <c r="AX46" s="12">
        <v>1</v>
      </c>
      <c r="AY46" s="12">
        <v>2</v>
      </c>
      <c r="AZ46" s="12">
        <v>1</v>
      </c>
      <c r="BA46" s="12">
        <v>3</v>
      </c>
      <c r="BB46" s="12">
        <v>2</v>
      </c>
      <c r="BC46" s="12">
        <v>70</v>
      </c>
      <c r="BD46" s="12">
        <v>1</v>
      </c>
      <c r="BE46" s="12">
        <v>2</v>
      </c>
      <c r="BF46" s="12">
        <v>2</v>
      </c>
      <c r="BG46" s="12">
        <v>2</v>
      </c>
      <c r="BH46" s="12">
        <v>1</v>
      </c>
      <c r="BI46" s="12">
        <v>1</v>
      </c>
      <c r="BJ46" s="12">
        <v>1</v>
      </c>
      <c r="BK46" s="12">
        <v>1</v>
      </c>
      <c r="BL46" s="12">
        <v>2</v>
      </c>
      <c r="BM46" s="12">
        <v>2</v>
      </c>
      <c r="BN46" s="12">
        <v>2</v>
      </c>
      <c r="BO46" s="12">
        <v>1</v>
      </c>
      <c r="BP46" s="12">
        <v>1</v>
      </c>
      <c r="BQ46" s="12">
        <v>1</v>
      </c>
      <c r="BR46" s="12">
        <v>20</v>
      </c>
      <c r="BS46" s="12">
        <v>1</v>
      </c>
      <c r="BT46" s="12">
        <v>1</v>
      </c>
      <c r="BU46" s="12"/>
    </row>
    <row r="47" spans="1:73" x14ac:dyDescent="0.25">
      <c r="A47" s="12" t="s">
        <v>242</v>
      </c>
      <c r="B47" s="5">
        <v>1</v>
      </c>
      <c r="C47" s="12">
        <v>2.6346699999999998</v>
      </c>
      <c r="D47" s="13">
        <v>190701897</v>
      </c>
      <c r="E47" s="12">
        <v>74</v>
      </c>
      <c r="F47" s="12">
        <v>2</v>
      </c>
      <c r="G47" s="14">
        <v>45159</v>
      </c>
      <c r="H47" s="16">
        <v>0.29166666666666669</v>
      </c>
      <c r="I47" s="14">
        <v>45160</v>
      </c>
      <c r="J47" s="14">
        <v>45164</v>
      </c>
      <c r="K47" s="12">
        <v>9850336332</v>
      </c>
      <c r="L47" s="12"/>
      <c r="M47" s="12">
        <v>2</v>
      </c>
      <c r="N47" s="12">
        <v>1</v>
      </c>
      <c r="O47" s="12">
        <v>1</v>
      </c>
      <c r="P47" s="12">
        <v>2</v>
      </c>
      <c r="Q47" s="12">
        <v>2</v>
      </c>
      <c r="R47" s="12">
        <v>1</v>
      </c>
      <c r="S47" s="12">
        <v>2</v>
      </c>
      <c r="T47" s="12">
        <v>2</v>
      </c>
      <c r="U47" s="12">
        <v>2</v>
      </c>
      <c r="V47" s="12">
        <v>2</v>
      </c>
      <c r="W47" s="12" t="s">
        <v>243</v>
      </c>
      <c r="X47" s="12">
        <v>9.9</v>
      </c>
      <c r="Y47" s="12">
        <v>30.7</v>
      </c>
      <c r="Z47" s="12">
        <v>74.400000000000006</v>
      </c>
      <c r="AA47" s="12">
        <v>18.579999999999998</v>
      </c>
      <c r="AB47" s="12">
        <v>7.3</v>
      </c>
      <c r="AC47" s="12">
        <v>178</v>
      </c>
      <c r="AD47" s="12">
        <v>96</v>
      </c>
      <c r="AE47" s="12">
        <v>32</v>
      </c>
      <c r="AF47" s="12">
        <v>50</v>
      </c>
      <c r="AG47" s="12">
        <v>250</v>
      </c>
      <c r="AH47" s="12">
        <v>268</v>
      </c>
      <c r="AI47" s="12"/>
      <c r="AJ47" s="12"/>
      <c r="AK47" s="12" t="s">
        <v>244</v>
      </c>
      <c r="AL47" s="12" t="s">
        <v>245</v>
      </c>
      <c r="AM47" s="12"/>
      <c r="AN47" s="12">
        <v>8</v>
      </c>
      <c r="AO47" s="12" t="s">
        <v>720</v>
      </c>
      <c r="AP47" s="12">
        <v>3</v>
      </c>
      <c r="AQ47" s="12">
        <v>2</v>
      </c>
      <c r="AR47" s="12">
        <v>5</v>
      </c>
      <c r="AS47" s="12"/>
      <c r="AT47" s="12">
        <v>1</v>
      </c>
      <c r="AU47" s="12">
        <v>1</v>
      </c>
      <c r="AV47" s="12">
        <v>2</v>
      </c>
      <c r="AW47" s="12"/>
      <c r="AX47" s="12"/>
      <c r="AY47" s="12"/>
      <c r="AZ47" s="12"/>
      <c r="BA47" s="12">
        <v>2</v>
      </c>
      <c r="BB47" s="5">
        <v>1</v>
      </c>
      <c r="BC47" s="12">
        <v>70</v>
      </c>
      <c r="BD47" s="12">
        <v>0</v>
      </c>
      <c r="BE47" s="12">
        <v>2</v>
      </c>
      <c r="BF47" s="12">
        <v>2</v>
      </c>
      <c r="BG47" s="12">
        <v>2</v>
      </c>
      <c r="BH47" s="12">
        <v>1</v>
      </c>
      <c r="BI47" s="12">
        <v>1</v>
      </c>
      <c r="BJ47" s="12">
        <v>1</v>
      </c>
      <c r="BK47" s="12">
        <v>0</v>
      </c>
      <c r="BL47" s="12">
        <v>2</v>
      </c>
      <c r="BM47" s="12">
        <v>2</v>
      </c>
      <c r="BN47" s="12">
        <v>2</v>
      </c>
      <c r="BO47" s="12">
        <v>1</v>
      </c>
      <c r="BP47" s="12">
        <v>1</v>
      </c>
      <c r="BQ47" s="12">
        <v>1</v>
      </c>
      <c r="BR47" s="12">
        <v>18</v>
      </c>
      <c r="BS47" s="12">
        <v>0</v>
      </c>
      <c r="BT47" s="12">
        <v>0</v>
      </c>
      <c r="BU47" s="12"/>
    </row>
    <row r="48" spans="1:73" x14ac:dyDescent="0.25">
      <c r="A48" s="5" t="s">
        <v>563</v>
      </c>
      <c r="B48" s="5">
        <v>0</v>
      </c>
      <c r="C48" s="5">
        <v>2.7170000000000001</v>
      </c>
      <c r="D48" s="6">
        <v>24000012347</v>
      </c>
      <c r="E48" s="5">
        <v>70</v>
      </c>
      <c r="F48" s="5">
        <v>2</v>
      </c>
      <c r="G48" s="7">
        <v>45326</v>
      </c>
      <c r="H48" s="20">
        <v>0.41666666666666669</v>
      </c>
      <c r="I48" s="7">
        <v>45326</v>
      </c>
      <c r="J48" s="7"/>
      <c r="K48" s="5">
        <v>9922968148</v>
      </c>
      <c r="L48" s="5"/>
      <c r="M48" s="5">
        <v>10</v>
      </c>
      <c r="N48" s="5">
        <v>2</v>
      </c>
      <c r="O48" s="5">
        <v>2</v>
      </c>
      <c r="P48" s="5">
        <v>2</v>
      </c>
      <c r="Q48" s="5">
        <v>2</v>
      </c>
      <c r="R48" s="5">
        <v>2</v>
      </c>
      <c r="S48" s="5">
        <v>2</v>
      </c>
      <c r="T48" s="5">
        <v>2</v>
      </c>
      <c r="U48" s="5">
        <v>2</v>
      </c>
      <c r="V48" s="5">
        <v>2</v>
      </c>
      <c r="W48" s="5"/>
      <c r="X48" s="5">
        <v>6.9</v>
      </c>
      <c r="Y48" s="5">
        <v>22.8</v>
      </c>
      <c r="Z48" s="5">
        <v>66.7</v>
      </c>
      <c r="AA48" s="5">
        <v>18.5</v>
      </c>
      <c r="AB48" s="5">
        <v>5.8</v>
      </c>
      <c r="AC48" s="5">
        <v>295</v>
      </c>
      <c r="AD48" s="5">
        <v>223</v>
      </c>
      <c r="AE48" s="5">
        <v>57</v>
      </c>
      <c r="AF48" s="5">
        <v>74</v>
      </c>
      <c r="AG48" s="5">
        <v>14</v>
      </c>
      <c r="AH48" s="5">
        <v>247</v>
      </c>
      <c r="AI48" s="5"/>
      <c r="AJ48" s="5"/>
      <c r="AK48" s="5" t="s">
        <v>564</v>
      </c>
      <c r="AL48" s="5" t="s">
        <v>565</v>
      </c>
      <c r="AM48" s="5"/>
      <c r="AN48" s="5">
        <v>9</v>
      </c>
      <c r="AO48" s="5">
        <v>3</v>
      </c>
      <c r="AP48" s="5">
        <v>4</v>
      </c>
      <c r="AQ48" s="5">
        <v>2</v>
      </c>
      <c r="AR48" s="5">
        <v>5</v>
      </c>
      <c r="AS48" s="5"/>
      <c r="AT48" s="5">
        <v>1</v>
      </c>
      <c r="AU48" s="5">
        <v>1</v>
      </c>
      <c r="AV48" s="5">
        <v>2</v>
      </c>
      <c r="AW48" s="5"/>
      <c r="AX48" s="5"/>
      <c r="AY48" s="5"/>
      <c r="AZ48" s="5"/>
      <c r="BA48" s="5">
        <v>3</v>
      </c>
      <c r="BB48" s="5">
        <v>2</v>
      </c>
      <c r="BC48" s="5">
        <v>75</v>
      </c>
      <c r="BD48" s="5">
        <v>0</v>
      </c>
      <c r="BE48" s="5">
        <v>2</v>
      </c>
      <c r="BF48" s="5">
        <v>2</v>
      </c>
      <c r="BG48" s="5">
        <v>2</v>
      </c>
      <c r="BH48" s="5">
        <v>1</v>
      </c>
      <c r="BI48" s="5">
        <v>1</v>
      </c>
      <c r="BJ48" s="5">
        <v>1</v>
      </c>
      <c r="BK48" s="5">
        <v>0</v>
      </c>
      <c r="BL48" s="5">
        <v>2</v>
      </c>
      <c r="BM48" s="5">
        <v>2</v>
      </c>
      <c r="BN48" s="5">
        <v>2</v>
      </c>
      <c r="BO48" s="5">
        <v>1</v>
      </c>
      <c r="BP48" s="5">
        <v>1</v>
      </c>
      <c r="BQ48" s="5">
        <v>1</v>
      </c>
      <c r="BR48" s="5">
        <v>18</v>
      </c>
      <c r="BS48" s="5">
        <v>1</v>
      </c>
      <c r="BT48" s="5">
        <v>1</v>
      </c>
      <c r="BU48" s="5" t="s">
        <v>87</v>
      </c>
    </row>
    <row r="49" spans="1:73" x14ac:dyDescent="0.25">
      <c r="A49" s="5" t="s">
        <v>549</v>
      </c>
      <c r="B49" s="5">
        <v>0</v>
      </c>
      <c r="C49" s="5">
        <v>2.7266900000000001</v>
      </c>
      <c r="D49" s="6">
        <v>120502506</v>
      </c>
      <c r="E49" s="5">
        <v>80</v>
      </c>
      <c r="F49" s="5">
        <v>1</v>
      </c>
      <c r="G49" s="7">
        <v>45158</v>
      </c>
      <c r="H49" s="11">
        <v>0.45833333333333331</v>
      </c>
      <c r="I49" s="7">
        <v>45159</v>
      </c>
      <c r="J49" s="7">
        <v>45103</v>
      </c>
      <c r="K49" s="5">
        <v>9822555050</v>
      </c>
      <c r="L49" s="5"/>
      <c r="M49" s="5">
        <v>3</v>
      </c>
      <c r="N49" s="5">
        <v>1</v>
      </c>
      <c r="O49" s="5">
        <v>1</v>
      </c>
      <c r="P49" s="5">
        <v>2</v>
      </c>
      <c r="Q49" s="5">
        <v>2</v>
      </c>
      <c r="R49" s="5">
        <v>1</v>
      </c>
      <c r="S49" s="5">
        <v>2</v>
      </c>
      <c r="T49" s="5">
        <v>2</v>
      </c>
      <c r="U49" s="5">
        <v>2</v>
      </c>
      <c r="V49" s="5">
        <v>2</v>
      </c>
      <c r="W49" s="5"/>
      <c r="X49" s="5"/>
      <c r="Y49" s="5"/>
      <c r="Z49" s="5"/>
      <c r="AA49" s="5"/>
      <c r="AB49" s="5">
        <v>5.5</v>
      </c>
      <c r="AC49" s="5">
        <v>165</v>
      </c>
      <c r="AD49" s="5">
        <v>103.8</v>
      </c>
      <c r="AE49" s="5">
        <v>36</v>
      </c>
      <c r="AF49" s="5">
        <v>25.2</v>
      </c>
      <c r="AG49" s="5">
        <v>126</v>
      </c>
      <c r="AH49" s="5"/>
      <c r="AI49" s="5"/>
      <c r="AJ49" s="5"/>
      <c r="AK49" s="5" t="s">
        <v>550</v>
      </c>
      <c r="AL49" s="5" t="s">
        <v>551</v>
      </c>
      <c r="AM49" s="5"/>
      <c r="AN49" s="5">
        <v>8</v>
      </c>
      <c r="AO49" s="5">
        <v>3</v>
      </c>
      <c r="AP49" s="5">
        <v>3</v>
      </c>
      <c r="AQ49" s="5">
        <v>2</v>
      </c>
      <c r="AR49" s="5">
        <v>5</v>
      </c>
      <c r="AS49" s="5"/>
      <c r="AT49" s="5">
        <v>1</v>
      </c>
      <c r="AU49" s="5">
        <v>1</v>
      </c>
      <c r="AV49" s="5">
        <v>2</v>
      </c>
      <c r="AW49" s="5"/>
      <c r="AX49" s="5"/>
      <c r="AY49" s="5"/>
      <c r="AZ49" s="5"/>
      <c r="BA49" s="5">
        <v>2</v>
      </c>
      <c r="BB49" s="5">
        <v>1</v>
      </c>
      <c r="BC49" s="5">
        <v>80</v>
      </c>
      <c r="BD49" s="5">
        <v>0</v>
      </c>
      <c r="BE49" s="5">
        <v>2</v>
      </c>
      <c r="BF49" s="5">
        <v>2</v>
      </c>
      <c r="BG49" s="5">
        <v>2</v>
      </c>
      <c r="BH49" s="5">
        <v>1</v>
      </c>
      <c r="BI49" s="5">
        <v>1</v>
      </c>
      <c r="BJ49" s="5">
        <v>1</v>
      </c>
      <c r="BK49" s="5">
        <v>0</v>
      </c>
      <c r="BL49" s="5">
        <v>2</v>
      </c>
      <c r="BM49" s="5">
        <v>2</v>
      </c>
      <c r="BN49" s="5">
        <v>2</v>
      </c>
      <c r="BO49" s="5">
        <v>1</v>
      </c>
      <c r="BP49" s="5">
        <v>1</v>
      </c>
      <c r="BQ49" s="5">
        <v>1</v>
      </c>
      <c r="BR49" s="5">
        <v>18</v>
      </c>
      <c r="BS49" s="5">
        <v>1</v>
      </c>
      <c r="BT49" s="5">
        <v>1</v>
      </c>
      <c r="BU49" s="5"/>
    </row>
    <row r="50" spans="1:73" x14ac:dyDescent="0.25">
      <c r="A50" s="5" t="s">
        <v>552</v>
      </c>
      <c r="B50" s="5">
        <v>0</v>
      </c>
      <c r="C50" s="5">
        <v>2.9058799999999998</v>
      </c>
      <c r="D50" s="6">
        <v>24000005997</v>
      </c>
      <c r="E50" s="5">
        <v>65</v>
      </c>
      <c r="F50" s="5">
        <v>2</v>
      </c>
      <c r="G50" s="7">
        <v>45306</v>
      </c>
      <c r="H50" s="20">
        <v>0.95833333333333337</v>
      </c>
      <c r="I50" s="7">
        <v>45307</v>
      </c>
      <c r="J50" s="7"/>
      <c r="K50" s="5">
        <v>9830935588</v>
      </c>
      <c r="L50" s="5"/>
      <c r="M50" s="5"/>
      <c r="N50" s="5">
        <v>1</v>
      </c>
      <c r="O50" s="5">
        <v>2</v>
      </c>
      <c r="P50" s="5">
        <v>2</v>
      </c>
      <c r="Q50" s="5">
        <v>2</v>
      </c>
      <c r="R50" s="5">
        <v>2</v>
      </c>
      <c r="S50" s="5">
        <v>2</v>
      </c>
      <c r="T50" s="5">
        <v>2</v>
      </c>
      <c r="U50" s="5">
        <v>2</v>
      </c>
      <c r="V50" s="5">
        <v>2</v>
      </c>
      <c r="W50" s="5" t="s">
        <v>109</v>
      </c>
      <c r="X50" s="5">
        <v>13.8</v>
      </c>
      <c r="Y50" s="5">
        <v>40</v>
      </c>
      <c r="Z50" s="5">
        <v>92</v>
      </c>
      <c r="AA50" s="5">
        <v>24</v>
      </c>
      <c r="AB50" s="5">
        <v>6</v>
      </c>
      <c r="AC50" s="5"/>
      <c r="AD50" s="5"/>
      <c r="AE50" s="5"/>
      <c r="AF50" s="5"/>
      <c r="AG50" s="5"/>
      <c r="AH50" s="5">
        <v>2000</v>
      </c>
      <c r="AI50" s="5"/>
      <c r="AJ50" s="5"/>
      <c r="AK50" s="5" t="s">
        <v>553</v>
      </c>
      <c r="AL50" s="5"/>
      <c r="AM50" s="5"/>
      <c r="AN50" s="5">
        <v>8</v>
      </c>
      <c r="AO50" s="5">
        <v>3</v>
      </c>
      <c r="AP50" s="5">
        <v>3</v>
      </c>
      <c r="AQ50" s="5">
        <v>2</v>
      </c>
      <c r="AR50" s="5">
        <v>5</v>
      </c>
      <c r="AS50" s="5"/>
      <c r="AT50" s="5">
        <v>1</v>
      </c>
      <c r="AU50" s="5">
        <v>2</v>
      </c>
      <c r="AV50" s="5">
        <v>2</v>
      </c>
      <c r="AW50" s="5">
        <v>4</v>
      </c>
      <c r="AX50" s="5">
        <v>8</v>
      </c>
      <c r="AY50" s="5">
        <v>1</v>
      </c>
      <c r="AZ50" s="5">
        <v>2</v>
      </c>
      <c r="BA50" s="5">
        <v>2</v>
      </c>
      <c r="BB50" s="5">
        <v>1</v>
      </c>
      <c r="BC50" s="5">
        <v>80</v>
      </c>
      <c r="BD50" s="5">
        <v>0</v>
      </c>
      <c r="BE50" s="5">
        <v>2</v>
      </c>
      <c r="BF50" s="5">
        <v>2</v>
      </c>
      <c r="BG50" s="5">
        <v>2</v>
      </c>
      <c r="BH50" s="5">
        <v>1</v>
      </c>
      <c r="BI50" s="5">
        <v>1</v>
      </c>
      <c r="BJ50" s="5">
        <v>1</v>
      </c>
      <c r="BK50" s="5">
        <v>0</v>
      </c>
      <c r="BL50" s="5">
        <v>2</v>
      </c>
      <c r="BM50" s="5">
        <v>2</v>
      </c>
      <c r="BN50" s="5">
        <v>2</v>
      </c>
      <c r="BO50" s="5">
        <v>1</v>
      </c>
      <c r="BP50" s="5">
        <v>1</v>
      </c>
      <c r="BQ50" s="5">
        <v>1</v>
      </c>
      <c r="BR50" s="5">
        <v>18</v>
      </c>
      <c r="BS50" s="5">
        <v>1</v>
      </c>
      <c r="BT50" s="5">
        <v>1</v>
      </c>
      <c r="BU50" s="5"/>
    </row>
    <row r="51" spans="1:73" x14ac:dyDescent="0.25">
      <c r="A51" s="5" t="s">
        <v>513</v>
      </c>
      <c r="B51" s="5">
        <v>0</v>
      </c>
      <c r="C51" s="5">
        <v>3.0802399999999999</v>
      </c>
      <c r="D51" s="6">
        <v>230000000000</v>
      </c>
      <c r="E51" s="5">
        <v>76</v>
      </c>
      <c r="F51" s="5">
        <v>1</v>
      </c>
      <c r="G51" s="7">
        <v>45288</v>
      </c>
      <c r="H51" s="11">
        <v>0.625</v>
      </c>
      <c r="I51" s="7">
        <v>45288</v>
      </c>
      <c r="J51" s="7">
        <v>45297</v>
      </c>
      <c r="K51" s="5">
        <v>9552288085</v>
      </c>
      <c r="L51" s="5"/>
      <c r="M51" s="5">
        <v>9</v>
      </c>
      <c r="N51" s="5">
        <v>2</v>
      </c>
      <c r="O51" s="5">
        <v>2</v>
      </c>
      <c r="P51" s="5">
        <v>2</v>
      </c>
      <c r="Q51" s="5">
        <v>2</v>
      </c>
      <c r="R51" s="5">
        <v>1</v>
      </c>
      <c r="S51" s="5">
        <v>2</v>
      </c>
      <c r="T51" s="5">
        <v>2</v>
      </c>
      <c r="U51" s="5">
        <v>2</v>
      </c>
      <c r="V51" s="5">
        <v>2</v>
      </c>
      <c r="W51" s="5"/>
      <c r="X51" s="5">
        <v>13.3</v>
      </c>
      <c r="Y51" s="5">
        <v>38.200000000000003</v>
      </c>
      <c r="Z51" s="5">
        <v>100.5</v>
      </c>
      <c r="AA51" s="5">
        <v>10</v>
      </c>
      <c r="AB51" s="5">
        <v>5.3</v>
      </c>
      <c r="AC51" s="5">
        <v>127</v>
      </c>
      <c r="AD51" s="5">
        <v>72.400000000000006</v>
      </c>
      <c r="AE51" s="5">
        <v>38</v>
      </c>
      <c r="AF51" s="5">
        <v>16.600000000000001</v>
      </c>
      <c r="AG51" s="5">
        <v>83</v>
      </c>
      <c r="AH51" s="5">
        <v>2000</v>
      </c>
      <c r="AI51" s="5"/>
      <c r="AJ51" s="5"/>
      <c r="AK51" s="5" t="s">
        <v>514</v>
      </c>
      <c r="AL51" s="5" t="s">
        <v>326</v>
      </c>
      <c r="AM51" s="5"/>
      <c r="AN51" s="5">
        <v>9</v>
      </c>
      <c r="AO51" s="5">
        <v>1</v>
      </c>
      <c r="AP51" s="5">
        <v>3</v>
      </c>
      <c r="AQ51" s="5">
        <v>3</v>
      </c>
      <c r="AR51" s="5">
        <v>5</v>
      </c>
      <c r="AS51" s="5"/>
      <c r="AT51" s="5">
        <v>1</v>
      </c>
      <c r="AU51" s="5">
        <v>2</v>
      </c>
      <c r="AV51" s="5">
        <v>1</v>
      </c>
      <c r="AW51" s="5">
        <v>1</v>
      </c>
      <c r="AX51" s="5">
        <v>8</v>
      </c>
      <c r="AY51" s="5">
        <v>2</v>
      </c>
      <c r="AZ51" s="5">
        <v>2</v>
      </c>
      <c r="BA51" s="5">
        <v>1</v>
      </c>
      <c r="BB51" s="5">
        <v>1</v>
      </c>
      <c r="BC51" s="5">
        <v>85</v>
      </c>
      <c r="BD51" s="5">
        <v>0</v>
      </c>
      <c r="BE51" s="5">
        <v>2</v>
      </c>
      <c r="BF51" s="5">
        <v>2</v>
      </c>
      <c r="BG51" s="5">
        <v>2</v>
      </c>
      <c r="BH51" s="5">
        <v>1</v>
      </c>
      <c r="BI51" s="5">
        <v>1</v>
      </c>
      <c r="BJ51" s="5">
        <v>1</v>
      </c>
      <c r="BK51" s="5">
        <v>1</v>
      </c>
      <c r="BL51" s="5">
        <v>2</v>
      </c>
      <c r="BM51" s="5">
        <v>2</v>
      </c>
      <c r="BN51" s="5">
        <v>2</v>
      </c>
      <c r="BO51" s="5">
        <v>1</v>
      </c>
      <c r="BP51" s="5">
        <v>1</v>
      </c>
      <c r="BQ51" s="5">
        <v>1</v>
      </c>
      <c r="BR51" s="5">
        <v>19</v>
      </c>
      <c r="BS51" s="5">
        <v>1</v>
      </c>
      <c r="BT51" s="5">
        <v>1</v>
      </c>
      <c r="BU51" s="5"/>
    </row>
    <row r="52" spans="1:73" x14ac:dyDescent="0.25">
      <c r="A52" s="5" t="s">
        <v>542</v>
      </c>
      <c r="B52" s="5">
        <v>0</v>
      </c>
      <c r="C52" s="5">
        <v>3.2642699999999998</v>
      </c>
      <c r="D52" s="6">
        <v>221101249</v>
      </c>
      <c r="E52" s="5"/>
      <c r="F52" s="5">
        <v>2</v>
      </c>
      <c r="G52" s="7"/>
      <c r="H52" s="5"/>
      <c r="I52" s="7"/>
      <c r="J52" s="7"/>
      <c r="K52" s="5">
        <v>9762449220</v>
      </c>
      <c r="L52" s="5"/>
      <c r="M52" s="5">
        <v>2</v>
      </c>
      <c r="N52" s="5">
        <v>1</v>
      </c>
      <c r="O52" s="5">
        <v>2</v>
      </c>
      <c r="P52" s="5">
        <v>2</v>
      </c>
      <c r="Q52" s="5">
        <v>2</v>
      </c>
      <c r="R52" s="5">
        <v>2</v>
      </c>
      <c r="S52" s="5">
        <v>2</v>
      </c>
      <c r="T52" s="5">
        <v>2</v>
      </c>
      <c r="U52" s="5">
        <v>2</v>
      </c>
      <c r="V52" s="5">
        <v>2</v>
      </c>
      <c r="W52" s="5"/>
      <c r="X52" s="5"/>
      <c r="Y52" s="5"/>
      <c r="Z52" s="5"/>
      <c r="AA52" s="5"/>
      <c r="AB52" s="5"/>
      <c r="AC52" s="5"/>
      <c r="AD52" s="5"/>
      <c r="AE52" s="5"/>
      <c r="AF52" s="5"/>
      <c r="AG52" s="5"/>
      <c r="AH52" s="5"/>
      <c r="AI52" s="5"/>
      <c r="AJ52" s="5"/>
      <c r="AK52" s="5" t="s">
        <v>543</v>
      </c>
      <c r="AL52" s="5" t="s">
        <v>435</v>
      </c>
      <c r="AM52" s="5"/>
      <c r="AN52" s="5">
        <v>9</v>
      </c>
      <c r="AO52" s="5">
        <v>3</v>
      </c>
      <c r="AP52" s="5">
        <v>4</v>
      </c>
      <c r="AQ52" s="5">
        <v>2</v>
      </c>
      <c r="AR52" s="5">
        <v>5</v>
      </c>
      <c r="AS52" s="5"/>
      <c r="AT52" s="5">
        <v>1</v>
      </c>
      <c r="AU52" s="5">
        <v>1</v>
      </c>
      <c r="AV52" s="5">
        <v>1</v>
      </c>
      <c r="AW52" s="5">
        <v>1</v>
      </c>
      <c r="AX52" s="5"/>
      <c r="AY52" s="5"/>
      <c r="AZ52" s="5"/>
      <c r="BA52" s="5">
        <v>1</v>
      </c>
      <c r="BB52" s="5">
        <v>1</v>
      </c>
      <c r="BC52" s="5">
        <v>85</v>
      </c>
      <c r="BD52" s="5">
        <v>1</v>
      </c>
      <c r="BE52" s="5">
        <v>2</v>
      </c>
      <c r="BF52" s="5">
        <v>2</v>
      </c>
      <c r="BG52" s="5">
        <v>2</v>
      </c>
      <c r="BH52" s="5">
        <v>1</v>
      </c>
      <c r="BI52" s="5">
        <v>1</v>
      </c>
      <c r="BJ52" s="5">
        <v>1</v>
      </c>
      <c r="BK52" s="5">
        <v>1</v>
      </c>
      <c r="BL52" s="5">
        <v>2</v>
      </c>
      <c r="BM52" s="5">
        <v>2</v>
      </c>
      <c r="BN52" s="5">
        <v>2</v>
      </c>
      <c r="BO52" s="5">
        <v>1</v>
      </c>
      <c r="BP52" s="5">
        <v>1</v>
      </c>
      <c r="BQ52" s="5">
        <v>1</v>
      </c>
      <c r="BR52" s="5">
        <v>20</v>
      </c>
      <c r="BS52" s="5">
        <v>1</v>
      </c>
      <c r="BT52" s="5">
        <v>1</v>
      </c>
      <c r="BU52" s="5"/>
    </row>
    <row r="53" spans="1:73" x14ac:dyDescent="0.25">
      <c r="A53" s="5" t="s">
        <v>113</v>
      </c>
      <c r="B53" s="5">
        <v>1</v>
      </c>
      <c r="C53" s="5">
        <v>3.48706</v>
      </c>
      <c r="D53" s="6">
        <v>230700732</v>
      </c>
      <c r="E53" s="5">
        <v>53</v>
      </c>
      <c r="F53" s="5">
        <v>1</v>
      </c>
      <c r="G53" s="7"/>
      <c r="H53" s="5"/>
      <c r="I53" s="7">
        <v>45113</v>
      </c>
      <c r="J53" s="7">
        <v>45117</v>
      </c>
      <c r="K53" s="5">
        <v>7870011688</v>
      </c>
      <c r="L53" s="5">
        <v>9272419999</v>
      </c>
      <c r="M53" s="5">
        <v>0</v>
      </c>
      <c r="N53" s="5">
        <v>1</v>
      </c>
      <c r="O53" s="5">
        <v>1</v>
      </c>
      <c r="P53" s="5">
        <v>2</v>
      </c>
      <c r="Q53" s="5">
        <v>2</v>
      </c>
      <c r="R53" s="5">
        <v>2</v>
      </c>
      <c r="S53" s="5">
        <v>2</v>
      </c>
      <c r="T53" s="5">
        <v>2</v>
      </c>
      <c r="U53" s="5">
        <v>2</v>
      </c>
      <c r="V53" s="5">
        <v>2</v>
      </c>
      <c r="W53" s="5"/>
      <c r="X53" s="5">
        <v>14.4</v>
      </c>
      <c r="Y53" s="5">
        <v>41.9</v>
      </c>
      <c r="Z53" s="5">
        <v>87.3</v>
      </c>
      <c r="AA53" s="5">
        <v>8.66</v>
      </c>
      <c r="AB53" s="5"/>
      <c r="AC53" s="5">
        <v>173</v>
      </c>
      <c r="AD53" s="5">
        <v>125.8</v>
      </c>
      <c r="AE53" s="5">
        <v>35</v>
      </c>
      <c r="AF53" s="5"/>
      <c r="AG53" s="5">
        <v>61</v>
      </c>
      <c r="AH53" s="5">
        <v>716</v>
      </c>
      <c r="AI53" s="5"/>
      <c r="AJ53" s="5"/>
      <c r="AK53" s="5" t="s">
        <v>114</v>
      </c>
      <c r="AL53" s="5" t="s">
        <v>115</v>
      </c>
      <c r="AM53" s="5"/>
      <c r="AN53" s="5">
        <v>9</v>
      </c>
      <c r="AO53" s="5" t="s">
        <v>720</v>
      </c>
      <c r="AP53" s="5">
        <v>3</v>
      </c>
      <c r="AQ53" s="5">
        <v>2</v>
      </c>
      <c r="AR53" s="5">
        <v>5</v>
      </c>
      <c r="AS53" s="5"/>
      <c r="AT53" s="5">
        <v>1</v>
      </c>
      <c r="AU53" s="5">
        <v>1</v>
      </c>
      <c r="AV53" s="5">
        <v>2</v>
      </c>
      <c r="AW53" s="5">
        <v>4</v>
      </c>
      <c r="AX53" s="5">
        <v>8</v>
      </c>
      <c r="AY53" s="5">
        <v>2</v>
      </c>
      <c r="AZ53" s="5">
        <v>2</v>
      </c>
      <c r="BA53" s="5">
        <v>1</v>
      </c>
      <c r="BB53" s="5">
        <v>1</v>
      </c>
      <c r="BC53" s="5">
        <v>85</v>
      </c>
      <c r="BD53" s="5">
        <v>0</v>
      </c>
      <c r="BE53" s="5">
        <v>0</v>
      </c>
      <c r="BF53" s="5">
        <v>1</v>
      </c>
      <c r="BG53" s="5">
        <v>2</v>
      </c>
      <c r="BH53" s="5">
        <v>1</v>
      </c>
      <c r="BI53" s="5">
        <v>1</v>
      </c>
      <c r="BJ53" s="5">
        <v>0</v>
      </c>
      <c r="BK53" s="5">
        <v>1</v>
      </c>
      <c r="BL53" s="5">
        <v>2</v>
      </c>
      <c r="BM53" s="5">
        <v>2</v>
      </c>
      <c r="BN53" s="5">
        <v>2</v>
      </c>
      <c r="BO53" s="5">
        <v>1</v>
      </c>
      <c r="BP53" s="5">
        <v>1</v>
      </c>
      <c r="BQ53" s="5">
        <v>1</v>
      </c>
      <c r="BR53" s="5">
        <v>15</v>
      </c>
      <c r="BS53" s="5">
        <v>1</v>
      </c>
      <c r="BT53" s="5">
        <v>0</v>
      </c>
      <c r="BU53" s="5"/>
    </row>
    <row r="54" spans="1:73" x14ac:dyDescent="0.25">
      <c r="A54" s="12" t="s">
        <v>323</v>
      </c>
      <c r="B54" s="5">
        <v>1</v>
      </c>
      <c r="C54" s="12">
        <v>3.48706</v>
      </c>
      <c r="D54" s="13">
        <v>220403046</v>
      </c>
      <c r="E54" s="12">
        <v>75</v>
      </c>
      <c r="F54" s="12">
        <v>2</v>
      </c>
      <c r="G54" s="14">
        <v>45158</v>
      </c>
      <c r="H54" s="16">
        <v>0.40277777777777773</v>
      </c>
      <c r="I54" s="14">
        <v>45158</v>
      </c>
      <c r="J54" s="14">
        <v>45161</v>
      </c>
      <c r="K54" s="12">
        <v>8850292400</v>
      </c>
      <c r="L54" s="12"/>
      <c r="M54" s="12">
        <v>5</v>
      </c>
      <c r="N54" s="12">
        <v>1</v>
      </c>
      <c r="O54" s="12">
        <v>2</v>
      </c>
      <c r="P54" s="12">
        <v>2</v>
      </c>
      <c r="Q54" s="12">
        <v>2</v>
      </c>
      <c r="R54" s="12">
        <v>1</v>
      </c>
      <c r="S54" s="12">
        <v>2</v>
      </c>
      <c r="T54" s="12">
        <v>2</v>
      </c>
      <c r="U54" s="12">
        <v>2</v>
      </c>
      <c r="V54" s="12">
        <v>2</v>
      </c>
      <c r="W54" s="12" t="s">
        <v>324</v>
      </c>
      <c r="X54" s="12">
        <v>10.6</v>
      </c>
      <c r="Y54" s="12"/>
      <c r="Z54" s="12"/>
      <c r="AA54" s="12">
        <v>6.22</v>
      </c>
      <c r="AB54" s="12">
        <v>6</v>
      </c>
      <c r="AC54" s="12">
        <v>184</v>
      </c>
      <c r="AD54" s="12">
        <v>107.8</v>
      </c>
      <c r="AE54" s="12">
        <v>39</v>
      </c>
      <c r="AF54" s="12">
        <v>37.200000000000003</v>
      </c>
      <c r="AG54" s="12">
        <v>186</v>
      </c>
      <c r="AH54" s="12">
        <v>690</v>
      </c>
      <c r="AI54" s="12"/>
      <c r="AJ54" s="12"/>
      <c r="AK54" s="12" t="s">
        <v>325</v>
      </c>
      <c r="AL54" s="12" t="s">
        <v>326</v>
      </c>
      <c r="AM54" s="12"/>
      <c r="AN54" s="12">
        <v>10</v>
      </c>
      <c r="AO54" s="12" t="s">
        <v>720</v>
      </c>
      <c r="AP54" s="12">
        <v>3</v>
      </c>
      <c r="AQ54" s="12">
        <v>2</v>
      </c>
      <c r="AR54" s="12">
        <v>5</v>
      </c>
      <c r="AS54" s="12"/>
      <c r="AT54" s="12">
        <v>1</v>
      </c>
      <c r="AU54" s="12">
        <v>1</v>
      </c>
      <c r="AV54" s="12">
        <v>2</v>
      </c>
      <c r="AW54" s="12">
        <v>4</v>
      </c>
      <c r="AX54" s="12">
        <v>8</v>
      </c>
      <c r="AY54" s="12">
        <v>2</v>
      </c>
      <c r="AZ54" s="12">
        <v>2</v>
      </c>
      <c r="BA54" s="12">
        <v>1</v>
      </c>
      <c r="BB54" s="5">
        <v>1</v>
      </c>
      <c r="BC54" s="12">
        <v>85</v>
      </c>
      <c r="BD54" s="12">
        <v>0</v>
      </c>
      <c r="BE54" s="12">
        <v>2</v>
      </c>
      <c r="BF54" s="12">
        <v>2</v>
      </c>
      <c r="BG54" s="12">
        <v>2</v>
      </c>
      <c r="BH54" s="12">
        <v>1</v>
      </c>
      <c r="BI54" s="12">
        <v>1</v>
      </c>
      <c r="BJ54" s="12">
        <v>1</v>
      </c>
      <c r="BK54" s="12">
        <v>1</v>
      </c>
      <c r="BL54" s="12">
        <v>2</v>
      </c>
      <c r="BM54" s="12">
        <v>2</v>
      </c>
      <c r="BN54" s="12">
        <v>2</v>
      </c>
      <c r="BO54" s="12">
        <v>1</v>
      </c>
      <c r="BP54" s="12">
        <v>1</v>
      </c>
      <c r="BQ54" s="12">
        <v>1</v>
      </c>
      <c r="BR54" s="12">
        <v>19</v>
      </c>
      <c r="BS54" s="12">
        <v>1</v>
      </c>
      <c r="BT54" s="12">
        <v>1</v>
      </c>
      <c r="BU54" s="12"/>
    </row>
    <row r="55" spans="1:73" x14ac:dyDescent="0.25">
      <c r="A55" s="5" t="s">
        <v>189</v>
      </c>
      <c r="B55" s="5">
        <v>1</v>
      </c>
      <c r="C55" s="5">
        <v>3.5161199999999999</v>
      </c>
      <c r="D55" s="6">
        <v>200900562</v>
      </c>
      <c r="E55" s="5">
        <v>55</v>
      </c>
      <c r="F55" s="5">
        <v>1</v>
      </c>
      <c r="G55" s="7">
        <v>45180</v>
      </c>
      <c r="H55" s="11">
        <v>0.27083333333333331</v>
      </c>
      <c r="I55" s="7">
        <v>45180</v>
      </c>
      <c r="J55" s="7">
        <v>45204</v>
      </c>
      <c r="K55" s="5">
        <v>9890854804</v>
      </c>
      <c r="L55" s="5"/>
      <c r="M55" s="5">
        <v>8</v>
      </c>
      <c r="N55" s="5">
        <v>1</v>
      </c>
      <c r="O55" s="5">
        <v>1</v>
      </c>
      <c r="P55" s="5">
        <v>2</v>
      </c>
      <c r="Q55" s="5">
        <v>2</v>
      </c>
      <c r="R55" s="5">
        <v>2</v>
      </c>
      <c r="S55" s="5">
        <v>2</v>
      </c>
      <c r="T55" s="5">
        <v>2</v>
      </c>
      <c r="U55" s="5">
        <v>1</v>
      </c>
      <c r="V55" s="5">
        <v>2</v>
      </c>
      <c r="W55" s="5"/>
      <c r="X55" s="5">
        <v>13.2</v>
      </c>
      <c r="Y55" s="5">
        <v>39.4</v>
      </c>
      <c r="Z55" s="5">
        <v>81.400000000000006</v>
      </c>
      <c r="AA55" s="5">
        <v>10.9</v>
      </c>
      <c r="AB55" s="5">
        <v>8.5</v>
      </c>
      <c r="AC55" s="5">
        <v>96</v>
      </c>
      <c r="AD55" s="5">
        <v>42.6</v>
      </c>
      <c r="AE55" s="5">
        <v>33</v>
      </c>
      <c r="AF55" s="5">
        <v>20.399999999999999</v>
      </c>
      <c r="AG55" s="5">
        <v>102</v>
      </c>
      <c r="AH55" s="5">
        <v>213</v>
      </c>
      <c r="AI55" s="5"/>
      <c r="AJ55" s="5"/>
      <c r="AK55" s="5" t="s">
        <v>190</v>
      </c>
      <c r="AL55" s="5" t="s">
        <v>191</v>
      </c>
      <c r="AM55" s="5"/>
      <c r="AN55" s="5">
        <v>8</v>
      </c>
      <c r="AO55" s="5">
        <v>1</v>
      </c>
      <c r="AP55" s="5">
        <v>3</v>
      </c>
      <c r="AQ55" s="5">
        <v>2</v>
      </c>
      <c r="AR55" s="5">
        <v>4</v>
      </c>
      <c r="AS55" s="5"/>
      <c r="AT55" s="5">
        <v>1</v>
      </c>
      <c r="AU55" s="5">
        <v>1</v>
      </c>
      <c r="AV55" s="5">
        <v>2</v>
      </c>
      <c r="AW55" s="5"/>
      <c r="AX55" s="5"/>
      <c r="AY55" s="5"/>
      <c r="AZ55" s="5"/>
      <c r="BA55" s="5">
        <v>0</v>
      </c>
      <c r="BB55" s="5">
        <v>1</v>
      </c>
      <c r="BC55" s="5">
        <v>85</v>
      </c>
      <c r="BD55" s="5">
        <v>0</v>
      </c>
      <c r="BE55" s="5">
        <v>2</v>
      </c>
      <c r="BF55" s="5">
        <v>2</v>
      </c>
      <c r="BG55" s="5">
        <v>1</v>
      </c>
      <c r="BH55" s="5">
        <v>1</v>
      </c>
      <c r="BI55" s="5">
        <v>1</v>
      </c>
      <c r="BJ55" s="5">
        <v>1</v>
      </c>
      <c r="BK55" s="5">
        <v>1</v>
      </c>
      <c r="BL55" s="5">
        <v>2</v>
      </c>
      <c r="BM55" s="5">
        <v>2</v>
      </c>
      <c r="BN55" s="5">
        <v>2</v>
      </c>
      <c r="BO55" s="5">
        <v>1</v>
      </c>
      <c r="BP55" s="5">
        <v>1</v>
      </c>
      <c r="BQ55" s="5">
        <v>1</v>
      </c>
      <c r="BR55" s="5">
        <v>18</v>
      </c>
      <c r="BS55" s="5">
        <v>1</v>
      </c>
      <c r="BT55" s="5">
        <v>0</v>
      </c>
      <c r="BU55" s="5" t="s">
        <v>192</v>
      </c>
    </row>
    <row r="56" spans="1:73" x14ac:dyDescent="0.25">
      <c r="A56" s="5" t="s">
        <v>496</v>
      </c>
      <c r="B56" s="5">
        <v>0</v>
      </c>
      <c r="C56" s="5">
        <v>3.6420400000000002</v>
      </c>
      <c r="D56" s="9">
        <f>VLOOKUP($A56,'[1]24-8-24 DATA ENTRY'!$A$1:$BR$303,3,FALSE)</f>
        <v>240000059229</v>
      </c>
      <c r="E56" s="9">
        <f>VLOOKUP($A56,'[1]24-8-24 DATA ENTRY'!$A$1:$BR$303,4,FALSE)</f>
        <v>65</v>
      </c>
      <c r="F56" s="9">
        <f>VLOOKUP($A56,'[1]24-8-24 DATA ENTRY'!$A$1:$BR$303,5,FALSE)</f>
        <v>2</v>
      </c>
      <c r="G56" s="10">
        <f>VLOOKUP($A56,'[1]24-8-24 DATA ENTRY'!$A$1:$BR$303,6,FALSE)</f>
        <v>45480</v>
      </c>
      <c r="H56" s="9">
        <f>VLOOKUP($A56,'[1]24-8-24 DATA ENTRY'!$A$1:$BR$303,7,FALSE)</f>
        <v>0.90625</v>
      </c>
      <c r="I56" s="10">
        <f>VLOOKUP($A56,'[1]24-8-24 DATA ENTRY'!$A$1:$BR$303,8,FALSE)</f>
        <v>45480</v>
      </c>
      <c r="J56" s="10">
        <f>VLOOKUP($A56,'[1]24-8-24 DATA ENTRY'!$A$1:$BR$303,9,FALSE)</f>
        <v>0</v>
      </c>
      <c r="K56" s="9">
        <f>VLOOKUP($A56,'[1]24-8-24 DATA ENTRY'!$A$1:$BR$303,10,FALSE)</f>
        <v>9096181488</v>
      </c>
      <c r="L56" s="9">
        <f>VLOOKUP($A56,'[1]24-8-24 DATA ENTRY'!$A$1:$BR$303,11,FALSE)</f>
        <v>0</v>
      </c>
      <c r="M56" s="9">
        <f>VLOOKUP($A56,'[1]24-8-24 DATA ENTRY'!$A$1:$BR$303,12,FALSE)</f>
        <v>6</v>
      </c>
      <c r="N56" s="9">
        <f>VLOOKUP($A56,'[1]24-8-24 DATA ENTRY'!$A$1:$BR$303,13,FALSE)</f>
        <v>2</v>
      </c>
      <c r="O56" s="9">
        <f>VLOOKUP($A56,'[1]24-8-24 DATA ENTRY'!$A$1:$BR$303,14,FALSE)</f>
        <v>2</v>
      </c>
      <c r="P56" s="9">
        <f>VLOOKUP($A56,'[1]24-8-24 DATA ENTRY'!$A$1:$BR$303,15,FALSE)</f>
        <v>2</v>
      </c>
      <c r="Q56" s="9">
        <f>VLOOKUP($A56,'[1]24-8-24 DATA ENTRY'!$A$1:$BR$303,16,FALSE)</f>
        <v>2</v>
      </c>
      <c r="R56" s="9">
        <f>VLOOKUP($A56,'[1]24-8-24 DATA ENTRY'!$A$1:$BR$303,17,FALSE)</f>
        <v>1</v>
      </c>
      <c r="S56" s="9">
        <f>VLOOKUP($A56,'[1]24-8-24 DATA ENTRY'!$A$1:$BR$303,18,FALSE)</f>
        <v>2</v>
      </c>
      <c r="T56" s="9">
        <f>VLOOKUP($A56,'[1]24-8-24 DATA ENTRY'!$A$1:$BR$303,19,FALSE)</f>
        <v>1</v>
      </c>
      <c r="U56" s="9" t="e">
        <f>VLOOKUP($A56,'[1]24-8-24 DATA ENTRY'!$A$1:$BR$278,20,FALSE)</f>
        <v>#N/A</v>
      </c>
      <c r="V56" s="9">
        <f>VLOOKUP($A56,'[1]24-8-24 DATA ENTRY'!$A$1:$BR$303,21,FALSE)</f>
        <v>2</v>
      </c>
      <c r="W56" s="9">
        <f>VLOOKUP($A56,'[1]24-8-24 DATA ENTRY'!$A$1:$BR$303,22,FALSE)</f>
        <v>0</v>
      </c>
      <c r="X56" s="9">
        <f>VLOOKUP($A56,'[1]24-8-24 DATA ENTRY'!$A$1:$BR$303,23,FALSE)</f>
        <v>12.3</v>
      </c>
      <c r="Y56" s="9">
        <f>VLOOKUP($A56,'[1]24-8-24 DATA ENTRY'!$A$1:$BR$303,24,FALSE)</f>
        <v>37.200000000000003</v>
      </c>
      <c r="Z56" s="9">
        <f>VLOOKUP($A56,'[1]24-8-24 DATA ENTRY'!$A$1:$BR$303,25,FALSE)</f>
        <v>92.4</v>
      </c>
      <c r="AA56" s="9">
        <f>VLOOKUP($A56,'[1]24-8-24 DATA ENTRY'!$A$1:$BR$303,26,FALSE)</f>
        <v>10.210000000000001</v>
      </c>
      <c r="AB56" s="9">
        <f>VLOOKUP($A56,'[1]24-8-24 DATA ENTRY'!$A$1:$BR$303,27,FALSE)</f>
        <v>0</v>
      </c>
      <c r="AC56" s="9">
        <f>VLOOKUP($A56,'[1]24-8-24 DATA ENTRY'!$A$1:$BR$303,28,FALSE)</f>
        <v>0</v>
      </c>
      <c r="AD56" s="9">
        <f>VLOOKUP($A56,'[1]24-8-24 DATA ENTRY'!$A$1:$BR$303,29,FALSE)</f>
        <v>0</v>
      </c>
      <c r="AE56" s="9">
        <f>VLOOKUP($A56,'[1]24-8-24 DATA ENTRY'!$A$1:$BR$2303,30,FALSE)</f>
        <v>0</v>
      </c>
      <c r="AF56" s="9">
        <f>VLOOKUP($A56,'[1]24-8-24 DATA ENTRY'!$A$1:$BR$303,31,FALSE)</f>
        <v>0</v>
      </c>
      <c r="AG56" s="9">
        <f>VLOOKUP($A56,'[1]24-8-24 DATA ENTRY'!$A$1:$BR$303,32,FALSE)</f>
        <v>0</v>
      </c>
      <c r="AH56" s="9">
        <f>VLOOKUP($A56,'[1]24-8-24 DATA ENTRY'!$A$1:$BR$303,33,FALSE)</f>
        <v>2000</v>
      </c>
      <c r="AI56" s="9">
        <f>VLOOKUP($A56,'[1]24-8-24 DATA ENTRY'!$A$1:$BR$303,34,FALSE)</f>
        <v>0</v>
      </c>
      <c r="AJ56" s="9">
        <f>VLOOKUP($A56,'[1]24-8-24 DATA ENTRY'!$A$1:$BR$303,35,FALSE)</f>
        <v>0</v>
      </c>
      <c r="AK56" s="9" t="str">
        <f>VLOOKUP($A56,'[1]24-8-24 DATA ENTRY'!$A$1:$BR$303,36,FALSE)</f>
        <v>acute infarct Rt superior &amp; middle frontal gyrus</v>
      </c>
      <c r="AL56" s="9" t="str">
        <f>VLOOKUP($A56,'[1]24-8-24 DATA ENTRY'!$A$1:$BR$303,37,FALSE)</f>
        <v>mild left M1 stenosis rt normal</v>
      </c>
      <c r="AM56" s="9">
        <f>VLOOKUP($A56,'[1]24-8-24 DATA ENTRY'!$A$1:$BR$303,38,FALSE)</f>
        <v>0</v>
      </c>
      <c r="AN56" s="9">
        <f>VLOOKUP($A56,'[1]24-8-24 DATA ENTRY'!$A$1:$BR$303,39,FALSE)</f>
        <v>10</v>
      </c>
      <c r="AO56" s="9">
        <f>VLOOKUP($A56,'[1]24-8-24 DATA ENTRY'!$A$1:$BR$303,40,FALSE)</f>
        <v>1</v>
      </c>
      <c r="AP56" s="9">
        <f>VLOOKUP($A56,'[1]24-8-24 DATA ENTRY'!$A$1:$BR$303,41,FALSE)</f>
        <v>3</v>
      </c>
      <c r="AQ56" s="9">
        <f>VLOOKUP($A56,'[1]24-8-24 DATA ENTRY'!$A$1:$BR$303,42,FALSE)</f>
        <v>3</v>
      </c>
      <c r="AR56" s="9">
        <f>VLOOKUP($A56,'[1]24-8-24 DATA ENTRY'!$A$1:$BR$303,43,FALSE)</f>
        <v>4</v>
      </c>
      <c r="AS56" s="9">
        <f>VLOOKUP($A56,'[1]24-8-24 DATA ENTRY'!$A$1:$BR$303,44,FALSE)</f>
        <v>0</v>
      </c>
      <c r="AT56" s="9">
        <f>VLOOKUP($A56,'[1]24-8-24 DATA ENTRY'!$A$1:$BR$303,45,FALSE)</f>
        <v>1</v>
      </c>
      <c r="AU56" s="9">
        <f>VLOOKUP($A56,'[1]24-8-24 DATA ENTRY'!$A$1:$BR$303,46,FALSE)</f>
        <v>2</v>
      </c>
      <c r="AV56" s="9">
        <f>VLOOKUP($A56,'[1]24-8-24 DATA ENTRY'!$A$1:$BR$303,47,FALSE)</f>
        <v>1</v>
      </c>
      <c r="AW56" s="9">
        <f>VLOOKUP($A56,'[1]24-8-24 DATA ENTRY'!$A$1:$BR$303,48,FALSE)</f>
        <v>2</v>
      </c>
      <c r="AX56" s="9">
        <f>VLOOKUP($A56,'[1]24-8-24 DATA ENTRY'!$A$1:$BR$303,49,FALSE)</f>
        <v>0</v>
      </c>
      <c r="AY56" s="9">
        <f>VLOOKUP($A56,'[1]24-8-24 DATA ENTRY'!$A$1:$BR$303,50,FALSE)</f>
        <v>0</v>
      </c>
      <c r="AZ56" s="9">
        <f>VLOOKUP($A56,'[1]24-8-24 DATA ENTRY'!$A$1:$BR$303,51,FALSE)</f>
        <v>0</v>
      </c>
      <c r="BA56" s="9">
        <f>VLOOKUP($A56,'[1]24-8-24 DATA ENTRY'!$A$1:$BR$303,52,FALSE)</f>
        <v>0</v>
      </c>
      <c r="BB56" s="5">
        <v>1</v>
      </c>
      <c r="BC56" s="9">
        <f>VLOOKUP($A56,'[1]24-8-24 DATA ENTRY'!$A$1:$BR$303,53,FALSE)</f>
        <v>100</v>
      </c>
      <c r="BD56" s="5">
        <v>1</v>
      </c>
      <c r="BE56" s="5">
        <v>2</v>
      </c>
      <c r="BF56" s="5">
        <v>2</v>
      </c>
      <c r="BG56" s="5">
        <v>2</v>
      </c>
      <c r="BH56" s="5">
        <v>1</v>
      </c>
      <c r="BI56" s="5">
        <v>1</v>
      </c>
      <c r="BJ56" s="5">
        <v>1</v>
      </c>
      <c r="BK56" s="5">
        <v>1</v>
      </c>
      <c r="BL56" s="5">
        <v>2</v>
      </c>
      <c r="BM56" s="5">
        <v>1</v>
      </c>
      <c r="BN56" s="5">
        <v>2</v>
      </c>
      <c r="BO56" s="5">
        <v>1</v>
      </c>
      <c r="BP56" s="5">
        <v>1</v>
      </c>
      <c r="BQ56" s="5">
        <v>1</v>
      </c>
      <c r="BR56" s="5">
        <v>19</v>
      </c>
      <c r="BS56" s="5">
        <v>1</v>
      </c>
      <c r="BT56" s="5">
        <v>1</v>
      </c>
      <c r="BU56" s="5"/>
    </row>
    <row r="57" spans="1:73" x14ac:dyDescent="0.25">
      <c r="A57" s="5" t="s">
        <v>422</v>
      </c>
      <c r="B57" s="5">
        <v>1</v>
      </c>
      <c r="C57" s="5">
        <v>3.7534299999999998</v>
      </c>
      <c r="D57" s="6">
        <v>230205086</v>
      </c>
      <c r="E57" s="5">
        <v>70</v>
      </c>
      <c r="F57" s="5">
        <v>2</v>
      </c>
      <c r="G57" s="7"/>
      <c r="H57" s="5"/>
      <c r="I57" s="7">
        <v>44983</v>
      </c>
      <c r="J57" s="7">
        <v>44985</v>
      </c>
      <c r="K57" s="5">
        <v>8888435454</v>
      </c>
      <c r="L57" s="5">
        <v>8668515149</v>
      </c>
      <c r="M57" s="5">
        <v>9</v>
      </c>
      <c r="N57" s="5">
        <v>2</v>
      </c>
      <c r="O57" s="5">
        <v>2</v>
      </c>
      <c r="P57" s="5">
        <v>2</v>
      </c>
      <c r="Q57" s="5">
        <v>2</v>
      </c>
      <c r="R57" s="5">
        <v>2</v>
      </c>
      <c r="S57" s="5">
        <v>2</v>
      </c>
      <c r="T57" s="5">
        <v>2</v>
      </c>
      <c r="U57" s="5">
        <v>2</v>
      </c>
      <c r="V57" s="5">
        <v>2</v>
      </c>
      <c r="W57" s="5"/>
      <c r="X57" s="5">
        <v>10.7</v>
      </c>
      <c r="Y57" s="5">
        <v>32</v>
      </c>
      <c r="Z57" s="5"/>
      <c r="AA57" s="5">
        <v>29</v>
      </c>
      <c r="AB57" s="5">
        <v>6.3</v>
      </c>
      <c r="AC57" s="5"/>
      <c r="AD57" s="5"/>
      <c r="AE57" s="5"/>
      <c r="AF57" s="5"/>
      <c r="AG57" s="5"/>
      <c r="AH57" s="5">
        <v>189</v>
      </c>
      <c r="AI57" s="5" t="s">
        <v>423</v>
      </c>
      <c r="AJ57" s="5"/>
      <c r="AK57" s="5" t="s">
        <v>424</v>
      </c>
      <c r="AL57" s="5" t="s">
        <v>425</v>
      </c>
      <c r="AM57" s="5"/>
      <c r="AN57" s="5">
        <v>8</v>
      </c>
      <c r="AO57" s="5">
        <v>1</v>
      </c>
      <c r="AP57" s="5">
        <v>3</v>
      </c>
      <c r="AQ57" s="5">
        <v>3</v>
      </c>
      <c r="AR57" s="5">
        <v>5</v>
      </c>
      <c r="AS57" s="5"/>
      <c r="AT57" s="5">
        <v>1</v>
      </c>
      <c r="AU57" s="5">
        <v>2</v>
      </c>
      <c r="AV57" s="5">
        <v>2</v>
      </c>
      <c r="AW57" s="5"/>
      <c r="AX57" s="5"/>
      <c r="AY57" s="5"/>
      <c r="AZ57" s="5"/>
      <c r="BA57" s="5">
        <v>2</v>
      </c>
      <c r="BB57" s="5">
        <v>1</v>
      </c>
      <c r="BC57" s="5">
        <v>85</v>
      </c>
      <c r="BD57" s="5">
        <v>1</v>
      </c>
      <c r="BE57" s="5">
        <v>2</v>
      </c>
      <c r="BF57" s="5">
        <v>2</v>
      </c>
      <c r="BG57" s="5">
        <v>2</v>
      </c>
      <c r="BH57" s="5">
        <v>1</v>
      </c>
      <c r="BI57" s="5">
        <v>1</v>
      </c>
      <c r="BJ57" s="5">
        <v>1</v>
      </c>
      <c r="BK57" s="5">
        <v>1</v>
      </c>
      <c r="BL57" s="5">
        <v>2</v>
      </c>
      <c r="BM57" s="5">
        <v>2</v>
      </c>
      <c r="BN57" s="5">
        <v>2</v>
      </c>
      <c r="BO57" s="5">
        <v>1</v>
      </c>
      <c r="BP57" s="5">
        <v>1</v>
      </c>
      <c r="BQ57" s="5">
        <v>1</v>
      </c>
      <c r="BR57" s="5">
        <v>20</v>
      </c>
      <c r="BS57" s="5">
        <v>1</v>
      </c>
      <c r="BT57" s="5">
        <v>1</v>
      </c>
      <c r="BU57" s="5"/>
    </row>
    <row r="58" spans="1:73" x14ac:dyDescent="0.25">
      <c r="A58" s="5" t="s">
        <v>357</v>
      </c>
      <c r="B58" s="5">
        <v>1</v>
      </c>
      <c r="C58" s="5">
        <v>3.9471599999999998</v>
      </c>
      <c r="D58" s="6">
        <v>231001662</v>
      </c>
      <c r="E58" s="5">
        <v>70</v>
      </c>
      <c r="F58" s="5">
        <v>2</v>
      </c>
      <c r="G58" s="7">
        <v>45211</v>
      </c>
      <c r="H58" s="11">
        <v>0.9375</v>
      </c>
      <c r="I58" s="7">
        <v>45212</v>
      </c>
      <c r="J58" s="7">
        <v>45213</v>
      </c>
      <c r="K58" s="5">
        <v>9766525627</v>
      </c>
      <c r="L58" s="5"/>
      <c r="M58" s="5">
        <v>2</v>
      </c>
      <c r="N58" s="5">
        <v>2</v>
      </c>
      <c r="O58" s="5">
        <v>2</v>
      </c>
      <c r="P58" s="5">
        <v>2</v>
      </c>
      <c r="Q58" s="5">
        <v>2</v>
      </c>
      <c r="R58" s="5">
        <v>2</v>
      </c>
      <c r="S58" s="5">
        <v>2</v>
      </c>
      <c r="T58" s="5">
        <v>1</v>
      </c>
      <c r="U58" s="5">
        <v>1</v>
      </c>
      <c r="V58" s="5">
        <v>2</v>
      </c>
      <c r="W58" s="5"/>
      <c r="X58" s="5">
        <v>15.3</v>
      </c>
      <c r="Y58" s="5"/>
      <c r="Z58" s="5"/>
      <c r="AA58" s="5"/>
      <c r="AB58" s="5"/>
      <c r="AC58" s="5">
        <v>209</v>
      </c>
      <c r="AD58" s="5">
        <v>134</v>
      </c>
      <c r="AE58" s="5">
        <v>53</v>
      </c>
      <c r="AF58" s="5"/>
      <c r="AG58" s="5"/>
      <c r="AH58" s="5"/>
      <c r="AI58" s="5"/>
      <c r="AJ58" s="5"/>
      <c r="AK58" s="5" t="s">
        <v>358</v>
      </c>
      <c r="AL58" s="5" t="s">
        <v>359</v>
      </c>
      <c r="AM58" s="5"/>
      <c r="AN58" s="5">
        <v>9</v>
      </c>
      <c r="AO58" s="5">
        <v>1</v>
      </c>
      <c r="AP58" s="5">
        <v>3</v>
      </c>
      <c r="AQ58" s="5">
        <v>3</v>
      </c>
      <c r="AR58" s="5">
        <v>5</v>
      </c>
      <c r="AS58" s="5"/>
      <c r="AT58" s="5">
        <v>1</v>
      </c>
      <c r="AU58" s="5"/>
      <c r="AV58" s="5"/>
      <c r="AW58" s="5"/>
      <c r="AX58" s="5"/>
      <c r="AY58" s="5"/>
      <c r="AZ58" s="5"/>
      <c r="BA58" s="5">
        <v>2</v>
      </c>
      <c r="BB58" s="5">
        <v>1</v>
      </c>
      <c r="BC58" s="5">
        <v>85</v>
      </c>
      <c r="BD58" s="5">
        <v>0</v>
      </c>
      <c r="BE58" s="5">
        <v>2</v>
      </c>
      <c r="BF58" s="5">
        <v>2</v>
      </c>
      <c r="BG58" s="5">
        <v>2</v>
      </c>
      <c r="BH58" s="5">
        <v>1</v>
      </c>
      <c r="BI58" s="5">
        <v>1</v>
      </c>
      <c r="BJ58" s="5">
        <v>1</v>
      </c>
      <c r="BK58" s="5">
        <v>1</v>
      </c>
      <c r="BL58" s="5">
        <v>2</v>
      </c>
      <c r="BM58" s="5">
        <v>2</v>
      </c>
      <c r="BN58" s="5">
        <v>2</v>
      </c>
      <c r="BO58" s="5">
        <v>1</v>
      </c>
      <c r="BP58" s="5">
        <v>1</v>
      </c>
      <c r="BQ58" s="5">
        <v>1</v>
      </c>
      <c r="BR58" s="5">
        <v>19</v>
      </c>
      <c r="BS58" s="5">
        <v>0</v>
      </c>
      <c r="BT58" s="5">
        <v>1</v>
      </c>
      <c r="BU58" s="5" t="s">
        <v>360</v>
      </c>
    </row>
    <row r="59" spans="1:73" x14ac:dyDescent="0.25">
      <c r="A59" s="5" t="s">
        <v>229</v>
      </c>
      <c r="B59" s="5">
        <v>1</v>
      </c>
      <c r="C59" s="5">
        <v>4.1505700000000001</v>
      </c>
      <c r="D59" s="18">
        <f>VLOOKUP($A59,'[1]24-8-24 DATA ENTRY'!$A$1:$BR$258,3,FALSE)</f>
        <v>240000031873</v>
      </c>
      <c r="E59" s="18">
        <f>VLOOKUP($A59,'[1]24-8-24 DATA ENTRY'!$A$1:$BR$258,4,FALSE)</f>
        <v>58</v>
      </c>
      <c r="F59" s="18">
        <f>VLOOKUP($A59,'[1]24-8-24 DATA ENTRY'!$A$1:$BR$258,5,FALSE)</f>
        <v>1</v>
      </c>
      <c r="G59" s="19">
        <f>VLOOKUP($A59,'[1]24-8-24 DATA ENTRY'!$A$1:$BR$258,6,FALSE)</f>
        <v>45384</v>
      </c>
      <c r="H59" s="18">
        <f>VLOOKUP($A59,'[1]24-8-24 DATA ENTRY'!$A$1:$BR$258,7,FALSE)</f>
        <v>0.25</v>
      </c>
      <c r="I59" s="19">
        <f>VLOOKUP($A59,'[1]24-8-24 DATA ENTRY'!$A$1:$BR$258,8,FALSE)</f>
        <v>45385</v>
      </c>
      <c r="J59" s="19">
        <f>VLOOKUP($A59,'[1]24-8-24 DATA ENTRY'!$A$1:$BR$258,9,FALSE)</f>
        <v>0</v>
      </c>
      <c r="K59" s="18">
        <f>VLOOKUP($A59,'[1]24-8-24 DATA ENTRY'!$A$1:$BR$258,10,FALSE)</f>
        <v>9763068303</v>
      </c>
      <c r="L59" s="18">
        <f>VLOOKUP($A59,'[1]24-8-24 DATA ENTRY'!$A$1:$BR$258,11,FALSE)</f>
        <v>0</v>
      </c>
      <c r="M59" s="18">
        <f>VLOOKUP($A59,'[1]24-8-24 DATA ENTRY'!$A$1:$BR$258,12,FALSE)</f>
        <v>2</v>
      </c>
      <c r="N59" s="18">
        <f>VLOOKUP($A59,'[1]24-8-24 DATA ENTRY'!$A$1:$BR$258,13,FALSE)</f>
        <v>1</v>
      </c>
      <c r="O59" s="18">
        <f>VLOOKUP($A59,'[1]24-8-24 DATA ENTRY'!$A$1:$BR$258,14,FALSE)</f>
        <v>1</v>
      </c>
      <c r="P59" s="18">
        <f>VLOOKUP($A59,'[1]24-8-24 DATA ENTRY'!$A$1:$BR$258,15,FALSE)</f>
        <v>2</v>
      </c>
      <c r="Q59" s="18">
        <f>VLOOKUP($A59,'[1]24-8-24 DATA ENTRY'!$A$1:$BR$258,16,FALSE)</f>
        <v>2</v>
      </c>
      <c r="R59" s="18">
        <f>VLOOKUP($A59,'[1]24-8-24 DATA ENTRY'!$A$1:$BR$258,17,FALSE)</f>
        <v>2</v>
      </c>
      <c r="S59" s="18">
        <f>VLOOKUP($A59,'[1]24-8-24 DATA ENTRY'!$A$1:$BR$258,18,FALSE)</f>
        <v>2</v>
      </c>
      <c r="T59" s="18">
        <f>VLOOKUP($A59,'[1]24-8-24 DATA ENTRY'!$A$1:$BR$258,19,FALSE)</f>
        <v>2</v>
      </c>
      <c r="U59" s="18">
        <f>VLOOKUP($A59,'[1]24-8-24 DATA ENTRY'!$A$1:$BR$258,20,FALSE)</f>
        <v>1</v>
      </c>
      <c r="V59" s="18">
        <f>VLOOKUP($A59,'[1]24-8-24 DATA ENTRY'!$A$1:$BR$258,21,FALSE)</f>
        <v>2</v>
      </c>
      <c r="W59" s="18" t="str">
        <f>VLOOKUP($A59,'[1]24-8-24 DATA ENTRY'!$A$1:$BR$258,22,FALSE)</f>
        <v>today 4/4/24- morning 4am wakeup stroke, last known well 23:30hrs, Had TIA on 2/04/2024</v>
      </c>
      <c r="X59" s="18">
        <f>VLOOKUP($A59,'[1]24-8-24 DATA ENTRY'!$A$1:$BR$258,23,FALSE)</f>
        <v>12.4</v>
      </c>
      <c r="Y59" s="18">
        <f>VLOOKUP($A59,'[1]24-8-24 DATA ENTRY'!$A$1:$BR$258,24,FALSE)</f>
        <v>38.6</v>
      </c>
      <c r="Z59" s="18">
        <f>VLOOKUP($A59,'[1]24-8-24 DATA ENTRY'!$A$1:$BR$258,25,FALSE)</f>
        <v>83.2</v>
      </c>
      <c r="AA59" s="18">
        <f>VLOOKUP($A59,'[1]24-8-24 DATA ENTRY'!$A$1:$BR$258,26,FALSE)</f>
        <v>18.309999999999999</v>
      </c>
      <c r="AB59" s="18">
        <f>VLOOKUP($A59,'[1]24-8-24 DATA ENTRY'!$A$1:$BR$258,27,FALSE)</f>
        <v>9.1999999999999993</v>
      </c>
      <c r="AC59" s="18">
        <f>VLOOKUP($A59,'[1]24-8-24 DATA ENTRY'!$A$1:$BR$258,28,FALSE)</f>
        <v>115</v>
      </c>
      <c r="AD59" s="18">
        <f>VLOOKUP($A59,'[1]24-8-24 DATA ENTRY'!$A$1:$BR$258,29,FALSE)</f>
        <v>68.2</v>
      </c>
      <c r="AE59" s="18">
        <f>VLOOKUP($A59,'[1]24-8-24 DATA ENTRY'!$A$1:$BR$258,30,FALSE)</f>
        <v>19</v>
      </c>
      <c r="AF59" s="18">
        <f>VLOOKUP($A59,'[1]24-8-24 DATA ENTRY'!$A$1:$BR$258,31,FALSE)</f>
        <v>27.8</v>
      </c>
      <c r="AG59" s="18">
        <f>VLOOKUP($A59,'[1]24-8-24 DATA ENTRY'!$A$1:$BR$258,32,FALSE)</f>
        <v>139</v>
      </c>
      <c r="AH59" s="18">
        <f>VLOOKUP($A59,'[1]24-8-24 DATA ENTRY'!$A$1:$BR$258,33,FALSE)</f>
        <v>209</v>
      </c>
      <c r="AI59" s="18">
        <f>VLOOKUP($A59,'[1]24-8-24 DATA ENTRY'!$A$1:$BR$258,34,FALSE)</f>
        <v>0</v>
      </c>
      <c r="AJ59" s="18">
        <f>VLOOKUP($A59,'[1]24-8-24 DATA ENTRY'!$A$1:$BR$258,35,FALSE)</f>
        <v>0</v>
      </c>
      <c r="AK59" s="18" t="str">
        <f>VLOOKUP($A59,'[1]24-8-24 DATA ENTRY'!$A$1:$BR$258,36,FALSE)</f>
        <v>Right internal watershed infarct and Rt Fronto-parietal and Occipital region</v>
      </c>
      <c r="AL59" s="18" t="str">
        <f>VLOOKUP($A59,'[1]24-8-24 DATA ENTRY'!$A$1:$BR$258,37,FALSE)</f>
        <v>Rt ICA 99% stenosis at origin, Left ICA 95% stenosis at origin, Rt ICA at CCA bifurcation, Left vertebral artery hypoplastic</v>
      </c>
      <c r="AM59" s="18">
        <f>VLOOKUP($A59,'[1]24-8-24 DATA ENTRY'!$A$1:$BR$258,38,FALSE)</f>
        <v>0</v>
      </c>
      <c r="AN59" s="18">
        <f>VLOOKUP($A59,'[1]24-8-24 DATA ENTRY'!$A$1:$BR$258,39,FALSE)</f>
        <v>10</v>
      </c>
      <c r="AO59" s="18">
        <f>VLOOKUP($A59,'[1]24-8-24 DATA ENTRY'!$A$1:$BR$258,40,FALSE)</f>
        <v>1</v>
      </c>
      <c r="AP59" s="18">
        <f>VLOOKUP($A59,'[1]24-8-24 DATA ENTRY'!$A$1:$BR$258,41,FALSE)</f>
        <v>3</v>
      </c>
      <c r="AQ59" s="18">
        <f>VLOOKUP($A59,'[1]24-8-24 DATA ENTRY'!$A$1:$BR$258,42,FALSE)</f>
        <v>3</v>
      </c>
      <c r="AR59" s="18">
        <f>VLOOKUP($A59,'[1]24-8-24 DATA ENTRY'!$A$1:$BR$258,43,FALSE)</f>
        <v>5</v>
      </c>
      <c r="AS59" s="18">
        <f>VLOOKUP($A59,'[1]24-8-24 DATA ENTRY'!$A$1:$BR$258,44,FALSE)</f>
        <v>0</v>
      </c>
      <c r="AT59" s="18">
        <f>VLOOKUP($A59,'[1]24-8-24 DATA ENTRY'!$A$1:$BR$258,45,FALSE)</f>
        <v>1</v>
      </c>
      <c r="AU59" s="18">
        <f>VLOOKUP($A59,'[1]24-8-24 DATA ENTRY'!$A$1:$BR$258,46,FALSE)</f>
        <v>1</v>
      </c>
      <c r="AV59" s="18">
        <f>VLOOKUP($A59,'[1]24-8-24 DATA ENTRY'!$A$1:$BR$258,47,FALSE)</f>
        <v>2</v>
      </c>
      <c r="AW59" s="18">
        <f>VLOOKUP($A59,'[1]24-8-24 DATA ENTRY'!$A$1:$BR$258,48,FALSE)</f>
        <v>0</v>
      </c>
      <c r="AX59" s="18">
        <f>VLOOKUP($A59,'[1]24-8-24 DATA ENTRY'!$A$1:$BR$258,49,FALSE)</f>
        <v>0</v>
      </c>
      <c r="AY59" s="18">
        <f>VLOOKUP($A59,'[1]24-8-24 DATA ENTRY'!$A$1:$BR$258,50,FALSE)</f>
        <v>0</v>
      </c>
      <c r="AZ59" s="18">
        <f>VLOOKUP($A59,'[1]24-8-24 DATA ENTRY'!$A$1:$BR$258,51,FALSE)</f>
        <v>0</v>
      </c>
      <c r="BA59" s="18">
        <f>VLOOKUP($A59,'[1]24-8-24 DATA ENTRY'!$A$1:$BR$258,52,FALSE)</f>
        <v>1</v>
      </c>
      <c r="BB59" s="5">
        <v>1</v>
      </c>
      <c r="BC59" s="18">
        <f>VLOOKUP($A59,'[1]24-8-24 DATA ENTRY'!$A$1:$BR$258,53,FALSE)</f>
        <v>100</v>
      </c>
      <c r="BD59" s="5">
        <v>0</v>
      </c>
      <c r="BE59" s="5">
        <v>2</v>
      </c>
      <c r="BF59" s="5">
        <v>2</v>
      </c>
      <c r="BG59" s="5">
        <v>2</v>
      </c>
      <c r="BH59" s="5">
        <v>1</v>
      </c>
      <c r="BI59" s="5">
        <v>1</v>
      </c>
      <c r="BJ59" s="5">
        <v>1</v>
      </c>
      <c r="BK59" s="5">
        <v>0</v>
      </c>
      <c r="BL59" s="5">
        <v>2</v>
      </c>
      <c r="BM59" s="5">
        <v>2</v>
      </c>
      <c r="BN59" s="5">
        <v>2</v>
      </c>
      <c r="BO59" s="5">
        <v>1</v>
      </c>
      <c r="BP59" s="5">
        <v>1</v>
      </c>
      <c r="BQ59" s="5">
        <v>1</v>
      </c>
      <c r="BR59" s="5">
        <v>18</v>
      </c>
      <c r="BS59" s="5">
        <v>1</v>
      </c>
      <c r="BT59" s="5">
        <v>0</v>
      </c>
      <c r="BU59" s="5"/>
    </row>
    <row r="60" spans="1:73" x14ac:dyDescent="0.25">
      <c r="A60" s="5" t="s">
        <v>327</v>
      </c>
      <c r="B60" s="5">
        <v>1</v>
      </c>
      <c r="C60" s="5">
        <v>4.4556899999999997</v>
      </c>
      <c r="D60" s="6">
        <v>151007079</v>
      </c>
      <c r="E60" s="5">
        <v>44</v>
      </c>
      <c r="F60" s="5">
        <v>2</v>
      </c>
      <c r="G60" s="7">
        <v>45119</v>
      </c>
      <c r="H60" s="11">
        <v>0.375</v>
      </c>
      <c r="I60" s="7">
        <v>45124</v>
      </c>
      <c r="J60" s="7">
        <v>45125</v>
      </c>
      <c r="K60" s="5">
        <v>9372311404</v>
      </c>
      <c r="L60" s="5"/>
      <c r="M60" s="5">
        <v>2</v>
      </c>
      <c r="N60" s="5">
        <v>1</v>
      </c>
      <c r="O60" s="5">
        <v>1</v>
      </c>
      <c r="P60" s="5">
        <v>2</v>
      </c>
      <c r="Q60" s="5">
        <v>2</v>
      </c>
      <c r="R60" s="5">
        <v>2</v>
      </c>
      <c r="S60" s="5">
        <v>2</v>
      </c>
      <c r="T60" s="5">
        <v>2</v>
      </c>
      <c r="U60" s="5">
        <v>2</v>
      </c>
      <c r="V60" s="5">
        <v>2</v>
      </c>
      <c r="W60" s="5" t="s">
        <v>328</v>
      </c>
      <c r="X60" s="5">
        <v>12.7</v>
      </c>
      <c r="Y60" s="5">
        <v>39.5</v>
      </c>
      <c r="Z60" s="5">
        <v>81.900000000000006</v>
      </c>
      <c r="AA60" s="5">
        <v>5.82</v>
      </c>
      <c r="AB60" s="5">
        <v>9.6999999999999993</v>
      </c>
      <c r="AC60" s="5">
        <v>136</v>
      </c>
      <c r="AD60" s="5">
        <v>76</v>
      </c>
      <c r="AE60" s="5">
        <v>27</v>
      </c>
      <c r="AF60" s="5">
        <v>33</v>
      </c>
      <c r="AG60" s="5">
        <v>165</v>
      </c>
      <c r="AH60" s="5">
        <v>2000</v>
      </c>
      <c r="AI60" s="5"/>
      <c r="AJ60" s="5"/>
      <c r="AK60" s="5" t="s">
        <v>329</v>
      </c>
      <c r="AL60" s="5" t="s">
        <v>330</v>
      </c>
      <c r="AM60" s="5"/>
      <c r="AN60" s="5">
        <v>9</v>
      </c>
      <c r="AO60" s="5" t="s">
        <v>722</v>
      </c>
      <c r="AP60" s="5">
        <v>3</v>
      </c>
      <c r="AQ60" s="5">
        <v>2</v>
      </c>
      <c r="AR60" s="5">
        <v>5</v>
      </c>
      <c r="AS60" s="5"/>
      <c r="AT60" s="5"/>
      <c r="AU60" s="5"/>
      <c r="AV60" s="5"/>
      <c r="AW60" s="5"/>
      <c r="AX60" s="5"/>
      <c r="AY60" s="5"/>
      <c r="AZ60" s="5"/>
      <c r="BA60" s="5">
        <v>1</v>
      </c>
      <c r="BB60" s="5">
        <v>1</v>
      </c>
      <c r="BC60" s="5">
        <v>90</v>
      </c>
      <c r="BD60" s="5">
        <v>1</v>
      </c>
      <c r="BE60" s="5">
        <v>2</v>
      </c>
      <c r="BF60" s="5">
        <v>2</v>
      </c>
      <c r="BG60" s="5">
        <v>1</v>
      </c>
      <c r="BH60" s="5">
        <v>1</v>
      </c>
      <c r="BI60" s="5">
        <v>1</v>
      </c>
      <c r="BJ60" s="5">
        <v>1</v>
      </c>
      <c r="BK60" s="5">
        <v>1</v>
      </c>
      <c r="BL60" s="5">
        <v>2</v>
      </c>
      <c r="BM60" s="5">
        <v>2</v>
      </c>
      <c r="BN60" s="5">
        <v>2</v>
      </c>
      <c r="BO60" s="5">
        <v>1</v>
      </c>
      <c r="BP60" s="5">
        <v>1</v>
      </c>
      <c r="BQ60" s="5">
        <v>1</v>
      </c>
      <c r="BR60" s="5">
        <v>19</v>
      </c>
      <c r="BS60" s="5">
        <v>1</v>
      </c>
      <c r="BT60" s="5">
        <v>0</v>
      </c>
      <c r="BU60" s="5"/>
    </row>
    <row r="61" spans="1:73" x14ac:dyDescent="0.25">
      <c r="A61" s="12" t="s">
        <v>230</v>
      </c>
      <c r="B61" s="5">
        <v>1</v>
      </c>
      <c r="C61" s="12">
        <v>4.5234899999999998</v>
      </c>
      <c r="D61" s="13">
        <v>220700250</v>
      </c>
      <c r="E61" s="12">
        <v>65</v>
      </c>
      <c r="F61" s="12">
        <v>1</v>
      </c>
      <c r="G61" s="14"/>
      <c r="H61" s="12"/>
      <c r="I61" s="14">
        <v>44745</v>
      </c>
      <c r="J61" s="14">
        <v>44748</v>
      </c>
      <c r="K61" s="12">
        <v>8329592331</v>
      </c>
      <c r="L61" s="12"/>
      <c r="M61" s="12">
        <v>9</v>
      </c>
      <c r="N61" s="12">
        <v>1</v>
      </c>
      <c r="O61" s="12">
        <v>1</v>
      </c>
      <c r="P61" s="12">
        <v>2</v>
      </c>
      <c r="Q61" s="12">
        <v>2</v>
      </c>
      <c r="R61" s="12">
        <v>2</v>
      </c>
      <c r="S61" s="12">
        <v>2</v>
      </c>
      <c r="T61" s="12">
        <v>2</v>
      </c>
      <c r="U61" s="12">
        <v>2</v>
      </c>
      <c r="V61" s="12">
        <v>2</v>
      </c>
      <c r="W61" s="12" t="s">
        <v>231</v>
      </c>
      <c r="X61" s="12">
        <v>13</v>
      </c>
      <c r="Y61" s="12">
        <v>39.1</v>
      </c>
      <c r="Z61" s="12"/>
      <c r="AA61" s="12">
        <v>20.04</v>
      </c>
      <c r="AB61" s="12">
        <v>6</v>
      </c>
      <c r="AC61" s="12">
        <v>117</v>
      </c>
      <c r="AD61" s="12">
        <v>61</v>
      </c>
      <c r="AE61" s="12">
        <v>38</v>
      </c>
      <c r="AF61" s="12"/>
      <c r="AG61" s="12">
        <v>89</v>
      </c>
      <c r="AH61" s="12"/>
      <c r="AI61" s="12" t="s">
        <v>232</v>
      </c>
      <c r="AJ61" s="12"/>
      <c r="AK61" s="12" t="s">
        <v>233</v>
      </c>
      <c r="AL61" s="12" t="s">
        <v>234</v>
      </c>
      <c r="AM61" s="12"/>
      <c r="AN61" s="12">
        <v>9</v>
      </c>
      <c r="AO61" s="12">
        <v>1</v>
      </c>
      <c r="AP61" s="12">
        <v>4</v>
      </c>
      <c r="AQ61" s="12">
        <v>3</v>
      </c>
      <c r="AR61" s="12">
        <v>5</v>
      </c>
      <c r="AS61" s="12"/>
      <c r="AT61" s="12">
        <v>1</v>
      </c>
      <c r="AU61" s="12">
        <v>1</v>
      </c>
      <c r="AV61" s="12">
        <v>2</v>
      </c>
      <c r="AW61" s="12"/>
      <c r="AX61" s="12"/>
      <c r="AY61" s="12"/>
      <c r="AZ61" s="12"/>
      <c r="BA61" s="12">
        <v>1</v>
      </c>
      <c r="BB61" s="5">
        <v>1</v>
      </c>
      <c r="BC61" s="12">
        <v>90</v>
      </c>
      <c r="BD61" s="12">
        <v>1</v>
      </c>
      <c r="BE61" s="12">
        <v>1</v>
      </c>
      <c r="BF61" s="12">
        <v>2</v>
      </c>
      <c r="BG61" s="12">
        <v>2</v>
      </c>
      <c r="BH61" s="12">
        <v>1</v>
      </c>
      <c r="BI61" s="12">
        <v>1</v>
      </c>
      <c r="BJ61" s="12">
        <v>1</v>
      </c>
      <c r="BK61" s="12">
        <v>1</v>
      </c>
      <c r="BL61" s="12">
        <v>1</v>
      </c>
      <c r="BM61" s="12">
        <v>2</v>
      </c>
      <c r="BN61" s="12">
        <v>2</v>
      </c>
      <c r="BO61" s="12">
        <v>1</v>
      </c>
      <c r="BP61" s="12">
        <v>1</v>
      </c>
      <c r="BQ61" s="12">
        <v>1</v>
      </c>
      <c r="BR61" s="12">
        <v>18</v>
      </c>
      <c r="BS61" s="12">
        <v>1</v>
      </c>
      <c r="BT61" s="12">
        <v>0</v>
      </c>
      <c r="BU61" s="12"/>
    </row>
    <row r="62" spans="1:73" x14ac:dyDescent="0.25">
      <c r="A62" s="5" t="s">
        <v>497</v>
      </c>
      <c r="B62" s="5">
        <v>0</v>
      </c>
      <c r="C62" s="5">
        <v>4.5816100000000004</v>
      </c>
      <c r="D62" s="9">
        <f>VLOOKUP($A62,'[1]24-8-24 DATA ENTRY'!$A$1:$BR$303,3,FALSE)</f>
        <v>240000059976</v>
      </c>
      <c r="E62" s="9">
        <f>VLOOKUP($A62,'[1]24-8-24 DATA ENTRY'!$A$1:$BR$303,4,FALSE)</f>
        <v>50</v>
      </c>
      <c r="F62" s="9">
        <f>VLOOKUP($A62,'[1]24-8-24 DATA ENTRY'!$A$1:$BR$303,5,FALSE)</f>
        <v>2</v>
      </c>
      <c r="G62" s="10">
        <f>VLOOKUP($A62,'[1]24-8-24 DATA ENTRY'!$A$1:$BR$303,6,FALSE)</f>
        <v>45483</v>
      </c>
      <c r="H62" s="9">
        <f>VLOOKUP($A62,'[1]24-8-24 DATA ENTRY'!$A$1:$BR$303,7,FALSE)</f>
        <v>0.28125</v>
      </c>
      <c r="I62" s="10">
        <f>VLOOKUP($A62,'[1]24-8-24 DATA ENTRY'!$A$1:$BR$303,8,FALSE)</f>
        <v>45483</v>
      </c>
      <c r="J62" s="10">
        <f>VLOOKUP($A62,'[1]24-8-24 DATA ENTRY'!$A$1:$BR$303,9,FALSE)</f>
        <v>0</v>
      </c>
      <c r="K62" s="9">
        <f>VLOOKUP($A62,'[1]24-8-24 DATA ENTRY'!$A$1:$BR$303,10,FALSE)</f>
        <v>9096343363</v>
      </c>
      <c r="L62" s="9">
        <f>VLOOKUP($A62,'[1]24-8-24 DATA ENTRY'!$A$1:$BR$303,11,FALSE)</f>
        <v>0</v>
      </c>
      <c r="M62" s="9">
        <f>VLOOKUP($A62,'[1]24-8-24 DATA ENTRY'!$A$1:$BR$303,12,FALSE)</f>
        <v>3</v>
      </c>
      <c r="N62" s="9">
        <f>VLOOKUP($A62,'[1]24-8-24 DATA ENTRY'!$A$1:$BR$303,13,FALSE)</f>
        <v>2</v>
      </c>
      <c r="O62" s="9">
        <f>VLOOKUP($A62,'[1]24-8-24 DATA ENTRY'!$A$1:$BR$303,14,FALSE)</f>
        <v>2</v>
      </c>
      <c r="P62" s="9">
        <f>VLOOKUP($A62,'[1]24-8-24 DATA ENTRY'!$A$1:$BR$303,15,FALSE)</f>
        <v>2</v>
      </c>
      <c r="Q62" s="9">
        <f>VLOOKUP($A62,'[1]24-8-24 DATA ENTRY'!$A$1:$BR$303,16,FALSE)</f>
        <v>2</v>
      </c>
      <c r="R62" s="9">
        <f>VLOOKUP($A62,'[1]24-8-24 DATA ENTRY'!$A$1:$BR$303,17,FALSE)</f>
        <v>1</v>
      </c>
      <c r="S62" s="9">
        <f>VLOOKUP($A62,'[1]24-8-24 DATA ENTRY'!$A$1:$BR$303,18,FALSE)</f>
        <v>2</v>
      </c>
      <c r="T62" s="9">
        <f>VLOOKUP($A62,'[1]24-8-24 DATA ENTRY'!$A$1:$BR$303,19,FALSE)</f>
        <v>2</v>
      </c>
      <c r="U62" s="9" t="e">
        <f>VLOOKUP($A62,'[1]24-8-24 DATA ENTRY'!$A$1:$BR$278,20,FALSE)</f>
        <v>#N/A</v>
      </c>
      <c r="V62" s="9">
        <f>VLOOKUP($A62,'[1]24-8-24 DATA ENTRY'!$A$1:$BR$303,21,FALSE)</f>
        <v>2</v>
      </c>
      <c r="W62" s="9">
        <f>VLOOKUP($A62,'[1]24-8-24 DATA ENTRY'!$A$1:$BR$303,22,FALSE)</f>
        <v>0</v>
      </c>
      <c r="X62" s="9">
        <f>VLOOKUP($A62,'[1]24-8-24 DATA ENTRY'!$A$1:$BR$303,23,FALSE)</f>
        <v>13.2</v>
      </c>
      <c r="Y62" s="9">
        <f>VLOOKUP($A62,'[1]24-8-24 DATA ENTRY'!$A$1:$BR$303,24,FALSE)</f>
        <v>40.299999999999997</v>
      </c>
      <c r="Z62" s="9">
        <f>VLOOKUP($A62,'[1]24-8-24 DATA ENTRY'!$A$1:$BR$303,25,FALSE)</f>
        <v>76.5</v>
      </c>
      <c r="AA62" s="9">
        <f>VLOOKUP($A62,'[1]24-8-24 DATA ENTRY'!$A$1:$BR$303,26,FALSE)</f>
        <v>7.35</v>
      </c>
      <c r="AB62" s="9">
        <f>VLOOKUP($A62,'[1]24-8-24 DATA ENTRY'!$A$1:$BR$303,27,FALSE)</f>
        <v>5.8</v>
      </c>
      <c r="AC62" s="9">
        <f>VLOOKUP($A62,'[1]24-8-24 DATA ENTRY'!$A$1:$BR$303,28,FALSE)</f>
        <v>173</v>
      </c>
      <c r="AD62" s="9">
        <f>VLOOKUP($A62,'[1]24-8-24 DATA ENTRY'!$A$1:$BR$303,29,FALSE)</f>
        <v>102.8</v>
      </c>
      <c r="AE62" s="9">
        <f>VLOOKUP($A62,'[1]24-8-24 DATA ENTRY'!$A$1:$BR$2303,30,FALSE)</f>
        <v>39</v>
      </c>
      <c r="AF62" s="9">
        <f>VLOOKUP($A62,'[1]24-8-24 DATA ENTRY'!$A$1:$BR$303,31,FALSE)</f>
        <v>31.2</v>
      </c>
      <c r="AG62" s="9">
        <f>VLOOKUP($A62,'[1]24-8-24 DATA ENTRY'!$A$1:$BR$303,32,FALSE)</f>
        <v>156</v>
      </c>
      <c r="AH62" s="9">
        <f>VLOOKUP($A62,'[1]24-8-24 DATA ENTRY'!$A$1:$BR$303,33,FALSE)</f>
        <v>1099</v>
      </c>
      <c r="AI62" s="9">
        <f>VLOOKUP($A62,'[1]24-8-24 DATA ENTRY'!$A$1:$BR$303,34,FALSE)</f>
        <v>0</v>
      </c>
      <c r="AJ62" s="9">
        <f>VLOOKUP($A62,'[1]24-8-24 DATA ENTRY'!$A$1:$BR$303,35,FALSE)</f>
        <v>0</v>
      </c>
      <c r="AK62" s="9" t="str">
        <f>VLOOKUP($A62,'[1]24-8-24 DATA ENTRY'!$A$1:$BR$303,36,FALSE)</f>
        <v>left insular infarct</v>
      </c>
      <c r="AL62" s="9" t="str">
        <f>VLOOKUP($A62,'[1]24-8-24 DATA ENTRY'!$A$1:$BR$303,37,FALSE)</f>
        <v>left ica occluded from origin (100%) and left M3 infarct</v>
      </c>
      <c r="AM62" s="9">
        <f>VLOOKUP($A62,'[1]24-8-24 DATA ENTRY'!$A$1:$BR$303,38,FALSE)</f>
        <v>0</v>
      </c>
      <c r="AN62" s="9">
        <f>VLOOKUP($A62,'[1]24-8-24 DATA ENTRY'!$A$1:$BR$303,39,FALSE)</f>
        <v>10</v>
      </c>
      <c r="AO62" s="9">
        <f>VLOOKUP($A62,'[1]24-8-24 DATA ENTRY'!$A$1:$BR$303,40,FALSE)</f>
        <v>2</v>
      </c>
      <c r="AP62" s="9">
        <f>VLOOKUP($A62,'[1]24-8-24 DATA ENTRY'!$A$1:$BR$303,41,FALSE)</f>
        <v>2</v>
      </c>
      <c r="AQ62" s="9">
        <f>VLOOKUP($A62,'[1]24-8-24 DATA ENTRY'!$A$1:$BR$303,42,FALSE)</f>
        <v>1</v>
      </c>
      <c r="AR62" s="9">
        <f>VLOOKUP($A62,'[1]24-8-24 DATA ENTRY'!$A$1:$BR$303,43,FALSE)</f>
        <v>4</v>
      </c>
      <c r="AS62" s="9">
        <f>VLOOKUP($A62,'[1]24-8-24 DATA ENTRY'!$A$1:$BR$303,44,FALSE)</f>
        <v>0</v>
      </c>
      <c r="AT62" s="9">
        <f>VLOOKUP($A62,'[1]24-8-24 DATA ENTRY'!$A$1:$BR$303,45,FALSE)</f>
        <v>1</v>
      </c>
      <c r="AU62" s="9">
        <f>VLOOKUP($A62,'[1]24-8-24 DATA ENTRY'!$A$1:$BR$303,46,FALSE)</f>
        <v>1</v>
      </c>
      <c r="AV62" s="9">
        <f>VLOOKUP($A62,'[1]24-8-24 DATA ENTRY'!$A$1:$BR$303,47,FALSE)</f>
        <v>2</v>
      </c>
      <c r="AW62" s="9">
        <f>VLOOKUP($A62,'[1]24-8-24 DATA ENTRY'!$A$1:$BR$303,48,FALSE)</f>
        <v>0</v>
      </c>
      <c r="AX62" s="9">
        <f>VLOOKUP($A62,'[1]24-8-24 DATA ENTRY'!$A$1:$BR$303,49,FALSE)</f>
        <v>0</v>
      </c>
      <c r="AY62" s="9">
        <f>VLOOKUP($A62,'[1]24-8-24 DATA ENTRY'!$A$1:$BR$303,50,FALSE)</f>
        <v>0</v>
      </c>
      <c r="AZ62" s="9">
        <f>VLOOKUP($A62,'[1]24-8-24 DATA ENTRY'!$A$1:$BR$303,51,FALSE)</f>
        <v>0</v>
      </c>
      <c r="BA62" s="9">
        <f>VLOOKUP($A62,'[1]24-8-24 DATA ENTRY'!$A$1:$BR$303,52,FALSE)</f>
        <v>0</v>
      </c>
      <c r="BB62" s="5">
        <v>1</v>
      </c>
      <c r="BC62" s="9">
        <f>VLOOKUP($A62,'[1]24-8-24 DATA ENTRY'!$A$1:$BR$303,53,FALSE)</f>
        <v>100</v>
      </c>
      <c r="BD62" s="5">
        <v>1</v>
      </c>
      <c r="BE62" s="5">
        <v>2</v>
      </c>
      <c r="BF62" s="5">
        <v>2</v>
      </c>
      <c r="BG62" s="5">
        <v>2</v>
      </c>
      <c r="BH62" s="5">
        <v>1</v>
      </c>
      <c r="BI62" s="5">
        <v>1</v>
      </c>
      <c r="BJ62" s="5">
        <v>1</v>
      </c>
      <c r="BK62" s="5">
        <v>0</v>
      </c>
      <c r="BL62" s="5">
        <v>2</v>
      </c>
      <c r="BM62" s="5">
        <v>2</v>
      </c>
      <c r="BN62" s="5">
        <v>0</v>
      </c>
      <c r="BO62" s="5">
        <v>1</v>
      </c>
      <c r="BP62" s="5">
        <v>1</v>
      </c>
      <c r="BQ62" s="5">
        <v>1</v>
      </c>
      <c r="BR62" s="5">
        <v>18</v>
      </c>
      <c r="BS62" s="5">
        <v>0</v>
      </c>
      <c r="BT62" s="5">
        <v>1</v>
      </c>
      <c r="BU62" s="5"/>
    </row>
    <row r="63" spans="1:73" x14ac:dyDescent="0.25">
      <c r="A63" s="5" t="s">
        <v>327</v>
      </c>
      <c r="B63" s="5">
        <v>0</v>
      </c>
      <c r="C63" s="5">
        <v>4.9787499999999998</v>
      </c>
      <c r="D63" s="6">
        <v>230603763</v>
      </c>
      <c r="E63" s="5">
        <v>44</v>
      </c>
      <c r="F63" s="5">
        <v>2</v>
      </c>
      <c r="G63" s="7">
        <v>45074</v>
      </c>
      <c r="H63" s="11">
        <v>0.72916666666666663</v>
      </c>
      <c r="I63" s="7">
        <v>45090</v>
      </c>
      <c r="J63" s="7">
        <v>45093</v>
      </c>
      <c r="K63" s="5">
        <v>9372311404</v>
      </c>
      <c r="L63" s="5"/>
      <c r="M63" s="5">
        <v>3</v>
      </c>
      <c r="N63" s="5">
        <v>2</v>
      </c>
      <c r="O63" s="5">
        <v>1</v>
      </c>
      <c r="P63" s="5">
        <v>2</v>
      </c>
      <c r="Q63" s="5">
        <v>2</v>
      </c>
      <c r="R63" s="5">
        <v>2</v>
      </c>
      <c r="S63" s="5">
        <v>2</v>
      </c>
      <c r="T63" s="5">
        <v>2</v>
      </c>
      <c r="U63" s="5">
        <v>2</v>
      </c>
      <c r="V63" s="5">
        <v>2</v>
      </c>
      <c r="W63" s="5" t="s">
        <v>544</v>
      </c>
      <c r="X63" s="5">
        <v>13.1</v>
      </c>
      <c r="Y63" s="5">
        <v>38.799999999999997</v>
      </c>
      <c r="Z63" s="5"/>
      <c r="AA63" s="5">
        <v>16.5</v>
      </c>
      <c r="AB63" s="5">
        <v>13.9</v>
      </c>
      <c r="AC63" s="5">
        <v>166</v>
      </c>
      <c r="AD63" s="5">
        <v>101</v>
      </c>
      <c r="AE63" s="5">
        <v>25</v>
      </c>
      <c r="AF63" s="5">
        <v>39</v>
      </c>
      <c r="AG63" s="5">
        <v>198</v>
      </c>
      <c r="AH63" s="5">
        <v>206</v>
      </c>
      <c r="AI63" s="5" t="s">
        <v>545</v>
      </c>
      <c r="AJ63" s="5"/>
      <c r="AK63" s="5" t="s">
        <v>546</v>
      </c>
      <c r="AL63" s="5" t="s">
        <v>547</v>
      </c>
      <c r="AM63" s="5"/>
      <c r="AN63" s="5">
        <v>10</v>
      </c>
      <c r="AO63" s="5">
        <v>3</v>
      </c>
      <c r="AP63" s="5">
        <v>3</v>
      </c>
      <c r="AQ63" s="5">
        <v>3</v>
      </c>
      <c r="AR63" s="5">
        <v>5</v>
      </c>
      <c r="AS63" s="5" t="s">
        <v>548</v>
      </c>
      <c r="AT63" s="5">
        <v>1</v>
      </c>
      <c r="AU63" s="5">
        <v>2</v>
      </c>
      <c r="AV63" s="5">
        <v>1</v>
      </c>
      <c r="AW63" s="5">
        <v>1</v>
      </c>
      <c r="AX63" s="5">
        <v>1</v>
      </c>
      <c r="AY63" s="5">
        <v>1</v>
      </c>
      <c r="AZ63" s="5">
        <v>1</v>
      </c>
      <c r="BA63" s="5">
        <v>1</v>
      </c>
      <c r="BB63" s="5">
        <v>1</v>
      </c>
      <c r="BC63" s="5">
        <v>90</v>
      </c>
      <c r="BD63" s="5">
        <v>1</v>
      </c>
      <c r="BE63" s="5">
        <v>2</v>
      </c>
      <c r="BF63" s="5">
        <v>0</v>
      </c>
      <c r="BG63" s="5">
        <v>1</v>
      </c>
      <c r="BH63" s="5">
        <v>1</v>
      </c>
      <c r="BI63" s="5">
        <v>1</v>
      </c>
      <c r="BJ63" s="5">
        <v>1</v>
      </c>
      <c r="BK63" s="5">
        <v>1</v>
      </c>
      <c r="BL63" s="5">
        <v>2</v>
      </c>
      <c r="BM63" s="5">
        <v>2</v>
      </c>
      <c r="BN63" s="5">
        <v>2</v>
      </c>
      <c r="BO63" s="5">
        <v>1</v>
      </c>
      <c r="BP63" s="5">
        <v>1</v>
      </c>
      <c r="BQ63" s="5">
        <v>1</v>
      </c>
      <c r="BR63" s="5">
        <v>17</v>
      </c>
      <c r="BS63" s="5">
        <v>1</v>
      </c>
      <c r="BT63" s="5">
        <v>1</v>
      </c>
      <c r="BU63" s="5"/>
    </row>
    <row r="64" spans="1:73" x14ac:dyDescent="0.25">
      <c r="A64" s="5" t="s">
        <v>554</v>
      </c>
      <c r="B64" s="5">
        <v>0</v>
      </c>
      <c r="C64" s="5">
        <v>5.5679100000000004</v>
      </c>
      <c r="D64" s="6">
        <v>150606327</v>
      </c>
      <c r="E64" s="5">
        <v>72</v>
      </c>
      <c r="F64" s="5">
        <v>1</v>
      </c>
      <c r="G64" s="7">
        <v>45003</v>
      </c>
      <c r="H64" s="11">
        <v>0.70833333333333337</v>
      </c>
      <c r="I64" s="7">
        <v>45003</v>
      </c>
      <c r="J64" s="7">
        <v>45005</v>
      </c>
      <c r="K64" s="5">
        <v>9545509971</v>
      </c>
      <c r="L64" s="5"/>
      <c r="M64" s="5">
        <v>2</v>
      </c>
      <c r="N64" s="5">
        <v>1</v>
      </c>
      <c r="O64" s="5">
        <v>1</v>
      </c>
      <c r="P64" s="5">
        <v>2</v>
      </c>
      <c r="Q64" s="5">
        <v>2</v>
      </c>
      <c r="R64" s="5">
        <v>2</v>
      </c>
      <c r="S64" s="5">
        <v>2</v>
      </c>
      <c r="T64" s="5">
        <v>2</v>
      </c>
      <c r="U64" s="5">
        <v>2</v>
      </c>
      <c r="V64" s="5">
        <v>2</v>
      </c>
      <c r="W64" s="5" t="s">
        <v>555</v>
      </c>
      <c r="X64" s="5">
        <v>14.6</v>
      </c>
      <c r="Y64" s="5">
        <v>42</v>
      </c>
      <c r="Z64" s="5"/>
      <c r="AA64" s="5">
        <v>15.4</v>
      </c>
      <c r="AB64" s="5">
        <v>11.8</v>
      </c>
      <c r="AC64" s="5">
        <v>208</v>
      </c>
      <c r="AD64" s="5">
        <v>135</v>
      </c>
      <c r="AE64" s="5">
        <v>42</v>
      </c>
      <c r="AF64" s="5">
        <v>30</v>
      </c>
      <c r="AG64" s="5">
        <v>153</v>
      </c>
      <c r="AH64" s="5">
        <v>196</v>
      </c>
      <c r="AI64" s="5" t="s">
        <v>556</v>
      </c>
      <c r="AJ64" s="5"/>
      <c r="AK64" s="5" t="s">
        <v>557</v>
      </c>
      <c r="AL64" s="5" t="s">
        <v>558</v>
      </c>
      <c r="AM64" s="5"/>
      <c r="AN64" s="5">
        <v>7</v>
      </c>
      <c r="AO64" s="5">
        <v>3</v>
      </c>
      <c r="AP64" s="5">
        <v>3</v>
      </c>
      <c r="AQ64" s="5">
        <v>2</v>
      </c>
      <c r="AR64" s="5">
        <v>5</v>
      </c>
      <c r="AS64" s="5"/>
      <c r="AT64" s="5">
        <v>1</v>
      </c>
      <c r="AU64" s="5">
        <v>2</v>
      </c>
      <c r="AV64" s="5">
        <v>1</v>
      </c>
      <c r="AW64" s="5">
        <v>1</v>
      </c>
      <c r="AX64" s="5"/>
      <c r="AY64" s="5"/>
      <c r="AZ64" s="5"/>
      <c r="BA64" s="5">
        <v>2</v>
      </c>
      <c r="BB64" s="5">
        <v>1</v>
      </c>
      <c r="BC64" s="5">
        <v>90</v>
      </c>
      <c r="BD64" s="5">
        <v>1</v>
      </c>
      <c r="BE64" s="5">
        <v>2</v>
      </c>
      <c r="BF64" s="5">
        <v>2</v>
      </c>
      <c r="BG64" s="5">
        <v>2</v>
      </c>
      <c r="BH64" s="5">
        <v>1</v>
      </c>
      <c r="BI64" s="5">
        <v>1</v>
      </c>
      <c r="BJ64" s="5">
        <v>1</v>
      </c>
      <c r="BK64" s="5">
        <v>1</v>
      </c>
      <c r="BL64" s="5">
        <v>2</v>
      </c>
      <c r="BM64" s="5">
        <v>2</v>
      </c>
      <c r="BN64" s="5">
        <v>2</v>
      </c>
      <c r="BO64" s="5">
        <v>1</v>
      </c>
      <c r="BP64" s="5">
        <v>1</v>
      </c>
      <c r="BQ64" s="5">
        <v>1</v>
      </c>
      <c r="BR64" s="5">
        <v>20</v>
      </c>
      <c r="BS64" s="5">
        <v>1</v>
      </c>
      <c r="BT64" s="5">
        <v>1</v>
      </c>
      <c r="BU64" s="5"/>
    </row>
    <row r="65" spans="1:73" x14ac:dyDescent="0.25">
      <c r="A65" s="8" t="s">
        <v>394</v>
      </c>
      <c r="B65" s="5">
        <v>1</v>
      </c>
      <c r="C65" s="8">
        <v>6.1043700000000003</v>
      </c>
      <c r="D65" s="9">
        <f>VLOOKUP($A65,'[1]24-8-24 DATA ENTRY'!$A$1:$BR$258,3,FALSE)</f>
        <v>240000034634</v>
      </c>
      <c r="E65" s="9">
        <f>VLOOKUP($A65,'[1]24-8-24 DATA ENTRY'!$A$1:$BR$258,4,FALSE)</f>
        <v>62</v>
      </c>
      <c r="F65" s="9">
        <f>VLOOKUP($A65,'[1]24-8-24 DATA ENTRY'!$A$1:$BR$258,5,FALSE)</f>
        <v>2</v>
      </c>
      <c r="G65" s="10">
        <f>VLOOKUP($A65,'[1]24-8-24 DATA ENTRY'!$A$1:$BR$258,6,FALSE)</f>
        <v>45395</v>
      </c>
      <c r="H65" s="9">
        <f>VLOOKUP($A65,'[1]24-8-24 DATA ENTRY'!$A$1:$BR$258,7,FALSE)</f>
        <v>0.35416666666666669</v>
      </c>
      <c r="I65" s="10">
        <f>VLOOKUP($A65,'[1]24-8-24 DATA ENTRY'!$A$1:$BR$258,8,FALSE)</f>
        <v>45395</v>
      </c>
      <c r="J65" s="10">
        <f>VLOOKUP($A65,'[1]24-8-24 DATA ENTRY'!$A$1:$BR$258,9,FALSE)</f>
        <v>45397</v>
      </c>
      <c r="K65" s="9">
        <f>VLOOKUP($A65,'[1]24-8-24 DATA ENTRY'!$A$1:$BR$258,10,FALSE)</f>
        <v>9922328960</v>
      </c>
      <c r="L65" s="9">
        <f>VLOOKUP($A65,'[1]24-8-24 DATA ENTRY'!$A$1:$BR$258,11,FALSE)</f>
        <v>9764824635</v>
      </c>
      <c r="M65" s="9">
        <f>VLOOKUP($A65,'[1]24-8-24 DATA ENTRY'!$A$1:$BR$258,12,FALSE)</f>
        <v>12</v>
      </c>
      <c r="N65" s="9">
        <f>VLOOKUP($A65,'[1]24-8-24 DATA ENTRY'!$A$1:$BR$258,13,FALSE)</f>
        <v>1</v>
      </c>
      <c r="O65" s="9">
        <f>VLOOKUP($A65,'[1]24-8-24 DATA ENTRY'!$A$1:$BR$258,14,FALSE)</f>
        <v>2</v>
      </c>
      <c r="P65" s="9">
        <f>VLOOKUP($A65,'[1]24-8-24 DATA ENTRY'!$A$1:$BR$258,15,FALSE)</f>
        <v>2</v>
      </c>
      <c r="Q65" s="9">
        <f>VLOOKUP($A65,'[1]24-8-24 DATA ENTRY'!$A$1:$BR$258,16,FALSE)</f>
        <v>2</v>
      </c>
      <c r="R65" s="9">
        <f>VLOOKUP($A65,'[1]24-8-24 DATA ENTRY'!$A$1:$BR$258,17,FALSE)</f>
        <v>1</v>
      </c>
      <c r="S65" s="9">
        <f>VLOOKUP($A65,'[1]24-8-24 DATA ENTRY'!$A$1:$BR$258,18,FALSE)</f>
        <v>2</v>
      </c>
      <c r="T65" s="9">
        <f>VLOOKUP($A65,'[1]24-8-24 DATA ENTRY'!$A$1:$BR$258,19,FALSE)</f>
        <v>2</v>
      </c>
      <c r="U65" s="9">
        <f>VLOOKUP($A65,'[1]24-8-24 DATA ENTRY'!$A$1:$BR$258,20,FALSE)</f>
        <v>2</v>
      </c>
      <c r="V65" s="9">
        <f>VLOOKUP($A65,'[1]24-8-24 DATA ENTRY'!$A$1:$BR$258,21,FALSE)</f>
        <v>2</v>
      </c>
      <c r="W65" s="9" t="str">
        <f>VLOOKUP($A65,'[1]24-8-24 DATA ENTRY'!$A$1:$BR$258,22,FALSE)</f>
        <v>K/C/O rheumathoid arthritis</v>
      </c>
      <c r="X65" s="9">
        <f>VLOOKUP($A65,'[1]24-8-24 DATA ENTRY'!$A$1:$BR$258,23,FALSE)</f>
        <v>12.5</v>
      </c>
      <c r="Y65" s="9">
        <f>VLOOKUP($A65,'[1]24-8-24 DATA ENTRY'!$A$1:$BR$258,24,FALSE)</f>
        <v>37.299999999999997</v>
      </c>
      <c r="Z65" s="9">
        <f>VLOOKUP($A65,'[1]24-8-24 DATA ENTRY'!$A$1:$BR$258,25,FALSE)</f>
        <v>106.6</v>
      </c>
      <c r="AA65" s="9">
        <f>VLOOKUP($A65,'[1]24-8-24 DATA ENTRY'!$A$1:$BR$258,26,FALSE)</f>
        <v>46.2</v>
      </c>
      <c r="AB65" s="9">
        <f>VLOOKUP($A65,'[1]24-8-24 DATA ENTRY'!$A$1:$BR$258,27,FALSE)</f>
        <v>151.4</v>
      </c>
      <c r="AC65" s="9">
        <f>VLOOKUP($A65,'[1]24-8-24 DATA ENTRY'!$A$1:$BR$258,28,FALSE)</f>
        <v>210</v>
      </c>
      <c r="AD65" s="9">
        <f>VLOOKUP($A65,'[1]24-8-24 DATA ENTRY'!$A$1:$BR$258,29,FALSE)</f>
        <v>151.4</v>
      </c>
      <c r="AE65" s="9">
        <f>VLOOKUP($A65,'[1]24-8-24 DATA ENTRY'!$A$1:$BR$258,30,FALSE)</f>
        <v>40</v>
      </c>
      <c r="AF65" s="9">
        <f>VLOOKUP($A65,'[1]24-8-24 DATA ENTRY'!$A$1:$BR$258,31,FALSE)</f>
        <v>18.600000000000001</v>
      </c>
      <c r="AG65" s="9">
        <f>VLOOKUP($A65,'[1]24-8-24 DATA ENTRY'!$A$1:$BR$258,32,FALSE)</f>
        <v>93</v>
      </c>
      <c r="AH65" s="9">
        <f>VLOOKUP($A65,'[1]24-8-24 DATA ENTRY'!$A$1:$BR$258,33,FALSE)</f>
        <v>221</v>
      </c>
      <c r="AI65" s="9">
        <f>VLOOKUP($A65,'[1]24-8-24 DATA ENTRY'!$A$1:$BR$258,34,FALSE)</f>
        <v>0</v>
      </c>
      <c r="AJ65" s="9">
        <f>VLOOKUP($A65,'[1]24-8-24 DATA ENTRY'!$A$1:$BR$258,35,FALSE)</f>
        <v>0</v>
      </c>
      <c r="AK65" s="9" t="str">
        <f>VLOOKUP($A65,'[1]24-8-24 DATA ENTRY'!$A$1:$BR$258,36,FALSE)</f>
        <v>right M1 infarct</v>
      </c>
      <c r="AL65" s="9">
        <f>VLOOKUP($A65,'[1]24-8-24 DATA ENTRY'!$A$1:$BR$258,37,FALSE)</f>
        <v>0</v>
      </c>
      <c r="AM65" s="9">
        <f>VLOOKUP($A65,'[1]24-8-24 DATA ENTRY'!$A$1:$BR$258,38,FALSE)</f>
        <v>0</v>
      </c>
      <c r="AN65" s="9">
        <f>VLOOKUP($A65,'[1]24-8-24 DATA ENTRY'!$A$1:$BR$258,39,FALSE)</f>
        <v>7</v>
      </c>
      <c r="AO65" s="9">
        <f>VLOOKUP($A65,'[1]24-8-24 DATA ENTRY'!$A$1:$BR$258,40,FALSE)</f>
        <v>1</v>
      </c>
      <c r="AP65" s="9">
        <f>VLOOKUP($A65,'[1]24-8-24 DATA ENTRY'!$A$1:$BR$258,41,FALSE)</f>
        <v>3</v>
      </c>
      <c r="AQ65" s="9">
        <f>VLOOKUP($A65,'[1]24-8-24 DATA ENTRY'!$A$1:$BR$258,42,FALSE)</f>
        <v>3</v>
      </c>
      <c r="AR65" s="9">
        <f>VLOOKUP($A65,'[1]24-8-24 DATA ENTRY'!$A$1:$BR$258,43,FALSE)</f>
        <v>5</v>
      </c>
      <c r="AS65" s="9">
        <f>VLOOKUP($A65,'[1]24-8-24 DATA ENTRY'!$A$1:$BR$258,44,FALSE)</f>
        <v>0</v>
      </c>
      <c r="AT65" s="9">
        <f>VLOOKUP($A65,'[1]24-8-24 DATA ENTRY'!$A$1:$BR$258,45,FALSE)</f>
        <v>1</v>
      </c>
      <c r="AU65" s="9">
        <f>VLOOKUP($A65,'[1]24-8-24 DATA ENTRY'!$A$1:$BR$258,46,FALSE)</f>
        <v>1</v>
      </c>
      <c r="AV65" s="9">
        <f>VLOOKUP($A65,'[1]24-8-24 DATA ENTRY'!$A$1:$BR$258,47,FALSE)</f>
        <v>2</v>
      </c>
      <c r="AW65" s="9">
        <f>VLOOKUP($A65,'[1]24-8-24 DATA ENTRY'!$A$1:$BR$258,48,FALSE)</f>
        <v>0</v>
      </c>
      <c r="AX65" s="9">
        <f>VLOOKUP($A65,'[1]24-8-24 DATA ENTRY'!$A$1:$BR$258,49,FALSE)</f>
        <v>0</v>
      </c>
      <c r="AY65" s="9">
        <f>VLOOKUP($A65,'[1]24-8-24 DATA ENTRY'!$A$1:$BR$258,50,FALSE)</f>
        <v>0</v>
      </c>
      <c r="AZ65" s="9">
        <f>VLOOKUP($A65,'[1]24-8-24 DATA ENTRY'!$A$1:$BR$258,51,FALSE)</f>
        <v>0</v>
      </c>
      <c r="BA65" s="9">
        <f>VLOOKUP($A65,'[1]24-8-24 DATA ENTRY'!$A$1:$BR$258,52,FALSE)</f>
        <v>1</v>
      </c>
      <c r="BB65" s="5">
        <v>1</v>
      </c>
      <c r="BC65" s="9">
        <f>VLOOKUP($A65,'[1]24-8-24 DATA ENTRY'!$A$1:$BR$258,53,FALSE)</f>
        <v>80</v>
      </c>
      <c r="BD65" s="8">
        <v>1</v>
      </c>
      <c r="BE65" s="8">
        <v>2</v>
      </c>
      <c r="BF65" s="8">
        <v>2</v>
      </c>
      <c r="BG65" s="8">
        <v>2</v>
      </c>
      <c r="BH65" s="8">
        <v>1</v>
      </c>
      <c r="BI65" s="8">
        <v>1</v>
      </c>
      <c r="BJ65" s="8">
        <v>1</v>
      </c>
      <c r="BK65" s="8">
        <v>1</v>
      </c>
      <c r="BL65" s="8">
        <v>2</v>
      </c>
      <c r="BM65" s="8">
        <v>2</v>
      </c>
      <c r="BN65" s="8">
        <v>2</v>
      </c>
      <c r="BO65" s="8">
        <v>1</v>
      </c>
      <c r="BP65" s="8">
        <v>1</v>
      </c>
      <c r="BQ65" s="8">
        <v>1</v>
      </c>
      <c r="BR65" s="8">
        <v>20</v>
      </c>
      <c r="BS65" s="8">
        <v>1</v>
      </c>
      <c r="BT65" s="8">
        <v>1</v>
      </c>
      <c r="BU65" s="8"/>
    </row>
    <row r="66" spans="1:73" x14ac:dyDescent="0.25">
      <c r="A66" s="8" t="s">
        <v>331</v>
      </c>
      <c r="B66" s="5">
        <v>1</v>
      </c>
      <c r="C66" s="8">
        <v>6.1992200000000004</v>
      </c>
      <c r="D66" s="9">
        <f>VLOOKUP($A66,'[1]24-8-24 DATA ENTRY'!$A$1:$BR$258,3,FALSE)</f>
        <v>240000033245</v>
      </c>
      <c r="E66" s="9">
        <f>VLOOKUP($A66,'[1]24-8-24 DATA ENTRY'!$A$1:$BR$258,4,FALSE)</f>
        <v>51</v>
      </c>
      <c r="F66" s="9">
        <f>VLOOKUP($A66,'[1]24-8-24 DATA ENTRY'!$A$1:$BR$258,5,FALSE)</f>
        <v>2</v>
      </c>
      <c r="G66" s="10">
        <f>VLOOKUP($A66,'[1]24-8-24 DATA ENTRY'!$A$1:$BR$258,6,FALSE)</f>
        <v>45390</v>
      </c>
      <c r="H66" s="9">
        <f>VLOOKUP($A66,'[1]24-8-24 DATA ENTRY'!$A$1:$BR$258,7,FALSE)</f>
        <v>0.5</v>
      </c>
      <c r="I66" s="10">
        <f>VLOOKUP($A66,'[1]24-8-24 DATA ENTRY'!$A$1:$BR$258,8,FALSE)</f>
        <v>45391</v>
      </c>
      <c r="J66" s="10">
        <f>VLOOKUP($A66,'[1]24-8-24 DATA ENTRY'!$A$1:$BR$258,9,FALSE)</f>
        <v>0</v>
      </c>
      <c r="K66" s="9">
        <f>VLOOKUP($A66,'[1]24-8-24 DATA ENTRY'!$A$1:$BR$258,10,FALSE)</f>
        <v>8888714581</v>
      </c>
      <c r="L66" s="9">
        <f>VLOOKUP($A66,'[1]24-8-24 DATA ENTRY'!$A$1:$BR$258,11,FALSE)</f>
        <v>0</v>
      </c>
      <c r="M66" s="9">
        <f>VLOOKUP($A66,'[1]24-8-24 DATA ENTRY'!$A$1:$BR$258,12,FALSE)</f>
        <v>10</v>
      </c>
      <c r="N66" s="9">
        <f>VLOOKUP($A66,'[1]24-8-24 DATA ENTRY'!$A$1:$BR$258,13,FALSE)</f>
        <v>1</v>
      </c>
      <c r="O66" s="9">
        <f>VLOOKUP($A66,'[1]24-8-24 DATA ENTRY'!$A$1:$BR$258,14,FALSE)</f>
        <v>1</v>
      </c>
      <c r="P66" s="9">
        <f>VLOOKUP($A66,'[1]24-8-24 DATA ENTRY'!$A$1:$BR$258,15,FALSE)</f>
        <v>2</v>
      </c>
      <c r="Q66" s="9">
        <f>VLOOKUP($A66,'[1]24-8-24 DATA ENTRY'!$A$1:$BR$258,16,FALSE)</f>
        <v>2</v>
      </c>
      <c r="R66" s="9">
        <f>VLOOKUP($A66,'[1]24-8-24 DATA ENTRY'!$A$1:$BR$258,17,FALSE)</f>
        <v>1</v>
      </c>
      <c r="S66" s="9">
        <f>VLOOKUP($A66,'[1]24-8-24 DATA ENTRY'!$A$1:$BR$258,18,FALSE)</f>
        <v>2</v>
      </c>
      <c r="T66" s="9">
        <f>VLOOKUP($A66,'[1]24-8-24 DATA ENTRY'!$A$1:$BR$258,19,FALSE)</f>
        <v>2</v>
      </c>
      <c r="U66" s="9">
        <f>VLOOKUP($A66,'[1]24-8-24 DATA ENTRY'!$A$1:$BR$258,20,FALSE)</f>
        <v>2</v>
      </c>
      <c r="V66" s="9">
        <f>VLOOKUP($A66,'[1]24-8-24 DATA ENTRY'!$A$1:$BR$258,21,FALSE)</f>
        <v>2</v>
      </c>
      <c r="W66" s="9">
        <f>VLOOKUP($A66,'[1]24-8-24 DATA ENTRY'!$A$1:$BR$258,22,FALSE)</f>
        <v>0</v>
      </c>
      <c r="X66" s="9">
        <f>VLOOKUP($A66,'[1]24-8-24 DATA ENTRY'!$A$1:$BR$258,23,FALSE)</f>
        <v>12.8</v>
      </c>
      <c r="Y66" s="9">
        <f>VLOOKUP($A66,'[1]24-8-24 DATA ENTRY'!$A$1:$BR$258,24,FALSE)</f>
        <v>40.700000000000003</v>
      </c>
      <c r="Z66" s="9">
        <f>VLOOKUP($A66,'[1]24-8-24 DATA ENTRY'!$A$1:$BR$258,25,FALSE)</f>
        <v>82.7</v>
      </c>
      <c r="AA66" s="9">
        <f>VLOOKUP($A66,'[1]24-8-24 DATA ENTRY'!$A$1:$BR$258,26,FALSE)</f>
        <v>12.81</v>
      </c>
      <c r="AB66" s="9">
        <f>VLOOKUP($A66,'[1]24-8-24 DATA ENTRY'!$A$1:$BR$258,27,FALSE)</f>
        <v>7.3</v>
      </c>
      <c r="AC66" s="9">
        <f>VLOOKUP($A66,'[1]24-8-24 DATA ENTRY'!$A$1:$BR$258,28,FALSE)</f>
        <v>207</v>
      </c>
      <c r="AD66" s="9">
        <f>VLOOKUP($A66,'[1]24-8-24 DATA ENTRY'!$A$1:$BR$258,29,FALSE)</f>
        <v>148</v>
      </c>
      <c r="AE66" s="9">
        <f>VLOOKUP($A66,'[1]24-8-24 DATA ENTRY'!$A$1:$BR$258,30,FALSE)</f>
        <v>40</v>
      </c>
      <c r="AF66" s="9">
        <f>VLOOKUP($A66,'[1]24-8-24 DATA ENTRY'!$A$1:$BR$258,31,FALSE)</f>
        <v>19</v>
      </c>
      <c r="AG66" s="9">
        <f>VLOOKUP($A66,'[1]24-8-24 DATA ENTRY'!$A$1:$BR$258,32,FALSE)</f>
        <v>95</v>
      </c>
      <c r="AH66" s="9">
        <f>VLOOKUP($A66,'[1]24-8-24 DATA ENTRY'!$A$1:$BR$258,33,FALSE)</f>
        <v>224</v>
      </c>
      <c r="AI66" s="9">
        <f>VLOOKUP($A66,'[1]24-8-24 DATA ENTRY'!$A$1:$BR$258,34,FALSE)</f>
        <v>0</v>
      </c>
      <c r="AJ66" s="9">
        <f>VLOOKUP($A66,'[1]24-8-24 DATA ENTRY'!$A$1:$BR$258,35,FALSE)</f>
        <v>0</v>
      </c>
      <c r="AK66" s="9" t="str">
        <f>VLOOKUP($A66,'[1]24-8-24 DATA ENTRY'!$A$1:$BR$258,36,FALSE)</f>
        <v>left recurrent artery of huebener infarct and left internal watershed infarct</v>
      </c>
      <c r="AL66" s="9" t="str">
        <f>VLOOKUP($A66,'[1]24-8-24 DATA ENTRY'!$A$1:$BR$258,37,FALSE)</f>
        <v>involvinf high frontal cortex, head of rt caudate nucelus and anterior part of putamen, Atherosclerotic plaque causing complete luminal narrowing at the origin of the rt ICA non visualized of the rt ICA and Rt MCA</v>
      </c>
      <c r="AM66" s="9">
        <f>VLOOKUP($A66,'[1]24-8-24 DATA ENTRY'!$A$1:$BR$258,38,FALSE)</f>
        <v>0</v>
      </c>
      <c r="AN66" s="9">
        <f>VLOOKUP($A66,'[1]24-8-24 DATA ENTRY'!$A$1:$BR$258,39,FALSE)</f>
        <v>8</v>
      </c>
      <c r="AO66" s="9">
        <f>VLOOKUP($A66,'[1]24-8-24 DATA ENTRY'!$A$1:$BR$258,40,FALSE)</f>
        <v>1</v>
      </c>
      <c r="AP66" s="9">
        <f>VLOOKUP($A66,'[1]24-8-24 DATA ENTRY'!$A$1:$BR$258,41,FALSE)</f>
        <v>3</v>
      </c>
      <c r="AQ66" s="9">
        <f>VLOOKUP($A66,'[1]24-8-24 DATA ENTRY'!$A$1:$BR$258,42,FALSE)</f>
        <v>3</v>
      </c>
      <c r="AR66" s="9">
        <f>VLOOKUP($A66,'[1]24-8-24 DATA ENTRY'!$A$1:$BR$258,43,FALSE)</f>
        <v>4</v>
      </c>
      <c r="AS66" s="9">
        <f>VLOOKUP($A66,'[1]24-8-24 DATA ENTRY'!$A$1:$BR$258,44,FALSE)</f>
        <v>0</v>
      </c>
      <c r="AT66" s="9">
        <f>VLOOKUP($A66,'[1]24-8-24 DATA ENTRY'!$A$1:$BR$258,45,FALSE)</f>
        <v>1</v>
      </c>
      <c r="AU66" s="9">
        <f>VLOOKUP($A66,'[1]24-8-24 DATA ENTRY'!$A$1:$BR$258,46,FALSE)</f>
        <v>1</v>
      </c>
      <c r="AV66" s="9">
        <f>VLOOKUP($A66,'[1]24-8-24 DATA ENTRY'!$A$1:$BR$258,47,FALSE)</f>
        <v>2</v>
      </c>
      <c r="AW66" s="9">
        <f>VLOOKUP($A66,'[1]24-8-24 DATA ENTRY'!$A$1:$BR$258,48,FALSE)</f>
        <v>0</v>
      </c>
      <c r="AX66" s="9">
        <f>VLOOKUP($A66,'[1]24-8-24 DATA ENTRY'!$A$1:$BR$258,49,FALSE)</f>
        <v>0</v>
      </c>
      <c r="AY66" s="9">
        <f>VLOOKUP($A66,'[1]24-8-24 DATA ENTRY'!$A$1:$BR$258,50,FALSE)</f>
        <v>0</v>
      </c>
      <c r="AZ66" s="9">
        <f>VLOOKUP($A66,'[1]24-8-24 DATA ENTRY'!$A$1:$BR$258,51,FALSE)</f>
        <v>0</v>
      </c>
      <c r="BA66" s="9">
        <f>VLOOKUP($A66,'[1]24-8-24 DATA ENTRY'!$A$1:$BR$258,52,FALSE)</f>
        <v>1</v>
      </c>
      <c r="BB66" s="5">
        <v>1</v>
      </c>
      <c r="BC66" s="9">
        <f>VLOOKUP($A66,'[1]24-8-24 DATA ENTRY'!$A$1:$BR$258,53,FALSE)</f>
        <v>95</v>
      </c>
      <c r="BD66" s="8">
        <v>0</v>
      </c>
      <c r="BE66" s="8">
        <v>2</v>
      </c>
      <c r="BF66" s="8">
        <v>2</v>
      </c>
      <c r="BG66" s="8">
        <v>2</v>
      </c>
      <c r="BH66" s="8">
        <v>1</v>
      </c>
      <c r="BI66" s="8">
        <v>1</v>
      </c>
      <c r="BJ66" s="8">
        <v>1</v>
      </c>
      <c r="BK66" s="8">
        <v>1</v>
      </c>
      <c r="BL66" s="8">
        <v>2</v>
      </c>
      <c r="BM66" s="8">
        <v>2</v>
      </c>
      <c r="BN66" s="8">
        <v>2</v>
      </c>
      <c r="BO66" s="8">
        <v>1</v>
      </c>
      <c r="BP66" s="8">
        <v>1</v>
      </c>
      <c r="BQ66" s="8">
        <v>1</v>
      </c>
      <c r="BR66" s="8">
        <v>19</v>
      </c>
      <c r="BS66" s="8">
        <v>1</v>
      </c>
      <c r="BT66" s="8">
        <v>0</v>
      </c>
      <c r="BU66" s="8" t="s">
        <v>332</v>
      </c>
    </row>
    <row r="67" spans="1:73" x14ac:dyDescent="0.25">
      <c r="A67" s="5" t="s">
        <v>395</v>
      </c>
      <c r="B67" s="5">
        <v>1</v>
      </c>
      <c r="C67" s="5">
        <v>6.4316899999999997</v>
      </c>
      <c r="D67" s="6">
        <v>230804300</v>
      </c>
      <c r="E67" s="5">
        <v>27</v>
      </c>
      <c r="F67" s="5">
        <v>2</v>
      </c>
      <c r="G67" s="7">
        <v>45165</v>
      </c>
      <c r="H67" s="11">
        <v>0.9375</v>
      </c>
      <c r="I67" s="7">
        <v>45165</v>
      </c>
      <c r="J67" s="7">
        <v>45168</v>
      </c>
      <c r="K67" s="5">
        <v>9371381501</v>
      </c>
      <c r="L67" s="5"/>
      <c r="M67" s="5">
        <v>6</v>
      </c>
      <c r="N67" s="5">
        <v>2</v>
      </c>
      <c r="O67" s="5">
        <v>2</v>
      </c>
      <c r="P67" s="5">
        <v>2</v>
      </c>
      <c r="Q67" s="5">
        <v>2</v>
      </c>
      <c r="R67" s="5">
        <v>1</v>
      </c>
      <c r="S67" s="5">
        <v>2</v>
      </c>
      <c r="T67" s="5">
        <v>2</v>
      </c>
      <c r="U67" s="5">
        <v>2</v>
      </c>
      <c r="V67" s="5">
        <v>2</v>
      </c>
      <c r="W67" s="5" t="s">
        <v>396</v>
      </c>
      <c r="X67" s="5">
        <v>9.6</v>
      </c>
      <c r="Y67" s="5">
        <v>31.4</v>
      </c>
      <c r="Z67" s="5"/>
      <c r="AA67" s="5">
        <v>11.35</v>
      </c>
      <c r="AB67" s="5">
        <v>5.3</v>
      </c>
      <c r="AC67" s="5">
        <v>125</v>
      </c>
      <c r="AD67" s="5">
        <v>66</v>
      </c>
      <c r="AE67" s="5">
        <v>34</v>
      </c>
      <c r="AF67" s="5">
        <v>24.2</v>
      </c>
      <c r="AG67" s="5">
        <v>121</v>
      </c>
      <c r="AH67" s="5"/>
      <c r="AI67" s="5"/>
      <c r="AJ67" s="5"/>
      <c r="AK67" s="5" t="s">
        <v>397</v>
      </c>
      <c r="AL67" s="5" t="s">
        <v>326</v>
      </c>
      <c r="AM67" s="5"/>
      <c r="AN67" s="5">
        <v>10</v>
      </c>
      <c r="AO67" s="5" t="s">
        <v>721</v>
      </c>
      <c r="AP67" s="5">
        <v>1</v>
      </c>
      <c r="AQ67" s="5">
        <v>1</v>
      </c>
      <c r="AR67" s="5">
        <v>4</v>
      </c>
      <c r="AS67" s="5"/>
      <c r="AT67" s="5">
        <v>1</v>
      </c>
      <c r="AU67" s="5">
        <v>1</v>
      </c>
      <c r="AV67" s="5">
        <v>2</v>
      </c>
      <c r="AW67" s="5">
        <v>4</v>
      </c>
      <c r="AX67" s="5">
        <v>8</v>
      </c>
      <c r="AY67" s="5">
        <v>2</v>
      </c>
      <c r="AZ67" s="5">
        <v>2</v>
      </c>
      <c r="BA67" s="5">
        <v>1</v>
      </c>
      <c r="BB67" s="5">
        <v>1</v>
      </c>
      <c r="BC67" s="5">
        <v>90</v>
      </c>
      <c r="BD67" s="5">
        <v>1</v>
      </c>
      <c r="BE67" s="5">
        <v>2</v>
      </c>
      <c r="BF67" s="5">
        <v>2</v>
      </c>
      <c r="BG67" s="5">
        <v>2</v>
      </c>
      <c r="BH67" s="5">
        <v>1</v>
      </c>
      <c r="BI67" s="5">
        <v>1</v>
      </c>
      <c r="BJ67" s="5">
        <v>1</v>
      </c>
      <c r="BK67" s="5">
        <v>1</v>
      </c>
      <c r="BL67" s="5">
        <v>2</v>
      </c>
      <c r="BM67" s="5">
        <v>2</v>
      </c>
      <c r="BN67" s="5">
        <v>2</v>
      </c>
      <c r="BO67" s="5">
        <v>1</v>
      </c>
      <c r="BP67" s="5">
        <v>1</v>
      </c>
      <c r="BQ67" s="5">
        <v>1</v>
      </c>
      <c r="BR67" s="5">
        <v>20</v>
      </c>
      <c r="BS67" s="5">
        <v>1</v>
      </c>
      <c r="BT67" s="5">
        <v>1</v>
      </c>
      <c r="BU67" s="5"/>
    </row>
    <row r="68" spans="1:73" x14ac:dyDescent="0.25">
      <c r="A68" s="5" t="s">
        <v>398</v>
      </c>
      <c r="B68" s="5">
        <v>1</v>
      </c>
      <c r="C68" s="5">
        <v>6.5866699999999998</v>
      </c>
      <c r="D68" s="6">
        <v>210404526</v>
      </c>
      <c r="E68" s="5">
        <v>66</v>
      </c>
      <c r="F68" s="5">
        <v>1</v>
      </c>
      <c r="G68" s="7">
        <v>45148</v>
      </c>
      <c r="H68" s="11">
        <v>0.95833333333333337</v>
      </c>
      <c r="I68" s="7">
        <v>45150</v>
      </c>
      <c r="J68" s="7">
        <v>45152</v>
      </c>
      <c r="K68" s="5">
        <v>7350328794</v>
      </c>
      <c r="L68" s="5"/>
      <c r="M68" s="5">
        <v>1</v>
      </c>
      <c r="N68" s="5">
        <v>1</v>
      </c>
      <c r="O68" s="5">
        <v>1</v>
      </c>
      <c r="P68" s="5">
        <v>2</v>
      </c>
      <c r="Q68" s="5">
        <v>2</v>
      </c>
      <c r="R68" s="5">
        <v>2</v>
      </c>
      <c r="S68" s="5">
        <v>2</v>
      </c>
      <c r="T68" s="5">
        <v>2</v>
      </c>
      <c r="U68" s="5">
        <v>2</v>
      </c>
      <c r="V68" s="5">
        <v>2</v>
      </c>
      <c r="W68" s="5"/>
      <c r="X68" s="5">
        <v>11</v>
      </c>
      <c r="Y68" s="5">
        <v>33.799999999999997</v>
      </c>
      <c r="Z68" s="5">
        <v>82</v>
      </c>
      <c r="AA68" s="5"/>
      <c r="AB68" s="5">
        <v>9.8000000000000007</v>
      </c>
      <c r="AC68" s="5">
        <v>169</v>
      </c>
      <c r="AD68" s="5">
        <v>124.4</v>
      </c>
      <c r="AE68" s="5">
        <v>21</v>
      </c>
      <c r="AF68" s="5">
        <v>23.6</v>
      </c>
      <c r="AG68" s="5">
        <v>118</v>
      </c>
      <c r="AH68" s="5">
        <v>148</v>
      </c>
      <c r="AI68" s="5"/>
      <c r="AJ68" s="5"/>
      <c r="AK68" s="5" t="s">
        <v>399</v>
      </c>
      <c r="AL68" s="5" t="s">
        <v>400</v>
      </c>
      <c r="AM68" s="5"/>
      <c r="AN68" s="5">
        <v>9</v>
      </c>
      <c r="AO68" s="5" t="s">
        <v>720</v>
      </c>
      <c r="AP68" s="5">
        <v>3</v>
      </c>
      <c r="AQ68" s="5">
        <v>2</v>
      </c>
      <c r="AR68" s="5">
        <v>5</v>
      </c>
      <c r="AS68" s="5"/>
      <c r="AT68" s="5">
        <v>1</v>
      </c>
      <c r="AU68" s="5">
        <v>1</v>
      </c>
      <c r="AV68" s="5"/>
      <c r="AW68" s="5"/>
      <c r="AX68" s="5"/>
      <c r="AY68" s="5"/>
      <c r="AZ68" s="5"/>
      <c r="BA68" s="5">
        <v>1</v>
      </c>
      <c r="BB68" s="5">
        <v>1</v>
      </c>
      <c r="BC68" s="5">
        <v>90</v>
      </c>
      <c r="BD68" s="5">
        <v>1</v>
      </c>
      <c r="BE68" s="5">
        <v>2</v>
      </c>
      <c r="BF68" s="5">
        <v>2</v>
      </c>
      <c r="BG68" s="5">
        <v>2</v>
      </c>
      <c r="BH68" s="5">
        <v>1</v>
      </c>
      <c r="BI68" s="5">
        <v>1</v>
      </c>
      <c r="BJ68" s="5">
        <v>1</v>
      </c>
      <c r="BK68" s="5">
        <v>1</v>
      </c>
      <c r="BL68" s="5">
        <v>2</v>
      </c>
      <c r="BM68" s="5">
        <v>2</v>
      </c>
      <c r="BN68" s="5">
        <v>2</v>
      </c>
      <c r="BO68" s="5">
        <v>1</v>
      </c>
      <c r="BP68" s="5">
        <v>1</v>
      </c>
      <c r="BQ68" s="5">
        <v>1</v>
      </c>
      <c r="BR68" s="5">
        <v>20</v>
      </c>
      <c r="BS68" s="5">
        <v>1</v>
      </c>
      <c r="BT68" s="5">
        <v>1</v>
      </c>
      <c r="BU68" s="5"/>
    </row>
    <row r="69" spans="1:73" x14ac:dyDescent="0.25">
      <c r="A69" s="5" t="s">
        <v>401</v>
      </c>
      <c r="B69" s="5">
        <v>1</v>
      </c>
      <c r="C69" s="5">
        <v>6.6254099999999996</v>
      </c>
      <c r="D69" s="6">
        <v>160602949</v>
      </c>
      <c r="E69" s="5">
        <v>72</v>
      </c>
      <c r="F69" s="5">
        <v>2</v>
      </c>
      <c r="G69" s="7"/>
      <c r="H69" s="5"/>
      <c r="I69" s="7">
        <v>44939</v>
      </c>
      <c r="J69" s="7">
        <v>44943</v>
      </c>
      <c r="K69" s="5"/>
      <c r="L69" s="5"/>
      <c r="M69" s="5">
        <v>7</v>
      </c>
      <c r="N69" s="5">
        <v>1</v>
      </c>
      <c r="O69" s="5">
        <v>2</v>
      </c>
      <c r="P69" s="5">
        <v>2</v>
      </c>
      <c r="Q69" s="5">
        <v>2</v>
      </c>
      <c r="R69" s="5">
        <v>2</v>
      </c>
      <c r="S69" s="5">
        <v>2</v>
      </c>
      <c r="T69" s="5">
        <v>2</v>
      </c>
      <c r="U69" s="5">
        <v>2</v>
      </c>
      <c r="V69" s="5">
        <v>2</v>
      </c>
      <c r="W69" s="5" t="s">
        <v>402</v>
      </c>
      <c r="X69" s="5">
        <v>11.5</v>
      </c>
      <c r="Y69" s="5">
        <v>32.799999999999997</v>
      </c>
      <c r="Z69" s="5"/>
      <c r="AA69" s="5">
        <v>25</v>
      </c>
      <c r="AB69" s="5">
        <v>5.5</v>
      </c>
      <c r="AC69" s="5"/>
      <c r="AD69" s="5"/>
      <c r="AE69" s="5"/>
      <c r="AF69" s="5"/>
      <c r="AG69" s="5"/>
      <c r="AH69" s="5">
        <v>148</v>
      </c>
      <c r="AI69" s="5" t="s">
        <v>403</v>
      </c>
      <c r="AJ69" s="5"/>
      <c r="AK69" s="5" t="s">
        <v>404</v>
      </c>
      <c r="AL69" s="5" t="s">
        <v>405</v>
      </c>
      <c r="AM69" s="5"/>
      <c r="AN69" s="5">
        <v>9</v>
      </c>
      <c r="AO69" s="5">
        <v>1</v>
      </c>
      <c r="AP69" s="5">
        <v>3</v>
      </c>
      <c r="AQ69" s="5">
        <v>3</v>
      </c>
      <c r="AR69" s="5">
        <v>5</v>
      </c>
      <c r="AS69" s="5"/>
      <c r="AT69" s="5">
        <v>1</v>
      </c>
      <c r="AU69" s="5">
        <v>1</v>
      </c>
      <c r="AV69" s="5">
        <v>2</v>
      </c>
      <c r="AW69" s="5">
        <v>4</v>
      </c>
      <c r="AX69" s="5">
        <v>8</v>
      </c>
      <c r="AY69" s="5">
        <v>2</v>
      </c>
      <c r="AZ69" s="5">
        <v>2</v>
      </c>
      <c r="BA69" s="5">
        <v>1</v>
      </c>
      <c r="BB69" s="5">
        <v>1</v>
      </c>
      <c r="BC69" s="5">
        <v>95</v>
      </c>
      <c r="BD69" s="5">
        <v>1</v>
      </c>
      <c r="BE69" s="5">
        <v>2</v>
      </c>
      <c r="BF69" s="5">
        <v>2</v>
      </c>
      <c r="BG69" s="5">
        <v>2</v>
      </c>
      <c r="BH69" s="5">
        <v>1</v>
      </c>
      <c r="BI69" s="5">
        <v>1</v>
      </c>
      <c r="BJ69" s="5">
        <v>1</v>
      </c>
      <c r="BK69" s="5">
        <v>1</v>
      </c>
      <c r="BL69" s="5">
        <v>2</v>
      </c>
      <c r="BM69" s="5">
        <v>2</v>
      </c>
      <c r="BN69" s="5">
        <v>2</v>
      </c>
      <c r="BO69" s="5">
        <v>1</v>
      </c>
      <c r="BP69" s="5">
        <v>1</v>
      </c>
      <c r="BQ69" s="5">
        <v>1</v>
      </c>
      <c r="BR69" s="5">
        <v>20</v>
      </c>
      <c r="BS69" s="5">
        <v>1</v>
      </c>
      <c r="BT69" s="5">
        <v>1</v>
      </c>
      <c r="BU69" s="5"/>
    </row>
    <row r="70" spans="1:73" x14ac:dyDescent="0.25">
      <c r="A70" s="5" t="s">
        <v>406</v>
      </c>
      <c r="B70" s="5">
        <v>1</v>
      </c>
      <c r="C70" s="5">
        <v>6.8245399999999998</v>
      </c>
      <c r="D70" s="6">
        <v>230503001</v>
      </c>
      <c r="E70" s="5">
        <v>77</v>
      </c>
      <c r="F70" s="5">
        <v>2</v>
      </c>
      <c r="G70" s="7"/>
      <c r="H70" s="5"/>
      <c r="I70" s="7">
        <v>45068</v>
      </c>
      <c r="J70" s="7">
        <v>45070</v>
      </c>
      <c r="K70" s="5">
        <v>7722077659</v>
      </c>
      <c r="L70" s="5"/>
      <c r="M70" s="5">
        <v>6</v>
      </c>
      <c r="N70" s="5">
        <v>2</v>
      </c>
      <c r="O70" s="5">
        <v>2</v>
      </c>
      <c r="P70" s="5">
        <v>2</v>
      </c>
      <c r="Q70" s="5">
        <v>2</v>
      </c>
      <c r="R70" s="5">
        <v>2</v>
      </c>
      <c r="S70" s="5">
        <v>2</v>
      </c>
      <c r="T70" s="5">
        <v>2</v>
      </c>
      <c r="U70" s="5">
        <v>2</v>
      </c>
      <c r="V70" s="5">
        <v>2</v>
      </c>
      <c r="W70" s="5"/>
      <c r="X70" s="5">
        <v>11.7</v>
      </c>
      <c r="Y70" s="5">
        <v>35.299999999999997</v>
      </c>
      <c r="Z70" s="5"/>
      <c r="AA70" s="5">
        <v>12.81</v>
      </c>
      <c r="AB70" s="5">
        <v>5.2</v>
      </c>
      <c r="AC70" s="5">
        <v>239</v>
      </c>
      <c r="AD70" s="5">
        <v>168</v>
      </c>
      <c r="AE70" s="5">
        <v>57</v>
      </c>
      <c r="AF70" s="5">
        <v>14</v>
      </c>
      <c r="AG70" s="5">
        <v>70</v>
      </c>
      <c r="AH70" s="5">
        <v>449</v>
      </c>
      <c r="AI70" s="5"/>
      <c r="AJ70" s="5"/>
      <c r="AK70" s="5" t="s">
        <v>407</v>
      </c>
      <c r="AL70" s="5"/>
      <c r="AM70" s="5"/>
      <c r="AN70" s="5">
        <v>8</v>
      </c>
      <c r="AO70" s="5" t="s">
        <v>720</v>
      </c>
      <c r="AP70" s="5">
        <v>5</v>
      </c>
      <c r="AQ70" s="5">
        <v>3</v>
      </c>
      <c r="AR70" s="5">
        <v>5</v>
      </c>
      <c r="AS70" s="5"/>
      <c r="AT70" s="5">
        <v>1</v>
      </c>
      <c r="AU70" s="5">
        <v>1</v>
      </c>
      <c r="AV70" s="5">
        <v>2</v>
      </c>
      <c r="AW70" s="5"/>
      <c r="AX70" s="5"/>
      <c r="AY70" s="5"/>
      <c r="AZ70" s="5"/>
      <c r="BA70" s="5">
        <v>1</v>
      </c>
      <c r="BB70" s="5">
        <v>1</v>
      </c>
      <c r="BC70" s="5">
        <v>95</v>
      </c>
      <c r="BD70" s="5">
        <v>1</v>
      </c>
      <c r="BE70" s="5">
        <v>2</v>
      </c>
      <c r="BF70" s="5">
        <v>2</v>
      </c>
      <c r="BG70" s="5">
        <v>2</v>
      </c>
      <c r="BH70" s="5">
        <v>1</v>
      </c>
      <c r="BI70" s="5">
        <v>1</v>
      </c>
      <c r="BJ70" s="5">
        <v>1</v>
      </c>
      <c r="BK70" s="5">
        <v>1</v>
      </c>
      <c r="BL70" s="5">
        <v>2</v>
      </c>
      <c r="BM70" s="5">
        <v>2</v>
      </c>
      <c r="BN70" s="5">
        <v>2</v>
      </c>
      <c r="BO70" s="5">
        <v>1</v>
      </c>
      <c r="BP70" s="5">
        <v>1</v>
      </c>
      <c r="BQ70" s="5">
        <v>1</v>
      </c>
      <c r="BR70" s="5">
        <v>20</v>
      </c>
      <c r="BS70" s="5">
        <v>1</v>
      </c>
      <c r="BT70" s="5">
        <v>1</v>
      </c>
      <c r="BU70" s="5"/>
    </row>
    <row r="71" spans="1:73" x14ac:dyDescent="0.25">
      <c r="A71" s="5" t="s">
        <v>246</v>
      </c>
      <c r="B71" s="5">
        <v>1</v>
      </c>
      <c r="C71" s="5">
        <v>6.8336800000000002</v>
      </c>
      <c r="D71" s="6">
        <v>24000023648</v>
      </c>
      <c r="E71" s="5">
        <v>84</v>
      </c>
      <c r="F71" s="5">
        <v>1</v>
      </c>
      <c r="G71" s="7" t="s">
        <v>247</v>
      </c>
      <c r="H71" s="20">
        <v>0.79166666666666663</v>
      </c>
      <c r="I71" s="7" t="s">
        <v>247</v>
      </c>
      <c r="J71" s="7"/>
      <c r="K71" s="5">
        <v>9762764356</v>
      </c>
      <c r="L71" s="5"/>
      <c r="M71" s="5">
        <v>7</v>
      </c>
      <c r="N71" s="5">
        <v>1</v>
      </c>
      <c r="O71" s="5">
        <v>2</v>
      </c>
      <c r="P71" s="5">
        <v>2</v>
      </c>
      <c r="Q71" s="5">
        <v>2</v>
      </c>
      <c r="R71" s="5">
        <v>2</v>
      </c>
      <c r="S71" s="5">
        <v>2</v>
      </c>
      <c r="T71" s="5">
        <v>2</v>
      </c>
      <c r="U71" s="5">
        <v>2</v>
      </c>
      <c r="V71" s="5">
        <v>2</v>
      </c>
      <c r="W71" s="5" t="s">
        <v>248</v>
      </c>
      <c r="X71" s="5">
        <v>13.1</v>
      </c>
      <c r="Y71" s="5">
        <v>37.799999999999997</v>
      </c>
      <c r="Z71" s="5">
        <v>90</v>
      </c>
      <c r="AA71" s="5"/>
      <c r="AB71" s="5">
        <v>5.5</v>
      </c>
      <c r="AC71" s="5">
        <v>229</v>
      </c>
      <c r="AD71" s="5"/>
      <c r="AE71" s="5">
        <v>35</v>
      </c>
      <c r="AF71" s="5">
        <v>157</v>
      </c>
      <c r="AG71" s="5">
        <v>31.4</v>
      </c>
      <c r="AH71" s="5">
        <v>421</v>
      </c>
      <c r="AI71" s="5"/>
      <c r="AJ71" s="5"/>
      <c r="AK71" s="5" t="s">
        <v>249</v>
      </c>
      <c r="AL71" s="5" t="s">
        <v>250</v>
      </c>
      <c r="AM71" s="5"/>
      <c r="AN71" s="5">
        <v>10</v>
      </c>
      <c r="AO71" s="5">
        <v>1</v>
      </c>
      <c r="AP71" s="5">
        <v>2</v>
      </c>
      <c r="AQ71" s="5">
        <v>3</v>
      </c>
      <c r="AR71" s="5">
        <v>4</v>
      </c>
      <c r="AS71" s="5"/>
      <c r="AT71" s="5">
        <v>1</v>
      </c>
      <c r="AU71" s="5">
        <v>2</v>
      </c>
      <c r="AV71" s="5">
        <v>1</v>
      </c>
      <c r="AW71" s="5">
        <v>1</v>
      </c>
      <c r="AX71" s="5"/>
      <c r="AY71" s="5">
        <v>2</v>
      </c>
      <c r="AZ71" s="5">
        <v>2</v>
      </c>
      <c r="BA71" s="5">
        <v>6</v>
      </c>
      <c r="BB71" s="5">
        <v>2</v>
      </c>
      <c r="BC71" s="5">
        <v>0</v>
      </c>
      <c r="BD71" s="5">
        <v>0</v>
      </c>
      <c r="BE71" s="5">
        <v>2</v>
      </c>
      <c r="BF71" s="5">
        <v>2</v>
      </c>
      <c r="BG71" s="5">
        <v>2</v>
      </c>
      <c r="BH71" s="5">
        <v>1</v>
      </c>
      <c r="BI71" s="5">
        <v>1</v>
      </c>
      <c r="BJ71" s="5">
        <v>1</v>
      </c>
      <c r="BK71" s="5">
        <v>0</v>
      </c>
      <c r="BL71" s="5">
        <v>2</v>
      </c>
      <c r="BM71" s="5">
        <v>2</v>
      </c>
      <c r="BN71" s="5">
        <v>2</v>
      </c>
      <c r="BO71" s="5">
        <v>1</v>
      </c>
      <c r="BP71" s="5">
        <v>1</v>
      </c>
      <c r="BQ71" s="5">
        <v>1</v>
      </c>
      <c r="BR71" s="5">
        <v>18</v>
      </c>
      <c r="BS71" s="5">
        <v>0</v>
      </c>
      <c r="BT71" s="5">
        <v>1</v>
      </c>
      <c r="BU71" s="5"/>
    </row>
    <row r="72" spans="1:73" x14ac:dyDescent="0.25">
      <c r="A72" s="5" t="s">
        <v>333</v>
      </c>
      <c r="B72" s="5">
        <v>1</v>
      </c>
      <c r="C72" s="5">
        <v>6.9935</v>
      </c>
      <c r="D72" s="6">
        <v>230402134</v>
      </c>
      <c r="E72" s="5">
        <v>58</v>
      </c>
      <c r="F72" s="5">
        <v>2</v>
      </c>
      <c r="G72" s="7"/>
      <c r="H72" s="5"/>
      <c r="I72" s="7">
        <v>45029</v>
      </c>
      <c r="J72" s="7">
        <v>45031</v>
      </c>
      <c r="K72" s="5">
        <v>9922230446</v>
      </c>
      <c r="L72" s="5"/>
      <c r="M72" s="5">
        <v>7</v>
      </c>
      <c r="N72" s="5">
        <v>1</v>
      </c>
      <c r="O72" s="5">
        <v>2</v>
      </c>
      <c r="P72" s="5">
        <v>2</v>
      </c>
      <c r="Q72" s="5">
        <v>2</v>
      </c>
      <c r="R72" s="5">
        <v>1</v>
      </c>
      <c r="S72" s="5">
        <v>2</v>
      </c>
      <c r="T72" s="5">
        <v>2</v>
      </c>
      <c r="U72" s="5">
        <v>2</v>
      </c>
      <c r="V72" s="5">
        <v>2</v>
      </c>
      <c r="W72" s="5"/>
      <c r="X72" s="5">
        <v>12</v>
      </c>
      <c r="Y72" s="5">
        <v>36.1</v>
      </c>
      <c r="Z72" s="5"/>
      <c r="AA72" s="5">
        <v>11.88</v>
      </c>
      <c r="AB72" s="5">
        <v>6</v>
      </c>
      <c r="AC72" s="5">
        <v>184</v>
      </c>
      <c r="AD72" s="5">
        <v>118.6</v>
      </c>
      <c r="AE72" s="5">
        <v>49</v>
      </c>
      <c r="AF72" s="5">
        <v>16.399999999999999</v>
      </c>
      <c r="AG72" s="5">
        <v>82</v>
      </c>
      <c r="AH72" s="5">
        <v>2000</v>
      </c>
      <c r="AI72" s="5" t="s">
        <v>334</v>
      </c>
      <c r="AJ72" s="5"/>
      <c r="AK72" s="5" t="s">
        <v>335</v>
      </c>
      <c r="AL72" s="5" t="s">
        <v>336</v>
      </c>
      <c r="AM72" s="5"/>
      <c r="AN72" s="5">
        <v>10</v>
      </c>
      <c r="AO72" s="5">
        <v>1</v>
      </c>
      <c r="AP72" s="5">
        <v>3</v>
      </c>
      <c r="AQ72" s="5">
        <v>3</v>
      </c>
      <c r="AR72" s="5">
        <v>5</v>
      </c>
      <c r="AS72" s="5"/>
      <c r="AT72" s="5">
        <v>1</v>
      </c>
      <c r="AU72" s="5">
        <v>1</v>
      </c>
      <c r="AV72" s="5">
        <v>2</v>
      </c>
      <c r="AW72" s="5"/>
      <c r="AX72" s="5"/>
      <c r="AY72" s="5"/>
      <c r="AZ72" s="5"/>
      <c r="BA72" s="5">
        <v>1</v>
      </c>
      <c r="BB72" s="5">
        <v>1</v>
      </c>
      <c r="BC72" s="5">
        <v>95</v>
      </c>
      <c r="BD72" s="5">
        <v>1</v>
      </c>
      <c r="BE72" s="5">
        <v>2</v>
      </c>
      <c r="BF72" s="5">
        <v>2</v>
      </c>
      <c r="BG72" s="5">
        <v>2</v>
      </c>
      <c r="BH72" s="5">
        <v>1</v>
      </c>
      <c r="BI72" s="5">
        <v>1</v>
      </c>
      <c r="BJ72" s="5">
        <v>1</v>
      </c>
      <c r="BK72" s="5">
        <v>1</v>
      </c>
      <c r="BL72" s="5">
        <v>2</v>
      </c>
      <c r="BM72" s="5">
        <v>2</v>
      </c>
      <c r="BN72" s="5">
        <v>1</v>
      </c>
      <c r="BO72" s="5">
        <v>1</v>
      </c>
      <c r="BP72" s="5">
        <v>1</v>
      </c>
      <c r="BQ72" s="5">
        <v>1</v>
      </c>
      <c r="BR72" s="5">
        <v>19</v>
      </c>
      <c r="BS72" s="5">
        <v>1</v>
      </c>
      <c r="BT72" s="5">
        <v>1</v>
      </c>
      <c r="BU72" s="5"/>
    </row>
    <row r="73" spans="1:73" x14ac:dyDescent="0.25">
      <c r="A73" s="5" t="s">
        <v>408</v>
      </c>
      <c r="B73" s="5">
        <v>1</v>
      </c>
      <c r="C73" s="5">
        <v>7.00319</v>
      </c>
      <c r="D73" s="6">
        <v>230000000000</v>
      </c>
      <c r="E73" s="5">
        <v>61</v>
      </c>
      <c r="F73" s="5">
        <v>2</v>
      </c>
      <c r="G73" s="7">
        <v>45279</v>
      </c>
      <c r="H73" s="11">
        <v>0.29166666666666669</v>
      </c>
      <c r="I73" s="7">
        <v>45281</v>
      </c>
      <c r="J73" s="7">
        <v>45288</v>
      </c>
      <c r="K73" s="5">
        <v>9860267622</v>
      </c>
      <c r="L73" s="5">
        <v>28122023</v>
      </c>
      <c r="M73" s="5">
        <v>25</v>
      </c>
      <c r="N73" s="5">
        <v>1</v>
      </c>
      <c r="O73" s="5">
        <v>1</v>
      </c>
      <c r="P73" s="5">
        <v>2</v>
      </c>
      <c r="Q73" s="5">
        <v>2</v>
      </c>
      <c r="R73" s="5">
        <v>2</v>
      </c>
      <c r="S73" s="5">
        <v>2</v>
      </c>
      <c r="T73" s="5">
        <v>2</v>
      </c>
      <c r="U73" s="5">
        <v>2</v>
      </c>
      <c r="V73" s="5">
        <v>2</v>
      </c>
      <c r="W73" s="5"/>
      <c r="X73" s="5">
        <v>9.3000000000000007</v>
      </c>
      <c r="Y73" s="5">
        <v>28.4</v>
      </c>
      <c r="Z73" s="5">
        <v>82</v>
      </c>
      <c r="AA73" s="5">
        <v>14.96</v>
      </c>
      <c r="AB73" s="5">
        <v>6</v>
      </c>
      <c r="AC73" s="5">
        <v>221</v>
      </c>
      <c r="AD73" s="5">
        <v>156.80000000000001</v>
      </c>
      <c r="AE73" s="5">
        <v>29</v>
      </c>
      <c r="AF73" s="5">
        <v>35.200000000000003</v>
      </c>
      <c r="AG73" s="5">
        <v>176</v>
      </c>
      <c r="AH73" s="5">
        <v>352</v>
      </c>
      <c r="AI73" s="5"/>
      <c r="AJ73" s="5"/>
      <c r="AK73" s="5" t="s">
        <v>409</v>
      </c>
      <c r="AL73" s="5" t="s">
        <v>410</v>
      </c>
      <c r="AM73" s="5"/>
      <c r="AN73" s="5">
        <v>7</v>
      </c>
      <c r="AO73" s="5">
        <v>1</v>
      </c>
      <c r="AP73" s="5">
        <v>3</v>
      </c>
      <c r="AQ73" s="5">
        <v>3</v>
      </c>
      <c r="AR73" s="5">
        <v>5</v>
      </c>
      <c r="AS73" s="5"/>
      <c r="AT73" s="5">
        <v>1</v>
      </c>
      <c r="AU73" s="5">
        <v>1</v>
      </c>
      <c r="AV73" s="5">
        <v>2</v>
      </c>
      <c r="AW73" s="5"/>
      <c r="AX73" s="5"/>
      <c r="AY73" s="5"/>
      <c r="AZ73" s="5"/>
      <c r="BA73" s="5">
        <v>1</v>
      </c>
      <c r="BB73" s="5">
        <v>1</v>
      </c>
      <c r="BC73" s="5">
        <v>95</v>
      </c>
      <c r="BD73" s="5">
        <v>1</v>
      </c>
      <c r="BE73" s="5">
        <v>2</v>
      </c>
      <c r="BF73" s="5">
        <v>2</v>
      </c>
      <c r="BG73" s="5">
        <v>2</v>
      </c>
      <c r="BH73" s="5">
        <v>1</v>
      </c>
      <c r="BI73" s="5">
        <v>1</v>
      </c>
      <c r="BJ73" s="5">
        <v>1</v>
      </c>
      <c r="BK73" s="5">
        <v>1</v>
      </c>
      <c r="BL73" s="5">
        <v>2</v>
      </c>
      <c r="BM73" s="5">
        <v>2</v>
      </c>
      <c r="BN73" s="5">
        <v>2</v>
      </c>
      <c r="BO73" s="5">
        <v>1</v>
      </c>
      <c r="BP73" s="5">
        <v>1</v>
      </c>
      <c r="BQ73" s="5">
        <v>1</v>
      </c>
      <c r="BR73" s="5">
        <v>20</v>
      </c>
      <c r="BS73" s="5">
        <v>1</v>
      </c>
      <c r="BT73" s="5">
        <v>1</v>
      </c>
      <c r="BU73" s="5"/>
    </row>
    <row r="74" spans="1:73" x14ac:dyDescent="0.25">
      <c r="A74" s="12" t="s">
        <v>411</v>
      </c>
      <c r="B74" s="5">
        <v>1</v>
      </c>
      <c r="C74" s="12">
        <v>7.0903499999999999</v>
      </c>
      <c r="D74" s="13">
        <v>230700099</v>
      </c>
      <c r="E74" s="12">
        <v>63</v>
      </c>
      <c r="F74" s="12">
        <v>1</v>
      </c>
      <c r="G74" s="14" t="s">
        <v>412</v>
      </c>
      <c r="H74" s="12"/>
      <c r="I74" s="14">
        <v>45108</v>
      </c>
      <c r="J74" s="14">
        <v>45117</v>
      </c>
      <c r="K74" s="12">
        <v>8208668443</v>
      </c>
      <c r="L74" s="12"/>
      <c r="M74" s="12">
        <v>1</v>
      </c>
      <c r="N74" s="12">
        <v>2</v>
      </c>
      <c r="O74" s="12">
        <v>2</v>
      </c>
      <c r="P74" s="12">
        <v>2</v>
      </c>
      <c r="Q74" s="12">
        <v>2</v>
      </c>
      <c r="R74" s="12">
        <v>2</v>
      </c>
      <c r="S74" s="12">
        <v>2</v>
      </c>
      <c r="T74" s="12">
        <v>2</v>
      </c>
      <c r="U74" s="12">
        <v>2</v>
      </c>
      <c r="V74" s="12">
        <v>2</v>
      </c>
      <c r="W74" s="12"/>
      <c r="X74" s="12">
        <v>9.8000000000000007</v>
      </c>
      <c r="Y74" s="12">
        <v>47</v>
      </c>
      <c r="Z74" s="12">
        <v>85.9</v>
      </c>
      <c r="AA74" s="12">
        <v>7.63</v>
      </c>
      <c r="AB74" s="12">
        <v>7</v>
      </c>
      <c r="AC74" s="12"/>
      <c r="AD74" s="12"/>
      <c r="AE74" s="12"/>
      <c r="AF74" s="12"/>
      <c r="AG74" s="12"/>
      <c r="AH74" s="12">
        <v>1777</v>
      </c>
      <c r="AI74" s="12"/>
      <c r="AJ74" s="12"/>
      <c r="AK74" s="12" t="s">
        <v>413</v>
      </c>
      <c r="AL74" s="12"/>
      <c r="AM74" s="12"/>
      <c r="AN74" s="12"/>
      <c r="AO74" s="12">
        <v>9</v>
      </c>
      <c r="AP74" s="12" t="s">
        <v>720</v>
      </c>
      <c r="AQ74" s="12">
        <v>3</v>
      </c>
      <c r="AR74" s="12">
        <v>2</v>
      </c>
      <c r="AS74" s="12">
        <v>5</v>
      </c>
      <c r="AT74" s="12">
        <v>1</v>
      </c>
      <c r="AU74" s="12">
        <v>1</v>
      </c>
      <c r="AV74" s="12">
        <v>2</v>
      </c>
      <c r="AW74" s="12"/>
      <c r="AX74" s="12"/>
      <c r="AY74" s="12"/>
      <c r="AZ74" s="12"/>
      <c r="BA74" s="12">
        <v>6</v>
      </c>
      <c r="BB74" s="5">
        <v>2</v>
      </c>
      <c r="BC74" s="12">
        <v>0</v>
      </c>
      <c r="BD74" s="12">
        <v>1</v>
      </c>
      <c r="BE74" s="12">
        <v>2</v>
      </c>
      <c r="BF74" s="12">
        <v>2</v>
      </c>
      <c r="BG74" s="12">
        <v>2</v>
      </c>
      <c r="BH74" s="12">
        <v>1</v>
      </c>
      <c r="BI74" s="12">
        <v>1</v>
      </c>
      <c r="BJ74" s="12">
        <v>1</v>
      </c>
      <c r="BK74" s="12">
        <v>1</v>
      </c>
      <c r="BL74" s="12">
        <v>2</v>
      </c>
      <c r="BM74" s="12">
        <v>2</v>
      </c>
      <c r="BN74" s="12">
        <v>2</v>
      </c>
      <c r="BO74" s="12">
        <v>1</v>
      </c>
      <c r="BP74" s="12">
        <v>1</v>
      </c>
      <c r="BQ74" s="12">
        <v>1</v>
      </c>
      <c r="BR74" s="12">
        <v>20</v>
      </c>
      <c r="BS74" s="12">
        <v>1</v>
      </c>
      <c r="BT74" s="12">
        <v>1</v>
      </c>
      <c r="BU74" s="12"/>
    </row>
    <row r="75" spans="1:73" x14ac:dyDescent="0.25">
      <c r="A75" s="5" t="s">
        <v>498</v>
      </c>
      <c r="B75" s="5">
        <v>0</v>
      </c>
      <c r="C75" s="5">
        <v>7.3615700000000004</v>
      </c>
      <c r="D75" s="18">
        <f>VLOOKUP($A75,'[1]24-8-24 DATA ENTRY'!$A$1:$BR$258,3,FALSE)</f>
        <v>230000023836</v>
      </c>
      <c r="E75" s="18">
        <f>VLOOKUP($A75,'[1]24-8-24 DATA ENTRY'!$A$1:$BR$258,4,FALSE)</f>
        <v>74</v>
      </c>
      <c r="F75" s="18">
        <f>VLOOKUP($A75,'[1]24-8-24 DATA ENTRY'!$A$1:$BR$258,5,FALSE)</f>
        <v>1</v>
      </c>
      <c r="G75" s="19">
        <f>VLOOKUP($A75,'[1]24-8-24 DATA ENTRY'!$A$1:$BR$258,6,FALSE)</f>
        <v>0</v>
      </c>
      <c r="H75" s="18">
        <f>VLOOKUP($A75,'[1]24-8-24 DATA ENTRY'!$A$1:$BR$258,7,FALSE)</f>
        <v>0</v>
      </c>
      <c r="I75" s="19">
        <f>VLOOKUP($A75,'[1]24-8-24 DATA ENTRY'!$A$1:$BR$258,8,FALSE)</f>
        <v>45384</v>
      </c>
      <c r="J75" s="19">
        <f>VLOOKUP($A75,'[1]24-8-24 DATA ENTRY'!$A$1:$BR$258,9,FALSE)</f>
        <v>0</v>
      </c>
      <c r="K75" s="18">
        <f>VLOOKUP($A75,'[1]24-8-24 DATA ENTRY'!$A$1:$BR$258,10,FALSE)</f>
        <v>9011783896</v>
      </c>
      <c r="L75" s="18">
        <f>VLOOKUP($A75,'[1]24-8-24 DATA ENTRY'!$A$1:$BR$258,11,FALSE)</f>
        <v>0</v>
      </c>
      <c r="M75" s="18">
        <f>VLOOKUP($A75,'[1]24-8-24 DATA ENTRY'!$A$1:$BR$258,12,FALSE)</f>
        <v>15</v>
      </c>
      <c r="N75" s="18">
        <f>VLOOKUP($A75,'[1]24-8-24 DATA ENTRY'!$A$1:$BR$258,13,FALSE)</f>
        <v>1</v>
      </c>
      <c r="O75" s="18">
        <f>VLOOKUP($A75,'[1]24-8-24 DATA ENTRY'!$A$1:$BR$258,14,FALSE)</f>
        <v>1</v>
      </c>
      <c r="P75" s="18">
        <f>VLOOKUP($A75,'[1]24-8-24 DATA ENTRY'!$A$1:$BR$258,15,FALSE)</f>
        <v>2</v>
      </c>
      <c r="Q75" s="18">
        <f>VLOOKUP($A75,'[1]24-8-24 DATA ENTRY'!$A$1:$BR$258,16,FALSE)</f>
        <v>2</v>
      </c>
      <c r="R75" s="18">
        <f>VLOOKUP($A75,'[1]24-8-24 DATA ENTRY'!$A$1:$BR$258,17,FALSE)</f>
        <v>2</v>
      </c>
      <c r="S75" s="18">
        <f>VLOOKUP($A75,'[1]24-8-24 DATA ENTRY'!$A$1:$BR$258,18,FALSE)</f>
        <v>2</v>
      </c>
      <c r="T75" s="18">
        <f>VLOOKUP($A75,'[1]24-8-24 DATA ENTRY'!$A$1:$BR$258,19,FALSE)</f>
        <v>2</v>
      </c>
      <c r="U75" s="18">
        <f>VLOOKUP($A75,'[1]24-8-24 DATA ENTRY'!$A$1:$BR$258,20,FALSE)</f>
        <v>1</v>
      </c>
      <c r="V75" s="18">
        <f>VLOOKUP($A75,'[1]24-8-24 DATA ENTRY'!$A$1:$BR$258,21,FALSE)</f>
        <v>2</v>
      </c>
      <c r="W75" s="18" t="str">
        <f>VLOOKUP($A75,'[1]24-8-24 DATA ENTRY'!$A$1:$BR$258,22,FALSE)</f>
        <v>peripheral vascular disease</v>
      </c>
      <c r="X75" s="18">
        <f>VLOOKUP($A75,'[1]24-8-24 DATA ENTRY'!$A$1:$BR$258,23,FALSE)</f>
        <v>9.9</v>
      </c>
      <c r="Y75" s="18">
        <f>VLOOKUP($A75,'[1]24-8-24 DATA ENTRY'!$A$1:$BR$258,24,FALSE)</f>
        <v>30.3</v>
      </c>
      <c r="Z75" s="18">
        <f>VLOOKUP($A75,'[1]24-8-24 DATA ENTRY'!$A$1:$BR$258,25,FALSE)</f>
        <v>85.9</v>
      </c>
      <c r="AA75" s="18">
        <f>VLOOKUP($A75,'[1]24-8-24 DATA ENTRY'!$A$1:$BR$258,26,FALSE)</f>
        <v>16.739999999999998</v>
      </c>
      <c r="AB75" s="18">
        <f>VLOOKUP($A75,'[1]24-8-24 DATA ENTRY'!$A$1:$BR$258,27,FALSE)</f>
        <v>7.6</v>
      </c>
      <c r="AC75" s="18">
        <f>VLOOKUP($A75,'[1]24-8-24 DATA ENTRY'!$A$1:$BR$258,28,FALSE)</f>
        <v>148</v>
      </c>
      <c r="AD75" s="18">
        <f>VLOOKUP($A75,'[1]24-8-24 DATA ENTRY'!$A$1:$BR$258,29,FALSE)</f>
        <v>67.400000000000006</v>
      </c>
      <c r="AE75" s="18">
        <f>VLOOKUP($A75,'[1]24-8-24 DATA ENTRY'!$A$1:$BR$258,30,FALSE)</f>
        <v>34</v>
      </c>
      <c r="AF75" s="18">
        <f>VLOOKUP($A75,'[1]24-8-24 DATA ENTRY'!$A$1:$BR$258,31,FALSE)</f>
        <v>46.6</v>
      </c>
      <c r="AG75" s="18">
        <f>VLOOKUP($A75,'[1]24-8-24 DATA ENTRY'!$A$1:$BR$258,32,FALSE)</f>
        <v>233</v>
      </c>
      <c r="AH75" s="18">
        <f>VLOOKUP($A75,'[1]24-8-24 DATA ENTRY'!$A$1:$BR$258,33,FALSE)</f>
        <v>286</v>
      </c>
      <c r="AI75" s="18">
        <f>VLOOKUP($A75,'[1]24-8-24 DATA ENTRY'!$A$1:$BR$258,34,FALSE)</f>
        <v>0</v>
      </c>
      <c r="AJ75" s="18">
        <f>VLOOKUP($A75,'[1]24-8-24 DATA ENTRY'!$A$1:$BR$258,35,FALSE)</f>
        <v>0</v>
      </c>
      <c r="AK75" s="18" t="str">
        <f>VLOOKUP($A75,'[1]24-8-24 DATA ENTRY'!$A$1:$BR$258,36,FALSE)</f>
        <v>left internal watershed infarct acute, rt MCA-PCA; MCA ACA watershed infarcts</v>
      </c>
      <c r="AL75" s="18" t="str">
        <f>VLOOKUP($A75,'[1]24-8-24 DATA ENTRY'!$A$1:$BR$258,37,FALSE)</f>
        <v>Rt ICA 95% stenosis, Lt ICA 99% Stenosis, Rt vertebral artery 60-70% stenosis, mild basilar artery 90% stenosis</v>
      </c>
      <c r="AM75" s="18">
        <f>VLOOKUP($A75,'[1]24-8-24 DATA ENTRY'!$A$1:$BR$258,38,FALSE)</f>
        <v>0</v>
      </c>
      <c r="AN75" s="18">
        <f>VLOOKUP($A75,'[1]24-8-24 DATA ENTRY'!$A$1:$BR$258,39,FALSE)</f>
        <v>9</v>
      </c>
      <c r="AO75" s="18">
        <f>VLOOKUP($A75,'[1]24-8-24 DATA ENTRY'!$A$1:$BR$258,40,FALSE)</f>
        <v>1</v>
      </c>
      <c r="AP75" s="18">
        <f>VLOOKUP($A75,'[1]24-8-24 DATA ENTRY'!$A$1:$BR$258,41,FALSE)</f>
        <v>3</v>
      </c>
      <c r="AQ75" s="18">
        <f>VLOOKUP($A75,'[1]24-8-24 DATA ENTRY'!$A$1:$BR$258,42,FALSE)</f>
        <v>3</v>
      </c>
      <c r="AR75" s="18">
        <f>VLOOKUP($A75,'[1]24-8-24 DATA ENTRY'!$A$1:$BR$258,43,FALSE)</f>
        <v>5</v>
      </c>
      <c r="AS75" s="18">
        <f>VLOOKUP($A75,'[1]24-8-24 DATA ENTRY'!$A$1:$BR$258,44,FALSE)</f>
        <v>0</v>
      </c>
      <c r="AT75" s="18">
        <f>VLOOKUP($A75,'[1]24-8-24 DATA ENTRY'!$A$1:$BR$258,45,FALSE)</f>
        <v>1</v>
      </c>
      <c r="AU75" s="18">
        <f>VLOOKUP($A75,'[1]24-8-24 DATA ENTRY'!$A$1:$BR$258,46,FALSE)</f>
        <v>1</v>
      </c>
      <c r="AV75" s="18">
        <f>VLOOKUP($A75,'[1]24-8-24 DATA ENTRY'!$A$1:$BR$258,47,FALSE)</f>
        <v>2</v>
      </c>
      <c r="AW75" s="18">
        <f>VLOOKUP($A75,'[1]24-8-24 DATA ENTRY'!$A$1:$BR$258,48,FALSE)</f>
        <v>0</v>
      </c>
      <c r="AX75" s="18">
        <f>VLOOKUP($A75,'[1]24-8-24 DATA ENTRY'!$A$1:$BR$258,49,FALSE)</f>
        <v>0</v>
      </c>
      <c r="AY75" s="18">
        <f>VLOOKUP($A75,'[1]24-8-24 DATA ENTRY'!$A$1:$BR$258,50,FALSE)</f>
        <v>0</v>
      </c>
      <c r="AZ75" s="18">
        <f>VLOOKUP($A75,'[1]24-8-24 DATA ENTRY'!$A$1:$BR$258,51,FALSE)</f>
        <v>0</v>
      </c>
      <c r="BA75" s="18">
        <f>VLOOKUP($A75,'[1]24-8-24 DATA ENTRY'!$A$1:$BR$258,52,FALSE)</f>
        <v>0</v>
      </c>
      <c r="BB75" s="5">
        <v>1</v>
      </c>
      <c r="BC75" s="18">
        <f>VLOOKUP($A75,'[1]24-8-24 DATA ENTRY'!$A$1:$BR$258,53,FALSE)</f>
        <v>100</v>
      </c>
      <c r="BD75" s="5">
        <v>0</v>
      </c>
      <c r="BE75" s="5">
        <v>2</v>
      </c>
      <c r="BF75" s="5">
        <v>2</v>
      </c>
      <c r="BG75" s="5">
        <v>2</v>
      </c>
      <c r="BH75" s="5">
        <v>1</v>
      </c>
      <c r="BI75" s="5">
        <v>1</v>
      </c>
      <c r="BJ75" s="5">
        <v>1</v>
      </c>
      <c r="BK75" s="5">
        <v>0</v>
      </c>
      <c r="BL75" s="5">
        <v>2</v>
      </c>
      <c r="BM75" s="5">
        <v>2</v>
      </c>
      <c r="BN75" s="5">
        <v>2</v>
      </c>
      <c r="BO75" s="5">
        <v>1</v>
      </c>
      <c r="BP75" s="5">
        <v>1</v>
      </c>
      <c r="BQ75" s="5">
        <v>1</v>
      </c>
      <c r="BR75" s="5">
        <v>18</v>
      </c>
      <c r="BS75" s="5">
        <v>0</v>
      </c>
      <c r="BT75" s="5">
        <v>0</v>
      </c>
      <c r="BU75" s="5" t="s">
        <v>87</v>
      </c>
    </row>
    <row r="76" spans="1:73" x14ac:dyDescent="0.25">
      <c r="A76" s="12" t="s">
        <v>337</v>
      </c>
      <c r="B76" s="5">
        <v>1</v>
      </c>
      <c r="C76" s="12">
        <v>8.0977300000000003</v>
      </c>
      <c r="D76" s="13">
        <v>230704454</v>
      </c>
      <c r="E76" s="12">
        <v>45</v>
      </c>
      <c r="F76" s="12">
        <v>1</v>
      </c>
      <c r="G76" s="14">
        <v>45135</v>
      </c>
      <c r="H76" s="16">
        <v>0.47916666666666669</v>
      </c>
      <c r="I76" s="14">
        <v>45135</v>
      </c>
      <c r="J76" s="14">
        <v>45136</v>
      </c>
      <c r="K76" s="12">
        <v>7888249757</v>
      </c>
      <c r="L76" s="12"/>
      <c r="M76" s="12">
        <v>4</v>
      </c>
      <c r="N76" s="12">
        <v>2</v>
      </c>
      <c r="O76" s="12">
        <v>2</v>
      </c>
      <c r="P76" s="12">
        <v>2</v>
      </c>
      <c r="Q76" s="12">
        <v>2</v>
      </c>
      <c r="R76" s="12">
        <v>2</v>
      </c>
      <c r="S76" s="12">
        <v>2</v>
      </c>
      <c r="T76" s="12">
        <v>2</v>
      </c>
      <c r="U76" s="12">
        <v>2</v>
      </c>
      <c r="V76" s="12">
        <v>2</v>
      </c>
      <c r="W76" s="12"/>
      <c r="X76" s="12">
        <v>14.2</v>
      </c>
      <c r="Y76" s="12">
        <v>42.6</v>
      </c>
      <c r="Z76" s="12">
        <v>88.2</v>
      </c>
      <c r="AA76" s="12">
        <v>14.52</v>
      </c>
      <c r="AB76" s="12">
        <v>6.5</v>
      </c>
      <c r="AC76" s="12">
        <v>216</v>
      </c>
      <c r="AD76" s="12">
        <v>123.2</v>
      </c>
      <c r="AE76" s="12">
        <v>40</v>
      </c>
      <c r="AF76" s="12">
        <v>52.8</v>
      </c>
      <c r="AG76" s="12">
        <v>264</v>
      </c>
      <c r="AH76" s="12"/>
      <c r="AI76" s="12"/>
      <c r="AJ76" s="12"/>
      <c r="AK76" s="12" t="s">
        <v>338</v>
      </c>
      <c r="AL76" s="12" t="s">
        <v>326</v>
      </c>
      <c r="AM76" s="12"/>
      <c r="AN76" s="12">
        <v>10</v>
      </c>
      <c r="AO76" s="12" t="s">
        <v>720</v>
      </c>
      <c r="AP76" s="12">
        <v>3</v>
      </c>
      <c r="AQ76" s="12">
        <v>2</v>
      </c>
      <c r="AR76" s="12">
        <v>5</v>
      </c>
      <c r="AS76" s="12"/>
      <c r="AT76" s="12">
        <v>1</v>
      </c>
      <c r="AU76" s="12"/>
      <c r="AV76" s="12">
        <v>1</v>
      </c>
      <c r="AW76" s="12">
        <v>2</v>
      </c>
      <c r="AX76" s="12"/>
      <c r="AY76" s="12"/>
      <c r="AZ76" s="12"/>
      <c r="BA76" s="12">
        <v>1</v>
      </c>
      <c r="BB76" s="5">
        <v>1</v>
      </c>
      <c r="BC76" s="12">
        <v>95</v>
      </c>
      <c r="BD76" s="12">
        <v>1</v>
      </c>
      <c r="BE76" s="12">
        <v>2</v>
      </c>
      <c r="BF76" s="12">
        <v>2</v>
      </c>
      <c r="BG76" s="12">
        <v>2</v>
      </c>
      <c r="BH76" s="12">
        <v>1</v>
      </c>
      <c r="BI76" s="12">
        <v>1</v>
      </c>
      <c r="BJ76" s="12">
        <v>1</v>
      </c>
      <c r="BK76" s="12">
        <v>1</v>
      </c>
      <c r="BL76" s="12">
        <v>1</v>
      </c>
      <c r="BM76" s="12">
        <v>2</v>
      </c>
      <c r="BN76" s="12">
        <v>2</v>
      </c>
      <c r="BO76" s="12">
        <v>1</v>
      </c>
      <c r="BP76" s="12">
        <v>1</v>
      </c>
      <c r="BQ76" s="12">
        <v>1</v>
      </c>
      <c r="BR76" s="12">
        <v>19</v>
      </c>
      <c r="BS76" s="12">
        <v>1</v>
      </c>
      <c r="BT76" s="12">
        <v>1</v>
      </c>
      <c r="BU76" s="12"/>
    </row>
    <row r="77" spans="1:73" x14ac:dyDescent="0.25">
      <c r="A77" s="12" t="s">
        <v>181</v>
      </c>
      <c r="B77" s="5">
        <v>1</v>
      </c>
      <c r="C77" s="12">
        <v>8.2649799999999995</v>
      </c>
      <c r="D77" s="13">
        <v>220602866</v>
      </c>
      <c r="E77" s="12">
        <v>80</v>
      </c>
      <c r="F77" s="12">
        <v>1</v>
      </c>
      <c r="G77" s="14"/>
      <c r="H77" s="12"/>
      <c r="I77" s="14">
        <v>44732</v>
      </c>
      <c r="J77" s="14">
        <v>44747</v>
      </c>
      <c r="K77" s="12">
        <v>9822894046</v>
      </c>
      <c r="L77" s="12"/>
      <c r="M77" s="12">
        <v>6</v>
      </c>
      <c r="N77" s="12">
        <v>1</v>
      </c>
      <c r="O77" s="12">
        <v>2</v>
      </c>
      <c r="P77" s="12">
        <v>2</v>
      </c>
      <c r="Q77" s="12">
        <v>2</v>
      </c>
      <c r="R77" s="12">
        <v>1</v>
      </c>
      <c r="S77" s="12">
        <v>2</v>
      </c>
      <c r="T77" s="12">
        <v>2</v>
      </c>
      <c r="U77" s="12">
        <v>2</v>
      </c>
      <c r="V77" s="12">
        <v>2</v>
      </c>
      <c r="W77" s="12" t="s">
        <v>182</v>
      </c>
      <c r="X77" s="12">
        <v>13.2</v>
      </c>
      <c r="Y77" s="12">
        <v>41</v>
      </c>
      <c r="Z77" s="12"/>
      <c r="AA77" s="12">
        <v>43.6</v>
      </c>
      <c r="AB77" s="12">
        <v>10.6</v>
      </c>
      <c r="AC77" s="12">
        <v>177</v>
      </c>
      <c r="AD77" s="12">
        <v>100</v>
      </c>
      <c r="AE77" s="12">
        <v>35</v>
      </c>
      <c r="AF77" s="12"/>
      <c r="AG77" s="12">
        <v>210</v>
      </c>
      <c r="AH77" s="12"/>
      <c r="AI77" s="12"/>
      <c r="AJ77" s="12"/>
      <c r="AK77" s="12"/>
      <c r="AL77" s="12" t="s">
        <v>183</v>
      </c>
      <c r="AM77" s="12"/>
      <c r="AN77" s="12">
        <v>7</v>
      </c>
      <c r="AO77" s="12">
        <v>1</v>
      </c>
      <c r="AP77" s="12">
        <v>4</v>
      </c>
      <c r="AQ77" s="12">
        <v>3</v>
      </c>
      <c r="AR77" s="12">
        <v>5</v>
      </c>
      <c r="AS77" s="12"/>
      <c r="AT77" s="12">
        <v>1</v>
      </c>
      <c r="AU77" s="12">
        <v>2</v>
      </c>
      <c r="AV77" s="12">
        <v>1</v>
      </c>
      <c r="AW77" s="12">
        <v>1</v>
      </c>
      <c r="AX77" s="12"/>
      <c r="AY77" s="12"/>
      <c r="AZ77" s="12"/>
      <c r="BA77" s="12">
        <v>2</v>
      </c>
      <c r="BB77" s="5">
        <v>1</v>
      </c>
      <c r="BC77" s="12">
        <v>95</v>
      </c>
      <c r="BD77" s="12">
        <v>0</v>
      </c>
      <c r="BE77" s="12">
        <v>2</v>
      </c>
      <c r="BF77" s="12">
        <v>2</v>
      </c>
      <c r="BG77" s="12">
        <v>2</v>
      </c>
      <c r="BH77" s="12">
        <v>1</v>
      </c>
      <c r="BI77" s="12">
        <v>0</v>
      </c>
      <c r="BJ77" s="12">
        <v>1</v>
      </c>
      <c r="BK77" s="12">
        <v>0</v>
      </c>
      <c r="BL77" s="12">
        <v>2</v>
      </c>
      <c r="BM77" s="12">
        <v>2</v>
      </c>
      <c r="BN77" s="12">
        <v>2</v>
      </c>
      <c r="BO77" s="12">
        <v>1</v>
      </c>
      <c r="BP77" s="12">
        <v>1</v>
      </c>
      <c r="BQ77" s="12">
        <v>1</v>
      </c>
      <c r="BR77" s="12">
        <v>17</v>
      </c>
      <c r="BS77" s="12">
        <v>1</v>
      </c>
      <c r="BT77" s="12">
        <v>1</v>
      </c>
      <c r="BU77" s="12"/>
    </row>
    <row r="78" spans="1:73" x14ac:dyDescent="0.25">
      <c r="A78" s="12" t="s">
        <v>206</v>
      </c>
      <c r="B78" s="5">
        <v>1</v>
      </c>
      <c r="C78" s="12">
        <v>8.4464299999999994</v>
      </c>
      <c r="D78" s="13">
        <v>230400708</v>
      </c>
      <c r="E78" s="12">
        <v>77</v>
      </c>
      <c r="F78" s="12">
        <v>1</v>
      </c>
      <c r="G78" s="14"/>
      <c r="H78" s="12"/>
      <c r="I78" s="14">
        <v>45020</v>
      </c>
      <c r="J78" s="14">
        <v>45022</v>
      </c>
      <c r="K78" s="12">
        <v>9881475548</v>
      </c>
      <c r="L78" s="12"/>
      <c r="M78" s="12">
        <v>6</v>
      </c>
      <c r="N78" s="12">
        <v>2</v>
      </c>
      <c r="O78" s="12">
        <v>2</v>
      </c>
      <c r="P78" s="12">
        <v>2</v>
      </c>
      <c r="Q78" s="12">
        <v>1</v>
      </c>
      <c r="R78" s="12">
        <v>2</v>
      </c>
      <c r="S78" s="12">
        <v>2</v>
      </c>
      <c r="T78" s="12">
        <v>2</v>
      </c>
      <c r="U78" s="12">
        <v>2</v>
      </c>
      <c r="V78" s="12">
        <v>2</v>
      </c>
      <c r="W78" s="12"/>
      <c r="X78" s="12">
        <v>11.5</v>
      </c>
      <c r="Y78" s="12">
        <v>36.1</v>
      </c>
      <c r="Z78" s="12"/>
      <c r="AA78" s="12">
        <v>19</v>
      </c>
      <c r="AB78" s="12">
        <v>5.9</v>
      </c>
      <c r="AC78" s="12">
        <v>160</v>
      </c>
      <c r="AD78" s="12">
        <v>109</v>
      </c>
      <c r="AE78" s="12">
        <v>37</v>
      </c>
      <c r="AF78" s="12">
        <v>13</v>
      </c>
      <c r="AG78" s="12">
        <v>68</v>
      </c>
      <c r="AH78" s="12">
        <v>179</v>
      </c>
      <c r="AI78" s="12" t="s">
        <v>251</v>
      </c>
      <c r="AJ78" s="12"/>
      <c r="AK78" s="12" t="s">
        <v>252</v>
      </c>
      <c r="AL78" s="12" t="s">
        <v>253</v>
      </c>
      <c r="AM78" s="12"/>
      <c r="AN78" s="12">
        <v>9</v>
      </c>
      <c r="AO78" s="12">
        <v>1</v>
      </c>
      <c r="AP78" s="12">
        <v>3</v>
      </c>
      <c r="AQ78" s="12">
        <v>3</v>
      </c>
      <c r="AR78" s="12">
        <v>5</v>
      </c>
      <c r="AS78" s="12"/>
      <c r="AT78" s="12">
        <v>1</v>
      </c>
      <c r="AU78" s="12">
        <v>1</v>
      </c>
      <c r="AV78" s="12">
        <v>2</v>
      </c>
      <c r="AW78" s="12">
        <v>4</v>
      </c>
      <c r="AX78" s="12">
        <v>8</v>
      </c>
      <c r="AY78" s="12">
        <v>2</v>
      </c>
      <c r="AZ78" s="12">
        <v>2</v>
      </c>
      <c r="BA78" s="12">
        <v>2</v>
      </c>
      <c r="BB78" s="5">
        <v>1</v>
      </c>
      <c r="BC78" s="12">
        <v>95</v>
      </c>
      <c r="BD78" s="12">
        <v>1</v>
      </c>
      <c r="BE78" s="12">
        <v>2</v>
      </c>
      <c r="BF78" s="12">
        <v>2</v>
      </c>
      <c r="BG78" s="12">
        <v>2</v>
      </c>
      <c r="BH78" s="12">
        <v>1</v>
      </c>
      <c r="BI78" s="12">
        <v>1</v>
      </c>
      <c r="BJ78" s="12">
        <v>0</v>
      </c>
      <c r="BK78" s="12">
        <v>1</v>
      </c>
      <c r="BL78" s="12">
        <v>1</v>
      </c>
      <c r="BM78" s="12">
        <v>2</v>
      </c>
      <c r="BN78" s="12">
        <v>2</v>
      </c>
      <c r="BO78" s="12">
        <v>1</v>
      </c>
      <c r="BP78" s="12">
        <v>1</v>
      </c>
      <c r="BQ78" s="12">
        <v>1</v>
      </c>
      <c r="BR78" s="12">
        <v>18</v>
      </c>
      <c r="BS78" s="12">
        <v>1</v>
      </c>
      <c r="BT78" s="12">
        <v>1</v>
      </c>
      <c r="BU78" s="12"/>
    </row>
    <row r="79" spans="1:73" x14ac:dyDescent="0.25">
      <c r="A79" s="5" t="s">
        <v>414</v>
      </c>
      <c r="B79" s="5">
        <v>1</v>
      </c>
      <c r="C79" s="5">
        <v>8.4464400000000008</v>
      </c>
      <c r="D79" s="6">
        <v>230305197</v>
      </c>
      <c r="E79" s="5">
        <v>30</v>
      </c>
      <c r="F79" s="5">
        <v>2</v>
      </c>
      <c r="G79" s="7"/>
      <c r="H79" s="5"/>
      <c r="I79" s="7">
        <v>45025</v>
      </c>
      <c r="J79" s="7"/>
      <c r="K79" s="5">
        <v>9356207400</v>
      </c>
      <c r="L79" s="5"/>
      <c r="M79" s="5">
        <v>4</v>
      </c>
      <c r="N79" s="5">
        <v>2</v>
      </c>
      <c r="O79" s="5">
        <v>2</v>
      </c>
      <c r="P79" s="5">
        <v>2</v>
      </c>
      <c r="Q79" s="5">
        <v>2</v>
      </c>
      <c r="R79" s="5">
        <v>2</v>
      </c>
      <c r="S79" s="5">
        <v>2</v>
      </c>
      <c r="T79" s="5">
        <v>2</v>
      </c>
      <c r="U79" s="5">
        <v>2</v>
      </c>
      <c r="V79" s="5">
        <v>2</v>
      </c>
      <c r="W79" s="5" t="s">
        <v>415</v>
      </c>
      <c r="X79" s="5">
        <v>9.1999999999999993</v>
      </c>
      <c r="Y79" s="5">
        <v>30.1</v>
      </c>
      <c r="Z79" s="5"/>
      <c r="AA79" s="5">
        <v>20.59</v>
      </c>
      <c r="AB79" s="5">
        <v>5.4</v>
      </c>
      <c r="AC79" s="5">
        <v>142</v>
      </c>
      <c r="AD79" s="5">
        <v>93.8</v>
      </c>
      <c r="AE79" s="5">
        <v>34</v>
      </c>
      <c r="AF79" s="5"/>
      <c r="AG79" s="5">
        <v>71</v>
      </c>
      <c r="AH79" s="5">
        <v>168</v>
      </c>
      <c r="AI79" s="5" t="s">
        <v>416</v>
      </c>
      <c r="AJ79" s="5"/>
      <c r="AK79" s="5" t="s">
        <v>417</v>
      </c>
      <c r="AL79" s="5"/>
      <c r="AM79" s="5"/>
      <c r="AN79" s="5">
        <v>10</v>
      </c>
      <c r="AO79" s="5">
        <v>1</v>
      </c>
      <c r="AP79" s="5">
        <v>3</v>
      </c>
      <c r="AQ79" s="5">
        <v>3</v>
      </c>
      <c r="AR79" s="5">
        <v>5</v>
      </c>
      <c r="AS79" s="5"/>
      <c r="AT79" s="5">
        <v>1</v>
      </c>
      <c r="AU79" s="5">
        <v>1</v>
      </c>
      <c r="AV79" s="5">
        <v>2</v>
      </c>
      <c r="AW79" s="5"/>
      <c r="AX79" s="5"/>
      <c r="AY79" s="5"/>
      <c r="AZ79" s="5"/>
      <c r="BA79" s="5">
        <v>1</v>
      </c>
      <c r="BB79" s="5">
        <v>1</v>
      </c>
      <c r="BC79" s="5">
        <v>95</v>
      </c>
      <c r="BD79" s="5">
        <v>1</v>
      </c>
      <c r="BE79" s="5">
        <v>2</v>
      </c>
      <c r="BF79" s="5">
        <v>2</v>
      </c>
      <c r="BG79" s="5">
        <v>2</v>
      </c>
      <c r="BH79" s="5">
        <v>1</v>
      </c>
      <c r="BI79" s="5">
        <v>1</v>
      </c>
      <c r="BJ79" s="5">
        <v>1</v>
      </c>
      <c r="BK79" s="5">
        <v>1</v>
      </c>
      <c r="BL79" s="5">
        <v>2</v>
      </c>
      <c r="BM79" s="5">
        <v>2</v>
      </c>
      <c r="BN79" s="5">
        <v>2</v>
      </c>
      <c r="BO79" s="5">
        <v>1</v>
      </c>
      <c r="BP79" s="5">
        <v>1</v>
      </c>
      <c r="BQ79" s="5">
        <v>1</v>
      </c>
      <c r="BR79" s="5">
        <v>20</v>
      </c>
      <c r="BS79" s="5">
        <v>0</v>
      </c>
      <c r="BT79" s="5">
        <v>1</v>
      </c>
      <c r="BU79" s="5"/>
    </row>
    <row r="80" spans="1:73" x14ac:dyDescent="0.25">
      <c r="A80" s="5" t="s">
        <v>266</v>
      </c>
      <c r="B80" s="5">
        <v>1</v>
      </c>
      <c r="C80" s="5">
        <v>8.7370199999999993</v>
      </c>
      <c r="D80" s="6">
        <v>230305332</v>
      </c>
      <c r="E80" s="5">
        <v>49</v>
      </c>
      <c r="F80" s="5">
        <v>2</v>
      </c>
      <c r="G80" s="7"/>
      <c r="H80" s="5"/>
      <c r="I80" s="7">
        <v>45013</v>
      </c>
      <c r="J80" s="7"/>
      <c r="K80" s="5">
        <v>7875730168</v>
      </c>
      <c r="L80" s="5"/>
      <c r="M80" s="5">
        <v>16</v>
      </c>
      <c r="N80" s="5">
        <v>1</v>
      </c>
      <c r="O80" s="5">
        <v>1</v>
      </c>
      <c r="P80" s="5">
        <v>2</v>
      </c>
      <c r="Q80" s="5">
        <v>2</v>
      </c>
      <c r="R80" s="5">
        <v>2</v>
      </c>
      <c r="S80" s="5">
        <v>2</v>
      </c>
      <c r="T80" s="5">
        <v>2</v>
      </c>
      <c r="U80" s="5">
        <v>2</v>
      </c>
      <c r="V80" s="5">
        <v>2</v>
      </c>
      <c r="W80" s="5" t="s">
        <v>267</v>
      </c>
      <c r="X80" s="5">
        <v>12.8</v>
      </c>
      <c r="Y80" s="5">
        <v>41</v>
      </c>
      <c r="Z80" s="5"/>
      <c r="AA80" s="5">
        <v>13</v>
      </c>
      <c r="AB80" s="5">
        <v>9.1999999999999993</v>
      </c>
      <c r="AC80" s="5"/>
      <c r="AD80" s="5"/>
      <c r="AE80" s="5"/>
      <c r="AF80" s="5"/>
      <c r="AG80" s="5"/>
      <c r="AH80" s="5"/>
      <c r="AI80" s="5" t="s">
        <v>268</v>
      </c>
      <c r="AJ80" s="5"/>
      <c r="AK80" s="5" t="s">
        <v>269</v>
      </c>
      <c r="AL80" s="5" t="s">
        <v>270</v>
      </c>
      <c r="AM80" s="5"/>
      <c r="AN80" s="5">
        <v>8</v>
      </c>
      <c r="AO80" s="5">
        <v>1</v>
      </c>
      <c r="AP80" s="5">
        <v>4</v>
      </c>
      <c r="AQ80" s="5">
        <v>3</v>
      </c>
      <c r="AR80" s="5">
        <v>5</v>
      </c>
      <c r="AS80" s="5"/>
      <c r="AT80" s="5">
        <v>1</v>
      </c>
      <c r="AU80" s="5">
        <v>1</v>
      </c>
      <c r="AV80" s="5">
        <v>2</v>
      </c>
      <c r="AW80" s="5">
        <v>4</v>
      </c>
      <c r="AX80" s="5">
        <v>8</v>
      </c>
      <c r="AY80" s="5">
        <v>2</v>
      </c>
      <c r="AZ80" s="5">
        <v>2</v>
      </c>
      <c r="BA80" s="5">
        <v>0</v>
      </c>
      <c r="BB80" s="5">
        <v>1</v>
      </c>
      <c r="BC80" s="5">
        <v>100</v>
      </c>
      <c r="BD80" s="5">
        <v>1</v>
      </c>
      <c r="BE80" s="5">
        <v>2</v>
      </c>
      <c r="BF80" s="5">
        <v>2</v>
      </c>
      <c r="BG80" s="5">
        <v>2</v>
      </c>
      <c r="BH80" s="5">
        <v>1</v>
      </c>
      <c r="BI80" s="5">
        <v>0</v>
      </c>
      <c r="BJ80" s="5">
        <v>1</v>
      </c>
      <c r="BK80" s="5">
        <v>1</v>
      </c>
      <c r="BL80" s="5">
        <v>2</v>
      </c>
      <c r="BM80" s="5">
        <v>2</v>
      </c>
      <c r="BN80" s="5">
        <v>2</v>
      </c>
      <c r="BO80" s="5">
        <v>1</v>
      </c>
      <c r="BP80" s="5">
        <v>1</v>
      </c>
      <c r="BQ80" s="5">
        <v>1</v>
      </c>
      <c r="BR80" s="5">
        <v>19</v>
      </c>
      <c r="BS80" s="5">
        <v>1</v>
      </c>
      <c r="BT80" s="5">
        <v>1</v>
      </c>
      <c r="BU80" s="5"/>
    </row>
    <row r="81" spans="1:73" x14ac:dyDescent="0.25">
      <c r="A81" s="12" t="s">
        <v>88</v>
      </c>
      <c r="B81" s="5">
        <v>1</v>
      </c>
      <c r="C81" s="12">
        <v>8.9549599999999998</v>
      </c>
      <c r="D81" s="13">
        <v>24000025576</v>
      </c>
      <c r="E81" s="12">
        <v>26</v>
      </c>
      <c r="F81" s="12">
        <v>2</v>
      </c>
      <c r="G81" s="14" t="s">
        <v>89</v>
      </c>
      <c r="H81" s="15">
        <v>0.54166666666666663</v>
      </c>
      <c r="I81" s="14" t="s">
        <v>89</v>
      </c>
      <c r="J81" s="14"/>
      <c r="K81" s="12">
        <v>9922687786</v>
      </c>
      <c r="L81" s="12">
        <v>8888660595</v>
      </c>
      <c r="M81" s="12">
        <v>11</v>
      </c>
      <c r="N81" s="12">
        <v>2</v>
      </c>
      <c r="O81" s="12">
        <v>2</v>
      </c>
      <c r="P81" s="12">
        <v>2</v>
      </c>
      <c r="Q81" s="12">
        <v>2</v>
      </c>
      <c r="R81" s="12">
        <v>2</v>
      </c>
      <c r="S81" s="12">
        <v>2</v>
      </c>
      <c r="T81" s="12">
        <v>2</v>
      </c>
      <c r="U81" s="12">
        <v>2</v>
      </c>
      <c r="V81" s="12">
        <v>2</v>
      </c>
      <c r="W81" s="12" t="s">
        <v>90</v>
      </c>
      <c r="X81" s="12">
        <v>8.8000000000000007</v>
      </c>
      <c r="Y81" s="12">
        <v>29.3</v>
      </c>
      <c r="Z81" s="12">
        <v>67.8</v>
      </c>
      <c r="AA81" s="12">
        <v>5</v>
      </c>
      <c r="AB81" s="12">
        <v>5.2</v>
      </c>
      <c r="AC81" s="12">
        <v>174</v>
      </c>
      <c r="AD81" s="12"/>
      <c r="AE81" s="12">
        <v>28</v>
      </c>
      <c r="AF81" s="12">
        <v>109</v>
      </c>
      <c r="AG81" s="12">
        <v>21</v>
      </c>
      <c r="AH81" s="12">
        <v>731</v>
      </c>
      <c r="AI81" s="12"/>
      <c r="AJ81" s="12"/>
      <c r="AK81" s="12" t="s">
        <v>91</v>
      </c>
      <c r="AL81" s="12" t="s">
        <v>92</v>
      </c>
      <c r="AM81" s="12"/>
      <c r="AN81" s="12">
        <v>10</v>
      </c>
      <c r="AO81" s="12">
        <v>3</v>
      </c>
      <c r="AP81" s="12">
        <v>5</v>
      </c>
      <c r="AQ81" s="12">
        <v>3</v>
      </c>
      <c r="AR81" s="12">
        <v>5</v>
      </c>
      <c r="AS81" s="12"/>
      <c r="AT81" s="12">
        <v>1</v>
      </c>
      <c r="AU81" s="12">
        <v>1</v>
      </c>
      <c r="AV81" s="12">
        <v>1</v>
      </c>
      <c r="AW81" s="12">
        <v>2</v>
      </c>
      <c r="AX81" s="12"/>
      <c r="AY81" s="12">
        <v>2</v>
      </c>
      <c r="AZ81" s="12">
        <v>2</v>
      </c>
      <c r="BA81" s="12">
        <v>0</v>
      </c>
      <c r="BB81" s="12">
        <v>1</v>
      </c>
      <c r="BC81" s="12">
        <v>100</v>
      </c>
      <c r="BD81" s="12">
        <v>1</v>
      </c>
      <c r="BE81" s="12">
        <v>2</v>
      </c>
      <c r="BF81" s="12">
        <v>2</v>
      </c>
      <c r="BG81" s="12">
        <v>2</v>
      </c>
      <c r="BH81" s="12">
        <v>1</v>
      </c>
      <c r="BI81" s="12">
        <v>1</v>
      </c>
      <c r="BJ81" s="12">
        <v>1</v>
      </c>
      <c r="BK81" s="12">
        <v>1</v>
      </c>
      <c r="BL81" s="12">
        <v>2</v>
      </c>
      <c r="BM81" s="12">
        <v>0</v>
      </c>
      <c r="BN81" s="12">
        <v>0</v>
      </c>
      <c r="BO81" s="12">
        <v>0</v>
      </c>
      <c r="BP81" s="12">
        <v>0</v>
      </c>
      <c r="BQ81" s="12">
        <v>1</v>
      </c>
      <c r="BR81" s="12">
        <v>14</v>
      </c>
      <c r="BS81" s="12">
        <v>0</v>
      </c>
      <c r="BT81" s="12">
        <v>1</v>
      </c>
      <c r="BU81" s="12" t="s">
        <v>93</v>
      </c>
    </row>
    <row r="82" spans="1:73" x14ac:dyDescent="0.25">
      <c r="A82" s="12" t="s">
        <v>271</v>
      </c>
      <c r="B82" s="5">
        <v>1</v>
      </c>
      <c r="C82" s="12">
        <v>9.1632200000000008</v>
      </c>
      <c r="D82" s="13">
        <v>210410982</v>
      </c>
      <c r="E82" s="12">
        <v>73</v>
      </c>
      <c r="F82" s="12">
        <v>1</v>
      </c>
      <c r="G82" s="14">
        <v>45006</v>
      </c>
      <c r="H82" s="12"/>
      <c r="I82" s="14">
        <v>45008</v>
      </c>
      <c r="J82" s="14">
        <v>45012</v>
      </c>
      <c r="K82" s="12">
        <v>8805455466</v>
      </c>
      <c r="L82" s="12"/>
      <c r="M82" s="12">
        <v>14</v>
      </c>
      <c r="N82" s="12">
        <v>1</v>
      </c>
      <c r="O82" s="12">
        <v>2</v>
      </c>
      <c r="P82" s="12">
        <v>2</v>
      </c>
      <c r="Q82" s="12">
        <v>2</v>
      </c>
      <c r="R82" s="12">
        <v>2</v>
      </c>
      <c r="S82" s="12">
        <v>2</v>
      </c>
      <c r="T82" s="12">
        <v>2</v>
      </c>
      <c r="U82" s="12">
        <v>2</v>
      </c>
      <c r="V82" s="12">
        <v>2</v>
      </c>
      <c r="W82" s="12"/>
      <c r="X82" s="12">
        <v>13.7</v>
      </c>
      <c r="Y82" s="12">
        <v>42</v>
      </c>
      <c r="Z82" s="12"/>
      <c r="AA82" s="12">
        <v>23</v>
      </c>
      <c r="AB82" s="12">
        <v>6.4</v>
      </c>
      <c r="AC82" s="12">
        <v>199</v>
      </c>
      <c r="AD82" s="12">
        <v>146</v>
      </c>
      <c r="AE82" s="12">
        <v>37</v>
      </c>
      <c r="AF82" s="12">
        <v>15.2</v>
      </c>
      <c r="AG82" s="12">
        <v>76</v>
      </c>
      <c r="AH82" s="12">
        <v>121</v>
      </c>
      <c r="AI82" s="12" t="s">
        <v>272</v>
      </c>
      <c r="AJ82" s="12"/>
      <c r="AK82" s="12" t="s">
        <v>273</v>
      </c>
      <c r="AL82" s="12" t="s">
        <v>274</v>
      </c>
      <c r="AM82" s="12"/>
      <c r="AN82" s="12">
        <v>10</v>
      </c>
      <c r="AO82" s="12" t="s">
        <v>720</v>
      </c>
      <c r="AP82" s="12">
        <v>3</v>
      </c>
      <c r="AQ82" s="12">
        <v>2</v>
      </c>
      <c r="AR82" s="12">
        <v>5</v>
      </c>
      <c r="AS82" s="12"/>
      <c r="AT82" s="12">
        <v>1</v>
      </c>
      <c r="AU82" s="12">
        <v>1</v>
      </c>
      <c r="AV82" s="12">
        <v>2</v>
      </c>
      <c r="AW82" s="12"/>
      <c r="AX82" s="12"/>
      <c r="AY82" s="12"/>
      <c r="AZ82" s="12"/>
      <c r="BA82" s="12">
        <v>0</v>
      </c>
      <c r="BB82" s="5">
        <v>1</v>
      </c>
      <c r="BC82" s="12">
        <v>100</v>
      </c>
      <c r="BD82" s="12">
        <v>0</v>
      </c>
      <c r="BE82" s="12">
        <v>2</v>
      </c>
      <c r="BF82" s="12">
        <v>2</v>
      </c>
      <c r="BG82" s="12">
        <v>2</v>
      </c>
      <c r="BH82" s="12">
        <v>1</v>
      </c>
      <c r="BI82" s="12">
        <v>1</v>
      </c>
      <c r="BJ82" s="12">
        <v>1</v>
      </c>
      <c r="BK82" s="12">
        <v>1</v>
      </c>
      <c r="BL82" s="12">
        <v>2</v>
      </c>
      <c r="BM82" s="12">
        <v>2</v>
      </c>
      <c r="BN82" s="12">
        <v>2</v>
      </c>
      <c r="BO82" s="12">
        <v>1</v>
      </c>
      <c r="BP82" s="12">
        <v>1</v>
      </c>
      <c r="BQ82" s="12">
        <v>1</v>
      </c>
      <c r="BR82" s="12">
        <v>19</v>
      </c>
      <c r="BS82" s="12">
        <v>1</v>
      </c>
      <c r="BT82" s="12">
        <v>1</v>
      </c>
      <c r="BU82" s="12" t="s">
        <v>275</v>
      </c>
    </row>
    <row r="83" spans="1:73" x14ac:dyDescent="0.25">
      <c r="A83" s="12" t="s">
        <v>102</v>
      </c>
      <c r="B83" s="5">
        <v>1</v>
      </c>
      <c r="C83" s="12">
        <v>9.4150600000000004</v>
      </c>
      <c r="D83" s="13">
        <v>230101845</v>
      </c>
      <c r="E83" s="12">
        <v>50</v>
      </c>
      <c r="F83" s="12">
        <v>2</v>
      </c>
      <c r="G83" s="14"/>
      <c r="H83" s="12"/>
      <c r="I83" s="14">
        <v>45036</v>
      </c>
      <c r="J83" s="14"/>
      <c r="K83" s="12">
        <v>7620076491</v>
      </c>
      <c r="L83" s="12"/>
      <c r="M83" s="12">
        <v>9</v>
      </c>
      <c r="N83" s="12">
        <v>1</v>
      </c>
      <c r="O83" s="12">
        <v>1</v>
      </c>
      <c r="P83" s="12">
        <v>2</v>
      </c>
      <c r="Q83" s="12">
        <v>2</v>
      </c>
      <c r="R83" s="12">
        <v>2</v>
      </c>
      <c r="S83" s="12">
        <v>2</v>
      </c>
      <c r="T83" s="12">
        <v>2</v>
      </c>
      <c r="U83" s="12">
        <v>2</v>
      </c>
      <c r="V83" s="12">
        <v>2</v>
      </c>
      <c r="W83" s="12" t="s">
        <v>103</v>
      </c>
      <c r="X83" s="12">
        <v>13.6</v>
      </c>
      <c r="Y83" s="12">
        <v>39.9</v>
      </c>
      <c r="Z83" s="12"/>
      <c r="AA83" s="12">
        <v>3.65</v>
      </c>
      <c r="AB83" s="12">
        <v>8.5</v>
      </c>
      <c r="AC83" s="12"/>
      <c r="AD83" s="12"/>
      <c r="AE83" s="12"/>
      <c r="AF83" s="12"/>
      <c r="AG83" s="12"/>
      <c r="AH83" s="12">
        <v>797</v>
      </c>
      <c r="AI83" s="12" t="s">
        <v>104</v>
      </c>
      <c r="AJ83" s="12"/>
      <c r="AK83" s="12" t="s">
        <v>105</v>
      </c>
      <c r="AL83" s="12" t="s">
        <v>106</v>
      </c>
      <c r="AM83" s="12" t="s">
        <v>107</v>
      </c>
      <c r="AN83" s="12">
        <v>3</v>
      </c>
      <c r="AO83" s="12">
        <v>2</v>
      </c>
      <c r="AP83" s="12">
        <v>2</v>
      </c>
      <c r="AQ83" s="12">
        <v>2</v>
      </c>
      <c r="AR83" s="12">
        <v>4</v>
      </c>
      <c r="AS83" s="12"/>
      <c r="AT83" s="12"/>
      <c r="AU83" s="12"/>
      <c r="AV83" s="12"/>
      <c r="AW83" s="12"/>
      <c r="AX83" s="12"/>
      <c r="AY83" s="12"/>
      <c r="AZ83" s="12"/>
      <c r="BA83" s="12">
        <v>1</v>
      </c>
      <c r="BB83" s="5">
        <v>1</v>
      </c>
      <c r="BC83" s="12">
        <v>100</v>
      </c>
      <c r="BD83" s="12">
        <v>1</v>
      </c>
      <c r="BE83" s="12">
        <v>2</v>
      </c>
      <c r="BF83" s="12">
        <v>0</v>
      </c>
      <c r="BG83" s="12">
        <v>0</v>
      </c>
      <c r="BH83" s="12">
        <v>0</v>
      </c>
      <c r="BI83" s="12">
        <v>0</v>
      </c>
      <c r="BJ83" s="12">
        <v>1</v>
      </c>
      <c r="BK83" s="12">
        <v>1</v>
      </c>
      <c r="BL83" s="12">
        <v>2</v>
      </c>
      <c r="BM83" s="12">
        <v>2</v>
      </c>
      <c r="BN83" s="12">
        <v>2</v>
      </c>
      <c r="BO83" s="12">
        <v>1</v>
      </c>
      <c r="BP83" s="12">
        <v>1</v>
      </c>
      <c r="BQ83" s="12">
        <v>1</v>
      </c>
      <c r="BR83" s="12">
        <v>14</v>
      </c>
      <c r="BS83" s="12">
        <v>1</v>
      </c>
      <c r="BT83" s="12">
        <v>0</v>
      </c>
      <c r="BU83" s="12"/>
    </row>
    <row r="84" spans="1:73" x14ac:dyDescent="0.25">
      <c r="A84" s="5" t="s">
        <v>499</v>
      </c>
      <c r="B84" s="5">
        <v>0</v>
      </c>
      <c r="C84" s="5">
        <v>9.5119199999999999</v>
      </c>
      <c r="D84" s="6"/>
      <c r="E84" s="5">
        <v>49</v>
      </c>
      <c r="F84" s="5">
        <v>2</v>
      </c>
      <c r="G84" s="7">
        <v>45013</v>
      </c>
      <c r="H84" s="11">
        <v>0.875</v>
      </c>
      <c r="I84" s="7">
        <v>45013</v>
      </c>
      <c r="J84" s="7">
        <v>45026</v>
      </c>
      <c r="K84" s="5">
        <v>7875730168</v>
      </c>
      <c r="L84" s="5"/>
      <c r="M84" s="5">
        <v>16</v>
      </c>
      <c r="N84" s="5">
        <v>1</v>
      </c>
      <c r="O84" s="5">
        <v>1</v>
      </c>
      <c r="P84" s="5">
        <v>2</v>
      </c>
      <c r="Q84" s="5">
        <v>2</v>
      </c>
      <c r="R84" s="5">
        <v>2</v>
      </c>
      <c r="S84" s="5">
        <v>2</v>
      </c>
      <c r="T84" s="5">
        <v>2</v>
      </c>
      <c r="U84" s="5">
        <v>2</v>
      </c>
      <c r="V84" s="5">
        <v>2</v>
      </c>
      <c r="W84" s="5" t="s">
        <v>500</v>
      </c>
      <c r="X84" s="5">
        <v>12.8</v>
      </c>
      <c r="Y84" s="5">
        <v>41</v>
      </c>
      <c r="Z84" s="5"/>
      <c r="AA84" s="5">
        <v>13</v>
      </c>
      <c r="AB84" s="5">
        <v>9.1999999999999993</v>
      </c>
      <c r="AC84" s="5">
        <v>247</v>
      </c>
      <c r="AD84" s="5">
        <v>193.6</v>
      </c>
      <c r="AE84" s="5">
        <v>40</v>
      </c>
      <c r="AF84" s="5">
        <v>13.4</v>
      </c>
      <c r="AG84" s="5">
        <v>67</v>
      </c>
      <c r="AH84" s="5">
        <v>149</v>
      </c>
      <c r="AI84" s="5" t="s">
        <v>268</v>
      </c>
      <c r="AJ84" s="5"/>
      <c r="AK84" s="5" t="s">
        <v>501</v>
      </c>
      <c r="AL84" s="5" t="s">
        <v>502</v>
      </c>
      <c r="AM84" s="5"/>
      <c r="AN84" s="5">
        <v>8</v>
      </c>
      <c r="AO84" s="5">
        <v>1</v>
      </c>
      <c r="AP84" s="5">
        <v>4</v>
      </c>
      <c r="AQ84" s="5">
        <v>3</v>
      </c>
      <c r="AR84" s="5">
        <v>5</v>
      </c>
      <c r="AS84" s="5"/>
      <c r="AT84" s="5">
        <v>1</v>
      </c>
      <c r="AU84" s="5">
        <v>1</v>
      </c>
      <c r="AV84" s="5">
        <v>1</v>
      </c>
      <c r="AW84" s="5">
        <v>1</v>
      </c>
      <c r="AX84" s="5"/>
      <c r="AY84" s="5"/>
      <c r="AZ84" s="5"/>
      <c r="BA84" s="5">
        <v>0</v>
      </c>
      <c r="BB84" s="5">
        <v>1</v>
      </c>
      <c r="BC84" s="5">
        <v>100</v>
      </c>
      <c r="BD84" s="5">
        <v>1</v>
      </c>
      <c r="BE84" s="5">
        <v>2</v>
      </c>
      <c r="BF84" s="5">
        <v>2</v>
      </c>
      <c r="BG84" s="5">
        <v>2</v>
      </c>
      <c r="BH84" s="5">
        <v>1</v>
      </c>
      <c r="BI84" s="5">
        <v>0</v>
      </c>
      <c r="BJ84" s="5">
        <v>1</v>
      </c>
      <c r="BK84" s="5">
        <v>1</v>
      </c>
      <c r="BL84" s="5">
        <v>2</v>
      </c>
      <c r="BM84" s="5">
        <v>2</v>
      </c>
      <c r="BN84" s="5">
        <v>2</v>
      </c>
      <c r="BO84" s="5">
        <v>1</v>
      </c>
      <c r="BP84" s="5">
        <v>1</v>
      </c>
      <c r="BQ84" s="5">
        <v>1</v>
      </c>
      <c r="BR84" s="5">
        <v>19</v>
      </c>
      <c r="BS84" s="5">
        <v>1</v>
      </c>
      <c r="BT84" s="5">
        <v>1</v>
      </c>
      <c r="BU84" s="5"/>
    </row>
    <row r="85" spans="1:73" x14ac:dyDescent="0.25">
      <c r="A85" s="12" t="s">
        <v>193</v>
      </c>
      <c r="B85" s="5">
        <v>1</v>
      </c>
      <c r="C85" s="12">
        <v>9.8848500000000001</v>
      </c>
      <c r="D85" s="13">
        <v>230000000000</v>
      </c>
      <c r="E85" s="12">
        <v>72</v>
      </c>
      <c r="F85" s="12">
        <v>1</v>
      </c>
      <c r="G85" s="14">
        <v>45156</v>
      </c>
      <c r="H85" s="16">
        <v>0.35416666666666669</v>
      </c>
      <c r="I85" s="14">
        <v>45156</v>
      </c>
      <c r="J85" s="14">
        <v>45159</v>
      </c>
      <c r="K85" s="12">
        <v>9890513032</v>
      </c>
      <c r="L85" s="12"/>
      <c r="M85" s="12">
        <v>2</v>
      </c>
      <c r="N85" s="12">
        <v>1</v>
      </c>
      <c r="O85" s="12">
        <v>2</v>
      </c>
      <c r="P85" s="12">
        <v>2</v>
      </c>
      <c r="Q85" s="12">
        <v>2</v>
      </c>
      <c r="R85" s="12">
        <v>2</v>
      </c>
      <c r="S85" s="12">
        <v>2</v>
      </c>
      <c r="T85" s="12">
        <v>2</v>
      </c>
      <c r="U85" s="12">
        <v>2</v>
      </c>
      <c r="V85" s="12">
        <v>2</v>
      </c>
      <c r="W85" s="12" t="s">
        <v>194</v>
      </c>
      <c r="X85" s="12">
        <v>12.1</v>
      </c>
      <c r="Y85" s="12"/>
      <c r="Z85" s="12"/>
      <c r="AA85" s="12">
        <v>15.44</v>
      </c>
      <c r="AB85" s="12"/>
      <c r="AC85" s="12">
        <v>203</v>
      </c>
      <c r="AD85" s="12">
        <v>145.4</v>
      </c>
      <c r="AE85" s="12">
        <v>28</v>
      </c>
      <c r="AF85" s="12"/>
      <c r="AG85" s="12">
        <v>148</v>
      </c>
      <c r="AH85" s="12">
        <v>476</v>
      </c>
      <c r="AI85" s="12"/>
      <c r="AJ85" s="12"/>
      <c r="AK85" s="12" t="s">
        <v>195</v>
      </c>
      <c r="AL85" s="12" t="s">
        <v>196</v>
      </c>
      <c r="AM85" s="12"/>
      <c r="AN85" s="12"/>
      <c r="AO85" s="12"/>
      <c r="AP85" s="12"/>
      <c r="AQ85" s="12"/>
      <c r="AR85" s="12"/>
      <c r="AS85" s="12"/>
      <c r="AT85" s="12">
        <v>1</v>
      </c>
      <c r="AU85" s="12">
        <v>1</v>
      </c>
      <c r="AV85" s="12">
        <v>2</v>
      </c>
      <c r="AW85" s="12"/>
      <c r="AX85" s="12"/>
      <c r="AY85" s="12"/>
      <c r="AZ85" s="12"/>
      <c r="BA85" s="12">
        <v>0</v>
      </c>
      <c r="BB85" s="5">
        <v>1</v>
      </c>
      <c r="BC85" s="12">
        <v>100</v>
      </c>
      <c r="BD85" s="12">
        <v>1</v>
      </c>
      <c r="BE85" s="12">
        <v>1</v>
      </c>
      <c r="BF85" s="12">
        <v>2</v>
      </c>
      <c r="BG85" s="12">
        <v>2</v>
      </c>
      <c r="BH85" s="12">
        <v>1</v>
      </c>
      <c r="BI85" s="12">
        <v>1</v>
      </c>
      <c r="BJ85" s="12">
        <v>1</v>
      </c>
      <c r="BK85" s="12">
        <v>1</v>
      </c>
      <c r="BL85" s="12">
        <v>1</v>
      </c>
      <c r="BM85" s="12">
        <v>2</v>
      </c>
      <c r="BN85" s="12">
        <v>2</v>
      </c>
      <c r="BO85" s="12">
        <v>1</v>
      </c>
      <c r="BP85" s="12">
        <v>1</v>
      </c>
      <c r="BQ85" s="12">
        <v>1</v>
      </c>
      <c r="BR85" s="12">
        <v>18</v>
      </c>
      <c r="BS85" s="12">
        <v>1</v>
      </c>
      <c r="BT85" s="12">
        <v>1</v>
      </c>
      <c r="BU85" s="12" t="s">
        <v>197</v>
      </c>
    </row>
    <row r="86" spans="1:73" x14ac:dyDescent="0.25">
      <c r="A86" s="5" t="s">
        <v>515</v>
      </c>
      <c r="B86" s="5">
        <v>0</v>
      </c>
      <c r="C86" s="5">
        <v>9.9962400000000002</v>
      </c>
      <c r="D86" s="6">
        <v>230402134</v>
      </c>
      <c r="E86" s="5">
        <v>58</v>
      </c>
      <c r="F86" s="5">
        <v>2</v>
      </c>
      <c r="G86" s="7"/>
      <c r="H86" s="5"/>
      <c r="I86" s="7">
        <v>45029</v>
      </c>
      <c r="J86" s="7">
        <v>45031</v>
      </c>
      <c r="K86" s="5">
        <v>9922230446</v>
      </c>
      <c r="L86" s="5"/>
      <c r="M86" s="5">
        <v>7</v>
      </c>
      <c r="N86" s="5">
        <v>1</v>
      </c>
      <c r="O86" s="5">
        <v>2</v>
      </c>
      <c r="P86" s="5">
        <v>2</v>
      </c>
      <c r="Q86" s="5">
        <v>2</v>
      </c>
      <c r="R86" s="5">
        <v>1</v>
      </c>
      <c r="S86" s="5">
        <v>2</v>
      </c>
      <c r="T86" s="5">
        <v>2</v>
      </c>
      <c r="U86" s="5">
        <v>2</v>
      </c>
      <c r="V86" s="5">
        <v>2</v>
      </c>
      <c r="W86" s="5" t="s">
        <v>516</v>
      </c>
      <c r="X86" s="5">
        <v>12</v>
      </c>
      <c r="Y86" s="5"/>
      <c r="Z86" s="5"/>
      <c r="AA86" s="5">
        <v>11.88</v>
      </c>
      <c r="AB86" s="5">
        <v>6</v>
      </c>
      <c r="AC86" s="5">
        <v>184</v>
      </c>
      <c r="AD86" s="5">
        <v>118.6</v>
      </c>
      <c r="AE86" s="5">
        <v>49</v>
      </c>
      <c r="AF86" s="5"/>
      <c r="AG86" s="5">
        <v>82</v>
      </c>
      <c r="AH86" s="5">
        <v>2000</v>
      </c>
      <c r="AI86" s="5"/>
      <c r="AJ86" s="5"/>
      <c r="AK86" s="5" t="s">
        <v>517</v>
      </c>
      <c r="AL86" s="5" t="s">
        <v>518</v>
      </c>
      <c r="AM86" s="5"/>
      <c r="AN86" s="5">
        <v>10</v>
      </c>
      <c r="AO86" s="5">
        <v>1</v>
      </c>
      <c r="AP86" s="5">
        <v>3</v>
      </c>
      <c r="AQ86" s="5">
        <v>3</v>
      </c>
      <c r="AR86" s="5">
        <v>5</v>
      </c>
      <c r="AS86" s="5"/>
      <c r="AT86" s="5"/>
      <c r="AU86" s="5"/>
      <c r="AV86" s="5"/>
      <c r="AW86" s="5"/>
      <c r="AX86" s="5"/>
      <c r="AY86" s="5"/>
      <c r="AZ86" s="5"/>
      <c r="BA86" s="5">
        <v>1</v>
      </c>
      <c r="BB86" s="5">
        <v>1</v>
      </c>
      <c r="BC86" s="5">
        <v>100</v>
      </c>
      <c r="BD86" s="5">
        <v>1</v>
      </c>
      <c r="BE86" s="5">
        <v>2</v>
      </c>
      <c r="BF86" s="5">
        <v>2</v>
      </c>
      <c r="BG86" s="5">
        <v>2</v>
      </c>
      <c r="BH86" s="5">
        <v>1</v>
      </c>
      <c r="BI86" s="5">
        <v>1</v>
      </c>
      <c r="BJ86" s="5">
        <v>1</v>
      </c>
      <c r="BK86" s="5">
        <v>1</v>
      </c>
      <c r="BL86" s="5">
        <v>2</v>
      </c>
      <c r="BM86" s="5">
        <v>1</v>
      </c>
      <c r="BN86" s="5">
        <v>2</v>
      </c>
      <c r="BO86" s="5">
        <v>1</v>
      </c>
      <c r="BP86" s="5">
        <v>1</v>
      </c>
      <c r="BQ86" s="5">
        <v>1</v>
      </c>
      <c r="BR86" s="5">
        <v>19</v>
      </c>
      <c r="BS86" s="5">
        <v>1</v>
      </c>
      <c r="BT86" s="5">
        <v>1</v>
      </c>
      <c r="BU86" s="5"/>
    </row>
    <row r="87" spans="1:73" x14ac:dyDescent="0.25">
      <c r="A87" s="12" t="s">
        <v>155</v>
      </c>
      <c r="B87" s="5">
        <v>1</v>
      </c>
      <c r="C87" s="12">
        <v>10.412800000000001</v>
      </c>
      <c r="D87" s="13">
        <v>180201236</v>
      </c>
      <c r="E87" s="12">
        <v>64</v>
      </c>
      <c r="F87" s="12">
        <v>2</v>
      </c>
      <c r="G87" s="14">
        <v>44932</v>
      </c>
      <c r="H87" s="16">
        <v>0.45833333333333331</v>
      </c>
      <c r="I87" s="14">
        <v>44934</v>
      </c>
      <c r="J87" s="14">
        <v>44938</v>
      </c>
      <c r="K87" s="12">
        <v>8208450620</v>
      </c>
      <c r="L87" s="12"/>
      <c r="M87" s="12">
        <v>7</v>
      </c>
      <c r="N87" s="12">
        <v>1</v>
      </c>
      <c r="O87" s="12">
        <v>1</v>
      </c>
      <c r="P87" s="12">
        <v>2</v>
      </c>
      <c r="Q87" s="12">
        <v>2</v>
      </c>
      <c r="R87" s="12">
        <v>2</v>
      </c>
      <c r="S87" s="12">
        <v>2</v>
      </c>
      <c r="T87" s="12">
        <v>2</v>
      </c>
      <c r="U87" s="12">
        <v>1</v>
      </c>
      <c r="V87" s="12">
        <v>2</v>
      </c>
      <c r="W87" s="12"/>
      <c r="X87" s="12">
        <v>9.6999999999999993</v>
      </c>
      <c r="Y87" s="12">
        <v>31.7</v>
      </c>
      <c r="Z87" s="12"/>
      <c r="AA87" s="12">
        <v>29.9</v>
      </c>
      <c r="AB87" s="12">
        <v>11.2</v>
      </c>
      <c r="AC87" s="12"/>
      <c r="AD87" s="12"/>
      <c r="AE87" s="12"/>
      <c r="AF87" s="12"/>
      <c r="AG87" s="12"/>
      <c r="AH87" s="12">
        <v>260</v>
      </c>
      <c r="AI87" s="12" t="s">
        <v>156</v>
      </c>
      <c r="AJ87" s="12"/>
      <c r="AK87" s="12" t="s">
        <v>157</v>
      </c>
      <c r="AL87" s="12" t="s">
        <v>158</v>
      </c>
      <c r="AM87" s="12"/>
      <c r="AN87" s="12">
        <v>8</v>
      </c>
      <c r="AO87" s="12" t="s">
        <v>720</v>
      </c>
      <c r="AP87" s="12">
        <v>4</v>
      </c>
      <c r="AQ87" s="12">
        <v>2</v>
      </c>
      <c r="AR87" s="12">
        <v>5</v>
      </c>
      <c r="AS87" s="12"/>
      <c r="AT87" s="12">
        <v>1</v>
      </c>
      <c r="AU87" s="12">
        <v>1</v>
      </c>
      <c r="AV87" s="12">
        <v>2</v>
      </c>
      <c r="AW87" s="12"/>
      <c r="AX87" s="12"/>
      <c r="AY87" s="12"/>
      <c r="AZ87" s="12"/>
      <c r="BA87" s="12">
        <v>0</v>
      </c>
      <c r="BB87" s="5">
        <v>1</v>
      </c>
      <c r="BC87" s="12">
        <v>100</v>
      </c>
      <c r="BD87" s="12">
        <v>0</v>
      </c>
      <c r="BE87" s="12">
        <v>2</v>
      </c>
      <c r="BF87" s="12">
        <v>2</v>
      </c>
      <c r="BG87" s="12">
        <v>2</v>
      </c>
      <c r="BH87" s="12">
        <v>1</v>
      </c>
      <c r="BI87" s="12">
        <v>1</v>
      </c>
      <c r="BJ87" s="12">
        <v>1</v>
      </c>
      <c r="BK87" s="12">
        <v>0</v>
      </c>
      <c r="BL87" s="12">
        <v>1</v>
      </c>
      <c r="BM87" s="12">
        <v>2</v>
      </c>
      <c r="BN87" s="12">
        <v>2</v>
      </c>
      <c r="BO87" s="12">
        <v>1</v>
      </c>
      <c r="BP87" s="12">
        <v>1</v>
      </c>
      <c r="BQ87" s="12">
        <v>1</v>
      </c>
      <c r="BR87" s="12">
        <v>17</v>
      </c>
      <c r="BS87" s="12">
        <v>1</v>
      </c>
      <c r="BT87" s="12">
        <v>1</v>
      </c>
      <c r="BU87" s="12"/>
    </row>
    <row r="88" spans="1:73" x14ac:dyDescent="0.25">
      <c r="A88" s="12" t="s">
        <v>159</v>
      </c>
      <c r="B88" s="5">
        <v>1</v>
      </c>
      <c r="C88" s="12">
        <v>10.5968</v>
      </c>
      <c r="D88" s="13">
        <v>200103233</v>
      </c>
      <c r="E88" s="12">
        <v>66</v>
      </c>
      <c r="F88" s="12">
        <v>1</v>
      </c>
      <c r="G88" s="14">
        <v>45028</v>
      </c>
      <c r="H88" s="16">
        <v>0.85416666666666663</v>
      </c>
      <c r="I88" s="14">
        <v>45028</v>
      </c>
      <c r="J88" s="14">
        <v>45029</v>
      </c>
      <c r="K88" s="12">
        <v>9850068182</v>
      </c>
      <c r="L88" s="12">
        <v>8055509303</v>
      </c>
      <c r="M88" s="12">
        <v>4</v>
      </c>
      <c r="N88" s="12">
        <v>1</v>
      </c>
      <c r="O88" s="12">
        <v>2</v>
      </c>
      <c r="P88" s="12">
        <v>2</v>
      </c>
      <c r="Q88" s="12">
        <v>2</v>
      </c>
      <c r="R88" s="12">
        <v>2</v>
      </c>
      <c r="S88" s="12">
        <v>2</v>
      </c>
      <c r="T88" s="12">
        <v>2</v>
      </c>
      <c r="U88" s="12">
        <v>2</v>
      </c>
      <c r="V88" s="12">
        <v>1</v>
      </c>
      <c r="W88" s="12" t="s">
        <v>160</v>
      </c>
      <c r="X88" s="12">
        <v>15.2</v>
      </c>
      <c r="Y88" s="12">
        <v>43.6</v>
      </c>
      <c r="Z88" s="12"/>
      <c r="AA88" s="12">
        <v>14</v>
      </c>
      <c r="AB88" s="12">
        <v>5.5</v>
      </c>
      <c r="AC88" s="12">
        <v>164</v>
      </c>
      <c r="AD88" s="12">
        <v>106</v>
      </c>
      <c r="AE88" s="12">
        <v>40</v>
      </c>
      <c r="AF88" s="12">
        <v>17</v>
      </c>
      <c r="AG88" s="12">
        <v>87</v>
      </c>
      <c r="AH88" s="12">
        <v>222</v>
      </c>
      <c r="AI88" s="12" t="s">
        <v>161</v>
      </c>
      <c r="AJ88" s="12"/>
      <c r="AK88" s="12" t="s">
        <v>162</v>
      </c>
      <c r="AL88" s="12" t="s">
        <v>163</v>
      </c>
      <c r="AM88" s="12" t="s">
        <v>164</v>
      </c>
      <c r="AN88" s="12">
        <v>2</v>
      </c>
      <c r="AO88" s="12" t="s">
        <v>721</v>
      </c>
      <c r="AP88" s="12">
        <v>2</v>
      </c>
      <c r="AQ88" s="12">
        <v>1</v>
      </c>
      <c r="AR88" s="12">
        <v>4</v>
      </c>
      <c r="AS88" s="12"/>
      <c r="AT88" s="12">
        <v>1</v>
      </c>
      <c r="AU88" s="12">
        <v>1</v>
      </c>
      <c r="AV88" s="12">
        <v>2</v>
      </c>
      <c r="AW88" s="12"/>
      <c r="AX88" s="12"/>
      <c r="AY88" s="12"/>
      <c r="AZ88" s="12"/>
      <c r="BA88" s="12">
        <v>0</v>
      </c>
      <c r="BB88" s="5">
        <v>1</v>
      </c>
      <c r="BC88" s="12">
        <v>100</v>
      </c>
      <c r="BD88" s="12">
        <v>1</v>
      </c>
      <c r="BE88" s="12">
        <v>1</v>
      </c>
      <c r="BF88" s="12">
        <v>2</v>
      </c>
      <c r="BG88" s="12">
        <v>2</v>
      </c>
      <c r="BH88" s="12">
        <v>1</v>
      </c>
      <c r="BI88" s="12">
        <v>1</v>
      </c>
      <c r="BJ88" s="12">
        <v>1</v>
      </c>
      <c r="BK88" s="12">
        <v>1</v>
      </c>
      <c r="BL88" s="12">
        <v>1</v>
      </c>
      <c r="BM88" s="12">
        <v>1</v>
      </c>
      <c r="BN88" s="12">
        <v>2</v>
      </c>
      <c r="BO88" s="12">
        <v>1</v>
      </c>
      <c r="BP88" s="12">
        <v>1</v>
      </c>
      <c r="BQ88" s="12">
        <v>1</v>
      </c>
      <c r="BR88" s="12">
        <v>17</v>
      </c>
      <c r="BS88" s="12">
        <v>1</v>
      </c>
      <c r="BT88" s="12">
        <v>1</v>
      </c>
      <c r="BU88" s="12"/>
    </row>
    <row r="89" spans="1:73" x14ac:dyDescent="0.25">
      <c r="A89" s="12" t="s">
        <v>235</v>
      </c>
      <c r="B89" s="5">
        <v>1</v>
      </c>
      <c r="C89" s="12">
        <v>11.7882</v>
      </c>
      <c r="D89" s="13">
        <v>201001242</v>
      </c>
      <c r="E89" s="12">
        <v>56</v>
      </c>
      <c r="F89" s="12">
        <v>1</v>
      </c>
      <c r="G89" s="14"/>
      <c r="H89" s="12"/>
      <c r="I89" s="14">
        <v>44978</v>
      </c>
      <c r="J89" s="14"/>
      <c r="K89" s="12">
        <v>8975275847</v>
      </c>
      <c r="L89" s="12"/>
      <c r="M89" s="12">
        <v>2</v>
      </c>
      <c r="N89" s="12"/>
      <c r="O89" s="12">
        <v>1</v>
      </c>
      <c r="P89" s="12">
        <v>2</v>
      </c>
      <c r="Q89" s="12">
        <v>2</v>
      </c>
      <c r="R89" s="12">
        <v>2</v>
      </c>
      <c r="S89" s="12">
        <v>2</v>
      </c>
      <c r="T89" s="12">
        <v>2</v>
      </c>
      <c r="U89" s="12">
        <v>2</v>
      </c>
      <c r="V89" s="12">
        <v>2</v>
      </c>
      <c r="W89" s="12"/>
      <c r="X89" s="12">
        <v>15.1</v>
      </c>
      <c r="Y89" s="12"/>
      <c r="Z89" s="12"/>
      <c r="AA89" s="12">
        <v>30</v>
      </c>
      <c r="AB89" s="12">
        <v>17.100000000000001</v>
      </c>
      <c r="AC89" s="12"/>
      <c r="AD89" s="12"/>
      <c r="AE89" s="12"/>
      <c r="AF89" s="12"/>
      <c r="AG89" s="12"/>
      <c r="AH89" s="12">
        <v>183</v>
      </c>
      <c r="AI89" s="12"/>
      <c r="AJ89" s="12"/>
      <c r="AK89" s="12" t="s">
        <v>236</v>
      </c>
      <c r="AL89" s="12"/>
      <c r="AM89" s="12"/>
      <c r="AN89" s="12">
        <v>9</v>
      </c>
      <c r="AO89" s="12">
        <v>1</v>
      </c>
      <c r="AP89" s="12">
        <v>3</v>
      </c>
      <c r="AQ89" s="12">
        <v>3</v>
      </c>
      <c r="AR89" s="12">
        <v>5</v>
      </c>
      <c r="AS89" s="12"/>
      <c r="AT89" s="12">
        <v>1</v>
      </c>
      <c r="AU89" s="12">
        <v>1</v>
      </c>
      <c r="AV89" s="12">
        <v>2</v>
      </c>
      <c r="AW89" s="12"/>
      <c r="AX89" s="12"/>
      <c r="AY89" s="12"/>
      <c r="AZ89" s="12"/>
      <c r="BA89" s="12">
        <v>1</v>
      </c>
      <c r="BB89" s="5">
        <v>1</v>
      </c>
      <c r="BC89" s="12">
        <v>100</v>
      </c>
      <c r="BD89" s="12">
        <v>0</v>
      </c>
      <c r="BE89" s="12">
        <v>2</v>
      </c>
      <c r="BF89" s="12">
        <v>2</v>
      </c>
      <c r="BG89" s="12">
        <v>2</v>
      </c>
      <c r="BH89" s="12">
        <v>1</v>
      </c>
      <c r="BI89" s="12">
        <v>1</v>
      </c>
      <c r="BJ89" s="12">
        <v>1</v>
      </c>
      <c r="BK89" s="12">
        <v>1</v>
      </c>
      <c r="BL89" s="12">
        <v>1</v>
      </c>
      <c r="BM89" s="12">
        <v>2</v>
      </c>
      <c r="BN89" s="12">
        <v>2</v>
      </c>
      <c r="BO89" s="12">
        <v>1</v>
      </c>
      <c r="BP89" s="12">
        <v>1</v>
      </c>
      <c r="BQ89" s="12">
        <v>1</v>
      </c>
      <c r="BR89" s="12">
        <v>18</v>
      </c>
      <c r="BS89" s="12">
        <v>1</v>
      </c>
      <c r="BT89" s="12">
        <v>1</v>
      </c>
      <c r="BU89" s="12"/>
    </row>
    <row r="90" spans="1:73" x14ac:dyDescent="0.25">
      <c r="A90" s="5" t="s">
        <v>566</v>
      </c>
      <c r="B90" s="5">
        <v>0</v>
      </c>
      <c r="C90" s="5">
        <v>11.856</v>
      </c>
      <c r="D90" s="6">
        <v>230402759</v>
      </c>
      <c r="E90" s="5">
        <v>54</v>
      </c>
      <c r="F90" s="5">
        <v>1</v>
      </c>
      <c r="G90" s="7">
        <v>45034</v>
      </c>
      <c r="H90" s="11">
        <v>0.375</v>
      </c>
      <c r="I90" s="7">
        <v>45034</v>
      </c>
      <c r="J90" s="7">
        <v>45035</v>
      </c>
      <c r="K90" s="5">
        <v>8999744447</v>
      </c>
      <c r="L90" s="5"/>
      <c r="M90" s="5">
        <v>3</v>
      </c>
      <c r="N90" s="5">
        <v>2</v>
      </c>
      <c r="O90" s="5">
        <v>1</v>
      </c>
      <c r="P90" s="5">
        <v>2</v>
      </c>
      <c r="Q90" s="5">
        <v>2</v>
      </c>
      <c r="R90" s="5">
        <v>2</v>
      </c>
      <c r="S90" s="5">
        <v>2</v>
      </c>
      <c r="T90" s="5">
        <v>2</v>
      </c>
      <c r="U90" s="5">
        <v>2</v>
      </c>
      <c r="V90" s="5">
        <v>2</v>
      </c>
      <c r="W90" s="5"/>
      <c r="X90" s="5">
        <v>15.5</v>
      </c>
      <c r="Y90" s="5">
        <v>45.7</v>
      </c>
      <c r="Z90" s="5"/>
      <c r="AA90" s="5">
        <v>13</v>
      </c>
      <c r="AB90" s="5">
        <v>7.6</v>
      </c>
      <c r="AC90" s="5">
        <v>197</v>
      </c>
      <c r="AD90" s="5">
        <v>140</v>
      </c>
      <c r="AE90" s="5">
        <v>26</v>
      </c>
      <c r="AF90" s="5">
        <v>31</v>
      </c>
      <c r="AG90" s="5">
        <v>155</v>
      </c>
      <c r="AH90" s="5">
        <v>213</v>
      </c>
      <c r="AI90" s="5" t="s">
        <v>567</v>
      </c>
      <c r="AJ90" s="5"/>
      <c r="AK90" s="5" t="s">
        <v>568</v>
      </c>
      <c r="AL90" s="5" t="s">
        <v>569</v>
      </c>
      <c r="AM90" s="5"/>
      <c r="AN90" s="5">
        <v>9</v>
      </c>
      <c r="AO90" s="5">
        <v>3</v>
      </c>
      <c r="AP90" s="5">
        <v>5</v>
      </c>
      <c r="AQ90" s="5">
        <v>3</v>
      </c>
      <c r="AR90" s="5">
        <v>5</v>
      </c>
      <c r="AS90" s="5"/>
      <c r="AT90" s="5">
        <v>1</v>
      </c>
      <c r="AU90" s="5">
        <v>1</v>
      </c>
      <c r="AV90" s="5">
        <v>2</v>
      </c>
      <c r="AW90" s="5"/>
      <c r="AX90" s="5"/>
      <c r="AY90" s="5"/>
      <c r="AZ90" s="5"/>
      <c r="BA90" s="5">
        <v>1</v>
      </c>
      <c r="BB90" s="5">
        <v>1</v>
      </c>
      <c r="BC90" s="5">
        <v>100</v>
      </c>
      <c r="BD90" s="5">
        <v>0</v>
      </c>
      <c r="BE90" s="5">
        <v>1</v>
      </c>
      <c r="BF90" s="5">
        <v>2</v>
      </c>
      <c r="BG90" s="5">
        <v>2</v>
      </c>
      <c r="BH90" s="5">
        <v>1</v>
      </c>
      <c r="BI90" s="5">
        <v>1</v>
      </c>
      <c r="BJ90" s="5">
        <v>1</v>
      </c>
      <c r="BK90" s="5">
        <v>1</v>
      </c>
      <c r="BL90" s="5">
        <v>2</v>
      </c>
      <c r="BM90" s="5">
        <v>2</v>
      </c>
      <c r="BN90" s="5">
        <v>2</v>
      </c>
      <c r="BO90" s="5">
        <v>1</v>
      </c>
      <c r="BP90" s="5">
        <v>1</v>
      </c>
      <c r="BQ90" s="5">
        <v>1</v>
      </c>
      <c r="BR90" s="5">
        <v>18</v>
      </c>
      <c r="BS90" s="5">
        <v>1</v>
      </c>
      <c r="BT90" s="5">
        <v>0</v>
      </c>
      <c r="BU90" s="5"/>
    </row>
    <row r="91" spans="1:73" x14ac:dyDescent="0.25">
      <c r="A91" s="12" t="s">
        <v>379</v>
      </c>
      <c r="B91" s="5">
        <v>1</v>
      </c>
      <c r="C91" s="12">
        <v>12.001300000000001</v>
      </c>
      <c r="D91" s="13">
        <v>230602023</v>
      </c>
      <c r="E91" s="12">
        <v>73</v>
      </c>
      <c r="F91" s="12">
        <v>1</v>
      </c>
      <c r="G91" s="14"/>
      <c r="H91" s="12"/>
      <c r="I91" s="14">
        <v>45085</v>
      </c>
      <c r="J91" s="14">
        <v>45086</v>
      </c>
      <c r="K91" s="12">
        <v>7506372648</v>
      </c>
      <c r="L91" s="12"/>
      <c r="M91" s="12">
        <v>0</v>
      </c>
      <c r="N91" s="12">
        <v>1</v>
      </c>
      <c r="O91" s="12">
        <v>2</v>
      </c>
      <c r="P91" s="12">
        <v>2</v>
      </c>
      <c r="Q91" s="12">
        <v>2</v>
      </c>
      <c r="R91" s="12">
        <v>2</v>
      </c>
      <c r="S91" s="12">
        <v>2</v>
      </c>
      <c r="T91" s="12">
        <v>1</v>
      </c>
      <c r="U91" s="12">
        <v>2</v>
      </c>
      <c r="V91" s="12">
        <v>2</v>
      </c>
      <c r="W91" s="12"/>
      <c r="X91" s="12">
        <v>143</v>
      </c>
      <c r="Y91" s="12"/>
      <c r="Z91" s="12"/>
      <c r="AA91" s="12"/>
      <c r="AB91" s="12"/>
      <c r="AC91" s="12"/>
      <c r="AD91" s="12"/>
      <c r="AE91" s="12"/>
      <c r="AF91" s="12"/>
      <c r="AG91" s="12"/>
      <c r="AH91" s="12"/>
      <c r="AI91" s="12"/>
      <c r="AJ91" s="12"/>
      <c r="AK91" s="12" t="s">
        <v>380</v>
      </c>
      <c r="AL91" s="12" t="s">
        <v>381</v>
      </c>
      <c r="AM91" s="12"/>
      <c r="AN91" s="12">
        <v>9</v>
      </c>
      <c r="AO91" s="12" t="s">
        <v>720</v>
      </c>
      <c r="AP91" s="12">
        <v>3</v>
      </c>
      <c r="AQ91" s="12">
        <v>2</v>
      </c>
      <c r="AR91" s="12">
        <v>5</v>
      </c>
      <c r="AS91" s="12"/>
      <c r="AT91" s="12">
        <v>1</v>
      </c>
      <c r="AU91" s="12">
        <v>1</v>
      </c>
      <c r="AV91" s="12">
        <v>1</v>
      </c>
      <c r="AW91" s="12">
        <v>1</v>
      </c>
      <c r="AX91" s="12"/>
      <c r="AY91" s="12"/>
      <c r="AZ91" s="12"/>
      <c r="BA91" s="12">
        <v>0</v>
      </c>
      <c r="BB91" s="5">
        <v>1</v>
      </c>
      <c r="BC91" s="12">
        <v>100</v>
      </c>
      <c r="BD91" s="12">
        <v>1</v>
      </c>
      <c r="BE91" s="12">
        <v>2</v>
      </c>
      <c r="BF91" s="12">
        <v>2</v>
      </c>
      <c r="BG91" s="12">
        <v>2</v>
      </c>
      <c r="BH91" s="12">
        <v>1</v>
      </c>
      <c r="BI91" s="12">
        <v>1</v>
      </c>
      <c r="BJ91" s="12">
        <v>1</v>
      </c>
      <c r="BK91" s="12">
        <v>1</v>
      </c>
      <c r="BL91" s="12">
        <v>2</v>
      </c>
      <c r="BM91" s="12">
        <v>2</v>
      </c>
      <c r="BN91" s="12">
        <v>2</v>
      </c>
      <c r="BO91" s="12">
        <v>1</v>
      </c>
      <c r="BP91" s="12">
        <v>1</v>
      </c>
      <c r="BQ91" s="12">
        <v>1</v>
      </c>
      <c r="BR91" s="12">
        <v>20</v>
      </c>
      <c r="BS91" s="12">
        <v>1</v>
      </c>
      <c r="BT91" s="12">
        <v>1</v>
      </c>
      <c r="BU91" s="12"/>
    </row>
    <row r="92" spans="1:73" x14ac:dyDescent="0.25">
      <c r="A92" s="12" t="s">
        <v>119</v>
      </c>
      <c r="B92" s="5">
        <v>1</v>
      </c>
      <c r="C92" s="12">
        <v>12.2628</v>
      </c>
      <c r="D92" s="13">
        <v>230000000000</v>
      </c>
      <c r="E92" s="12">
        <v>30</v>
      </c>
      <c r="F92" s="12">
        <v>1</v>
      </c>
      <c r="G92" s="14">
        <v>45220</v>
      </c>
      <c r="H92" s="16">
        <v>0.1875</v>
      </c>
      <c r="I92" s="14">
        <v>45220</v>
      </c>
      <c r="J92" s="14">
        <v>45220</v>
      </c>
      <c r="K92" s="12">
        <v>8805207125</v>
      </c>
      <c r="L92" s="12"/>
      <c r="M92" s="12">
        <v>9</v>
      </c>
      <c r="N92" s="12">
        <v>2</v>
      </c>
      <c r="O92" s="12">
        <v>2</v>
      </c>
      <c r="P92" s="12">
        <v>1</v>
      </c>
      <c r="Q92" s="12">
        <v>1</v>
      </c>
      <c r="R92" s="12">
        <v>2</v>
      </c>
      <c r="S92" s="12">
        <v>2</v>
      </c>
      <c r="T92" s="12">
        <v>2</v>
      </c>
      <c r="U92" s="12">
        <v>2</v>
      </c>
      <c r="V92" s="12">
        <v>2</v>
      </c>
      <c r="W92" s="12" t="s">
        <v>120</v>
      </c>
      <c r="X92" s="12"/>
      <c r="Y92" s="12"/>
      <c r="Z92" s="12"/>
      <c r="AA92" s="12"/>
      <c r="AB92" s="12"/>
      <c r="AC92" s="12"/>
      <c r="AD92" s="12"/>
      <c r="AE92" s="12"/>
      <c r="AF92" s="12"/>
      <c r="AG92" s="12"/>
      <c r="AH92" s="12"/>
      <c r="AI92" s="12"/>
      <c r="AJ92" s="12"/>
      <c r="AK92" s="12" t="s">
        <v>121</v>
      </c>
      <c r="AL92" s="12" t="s">
        <v>122</v>
      </c>
      <c r="AM92" s="12" t="s">
        <v>123</v>
      </c>
      <c r="AN92" s="12">
        <v>10</v>
      </c>
      <c r="AO92" s="12">
        <v>2</v>
      </c>
      <c r="AP92" s="12">
        <v>2</v>
      </c>
      <c r="AQ92" s="12">
        <v>2</v>
      </c>
      <c r="AR92" s="12">
        <v>4</v>
      </c>
      <c r="AS92" s="12"/>
      <c r="AT92" s="12"/>
      <c r="AU92" s="12"/>
      <c r="AV92" s="12"/>
      <c r="AW92" s="12"/>
      <c r="AX92" s="12"/>
      <c r="AY92" s="12"/>
      <c r="AZ92" s="12"/>
      <c r="BA92" s="12">
        <v>0</v>
      </c>
      <c r="BB92" s="5">
        <v>1</v>
      </c>
      <c r="BC92" s="12">
        <v>100</v>
      </c>
      <c r="BD92" s="12">
        <v>1</v>
      </c>
      <c r="BE92" s="12">
        <v>2</v>
      </c>
      <c r="BF92" s="12">
        <v>0</v>
      </c>
      <c r="BG92" s="12">
        <v>0</v>
      </c>
      <c r="BH92" s="12">
        <v>1</v>
      </c>
      <c r="BI92" s="12">
        <v>1</v>
      </c>
      <c r="BJ92" s="12">
        <v>1</v>
      </c>
      <c r="BK92" s="12">
        <v>1</v>
      </c>
      <c r="BL92" s="12">
        <v>2</v>
      </c>
      <c r="BM92" s="12">
        <v>2</v>
      </c>
      <c r="BN92" s="12">
        <v>2</v>
      </c>
      <c r="BO92" s="12">
        <v>1</v>
      </c>
      <c r="BP92" s="12">
        <v>1</v>
      </c>
      <c r="BQ92" s="12">
        <v>1</v>
      </c>
      <c r="BR92" s="12">
        <v>16</v>
      </c>
      <c r="BS92" s="12">
        <v>1</v>
      </c>
      <c r="BT92" s="12">
        <v>1</v>
      </c>
      <c r="BU92" s="12"/>
    </row>
    <row r="93" spans="1:73" x14ac:dyDescent="0.25">
      <c r="A93" s="5" t="s">
        <v>570</v>
      </c>
      <c r="B93" s="5">
        <v>0</v>
      </c>
      <c r="C93" s="5">
        <v>12.4711</v>
      </c>
      <c r="D93" s="6">
        <v>231002507</v>
      </c>
      <c r="E93" s="5">
        <v>55</v>
      </c>
      <c r="F93" s="5">
        <v>2</v>
      </c>
      <c r="G93" s="7">
        <v>45219</v>
      </c>
      <c r="H93" s="11">
        <v>0.54166666666666663</v>
      </c>
      <c r="I93" s="7">
        <v>45219</v>
      </c>
      <c r="J93" s="7">
        <v>45228</v>
      </c>
      <c r="K93" s="5">
        <v>7498754557</v>
      </c>
      <c r="L93" s="5">
        <v>8888410178</v>
      </c>
      <c r="M93" s="5">
        <v>8</v>
      </c>
      <c r="N93" s="5">
        <v>1</v>
      </c>
      <c r="O93" s="5">
        <v>1</v>
      </c>
      <c r="P93" s="5">
        <v>2</v>
      </c>
      <c r="Q93" s="5">
        <v>2</v>
      </c>
      <c r="R93" s="5">
        <v>2</v>
      </c>
      <c r="S93" s="5">
        <v>2</v>
      </c>
      <c r="T93" s="5">
        <v>2</v>
      </c>
      <c r="U93" s="5">
        <v>2</v>
      </c>
      <c r="V93" s="5">
        <v>2</v>
      </c>
      <c r="W93" s="5"/>
      <c r="X93" s="5">
        <v>10.4</v>
      </c>
      <c r="Y93" s="5">
        <v>32.4</v>
      </c>
      <c r="Z93" s="5">
        <v>83.5</v>
      </c>
      <c r="AA93" s="5">
        <v>16.39</v>
      </c>
      <c r="AB93" s="5">
        <v>7.3</v>
      </c>
      <c r="AC93" s="5">
        <v>186</v>
      </c>
      <c r="AD93" s="5">
        <v>130.19999999999999</v>
      </c>
      <c r="AE93" s="5">
        <v>34</v>
      </c>
      <c r="AF93" s="5">
        <v>21.8</v>
      </c>
      <c r="AG93" s="5">
        <v>109</v>
      </c>
      <c r="AH93" s="5">
        <v>148</v>
      </c>
      <c r="AI93" s="5"/>
      <c r="AJ93" s="5"/>
      <c r="AK93" s="5" t="s">
        <v>571</v>
      </c>
      <c r="AL93" s="5" t="s">
        <v>572</v>
      </c>
      <c r="AM93" s="5"/>
      <c r="AN93" s="5">
        <v>10</v>
      </c>
      <c r="AO93" s="5">
        <v>1</v>
      </c>
      <c r="AP93" s="5">
        <v>3</v>
      </c>
      <c r="AQ93" s="5">
        <v>3</v>
      </c>
      <c r="AR93" s="5">
        <v>5</v>
      </c>
      <c r="AS93" s="5"/>
      <c r="AT93" s="5">
        <v>1</v>
      </c>
      <c r="AU93" s="5">
        <v>1</v>
      </c>
      <c r="AV93" s="5">
        <v>2</v>
      </c>
      <c r="AW93" s="5"/>
      <c r="AX93" s="5"/>
      <c r="AY93" s="5"/>
      <c r="AZ93" s="5"/>
      <c r="BA93" s="5">
        <v>1</v>
      </c>
      <c r="BB93" s="5">
        <v>1</v>
      </c>
      <c r="BC93" s="5">
        <v>100</v>
      </c>
      <c r="BD93" s="5">
        <v>1</v>
      </c>
      <c r="BE93" s="5">
        <v>2</v>
      </c>
      <c r="BF93" s="5">
        <v>2</v>
      </c>
      <c r="BG93" s="5">
        <v>2</v>
      </c>
      <c r="BH93" s="5">
        <v>1</v>
      </c>
      <c r="BI93" s="5">
        <v>1</v>
      </c>
      <c r="BJ93" s="5">
        <v>1</v>
      </c>
      <c r="BK93" s="5">
        <v>1</v>
      </c>
      <c r="BL93" s="5">
        <v>2</v>
      </c>
      <c r="BM93" s="5">
        <v>2</v>
      </c>
      <c r="BN93" s="5">
        <v>2</v>
      </c>
      <c r="BO93" s="5">
        <v>1</v>
      </c>
      <c r="BP93" s="5">
        <v>1</v>
      </c>
      <c r="BQ93" s="5">
        <v>1</v>
      </c>
      <c r="BR93" s="5">
        <v>20</v>
      </c>
      <c r="BS93" s="5">
        <v>0</v>
      </c>
      <c r="BT93" s="5">
        <v>0</v>
      </c>
      <c r="BU93" s="5"/>
    </row>
    <row r="94" spans="1:73" x14ac:dyDescent="0.25">
      <c r="A94" s="12" t="s">
        <v>108</v>
      </c>
      <c r="B94" s="5">
        <v>1</v>
      </c>
      <c r="C94" s="12">
        <v>12.7326</v>
      </c>
      <c r="D94" s="13">
        <v>230000000000</v>
      </c>
      <c r="E94" s="12">
        <v>70</v>
      </c>
      <c r="F94" s="12">
        <v>1</v>
      </c>
      <c r="G94" s="14">
        <v>45258</v>
      </c>
      <c r="H94" s="16">
        <v>0.21666666666666667</v>
      </c>
      <c r="I94" s="14">
        <v>45258</v>
      </c>
      <c r="J94" s="14">
        <v>45262</v>
      </c>
      <c r="K94" s="12">
        <v>9823290374</v>
      </c>
      <c r="L94" s="12">
        <v>9860937660</v>
      </c>
      <c r="M94" s="12">
        <v>4</v>
      </c>
      <c r="N94" s="12">
        <v>1</v>
      </c>
      <c r="O94" s="12">
        <v>1</v>
      </c>
      <c r="P94" s="12">
        <v>2</v>
      </c>
      <c r="Q94" s="12">
        <v>2</v>
      </c>
      <c r="R94" s="12">
        <v>2</v>
      </c>
      <c r="S94" s="12">
        <v>2</v>
      </c>
      <c r="T94" s="12">
        <v>2</v>
      </c>
      <c r="U94" s="12">
        <v>2</v>
      </c>
      <c r="V94" s="12">
        <v>2</v>
      </c>
      <c r="W94" s="12" t="s">
        <v>109</v>
      </c>
      <c r="X94" s="12">
        <v>13.5</v>
      </c>
      <c r="Y94" s="12">
        <v>40.6</v>
      </c>
      <c r="Z94" s="12"/>
      <c r="AA94" s="12">
        <v>18.600000000000001</v>
      </c>
      <c r="AB94" s="12">
        <v>6.3</v>
      </c>
      <c r="AC94" s="12"/>
      <c r="AD94" s="12"/>
      <c r="AE94" s="12"/>
      <c r="AF94" s="12"/>
      <c r="AG94" s="12"/>
      <c r="AH94" s="12">
        <v>162</v>
      </c>
      <c r="AI94" s="12"/>
      <c r="AJ94" s="12"/>
      <c r="AK94" s="12" t="s">
        <v>110</v>
      </c>
      <c r="AL94" s="12" t="s">
        <v>111</v>
      </c>
      <c r="AM94" s="12"/>
      <c r="AN94" s="12">
        <v>10</v>
      </c>
      <c r="AO94" s="12">
        <v>1</v>
      </c>
      <c r="AP94" s="12">
        <v>5</v>
      </c>
      <c r="AQ94" s="12">
        <v>3</v>
      </c>
      <c r="AR94" s="12">
        <v>5</v>
      </c>
      <c r="AS94" s="12"/>
      <c r="AT94" s="12">
        <v>1</v>
      </c>
      <c r="AU94" s="12">
        <v>2</v>
      </c>
      <c r="AV94" s="12">
        <v>2</v>
      </c>
      <c r="AW94" s="12"/>
      <c r="AX94" s="12">
        <v>3</v>
      </c>
      <c r="AY94" s="12"/>
      <c r="AZ94" s="12"/>
      <c r="BA94" s="12">
        <v>0</v>
      </c>
      <c r="BB94" s="5">
        <v>1</v>
      </c>
      <c r="BC94" s="12">
        <v>100</v>
      </c>
      <c r="BD94" s="12">
        <v>0</v>
      </c>
      <c r="BE94" s="12">
        <v>0</v>
      </c>
      <c r="BF94" s="12">
        <v>2</v>
      </c>
      <c r="BG94" s="12">
        <v>2</v>
      </c>
      <c r="BH94" s="12">
        <v>1</v>
      </c>
      <c r="BI94" s="12">
        <v>1</v>
      </c>
      <c r="BJ94" s="12">
        <v>1</v>
      </c>
      <c r="BK94" s="12">
        <v>0</v>
      </c>
      <c r="BL94" s="12">
        <v>1</v>
      </c>
      <c r="BM94" s="12">
        <v>2</v>
      </c>
      <c r="BN94" s="12">
        <v>2</v>
      </c>
      <c r="BO94" s="12">
        <v>1</v>
      </c>
      <c r="BP94" s="12">
        <v>1</v>
      </c>
      <c r="BQ94" s="12">
        <v>1</v>
      </c>
      <c r="BR94" s="12">
        <v>15</v>
      </c>
      <c r="BS94" s="12">
        <v>0</v>
      </c>
      <c r="BT94" s="12">
        <v>0</v>
      </c>
      <c r="BU94" s="12" t="s">
        <v>112</v>
      </c>
    </row>
    <row r="95" spans="1:73" x14ac:dyDescent="0.25">
      <c r="A95" s="12" t="s">
        <v>418</v>
      </c>
      <c r="B95" s="5">
        <v>1</v>
      </c>
      <c r="C95" s="12">
        <v>12.747199999999999</v>
      </c>
      <c r="D95" s="9">
        <f>VLOOKUP($A95,'[1]24-8-24 DATA ENTRY'!$A$1:$BR$278,3,FALSE)</f>
        <v>230000053311</v>
      </c>
      <c r="E95" s="9">
        <f>VLOOKUP($A95,'[1]24-8-24 DATA ENTRY'!$A$1:$BR$278,4,FALSE)</f>
        <v>55</v>
      </c>
      <c r="F95" s="9">
        <f>VLOOKUP($A95,'[1]24-8-24 DATA ENTRY'!$A$1:$BR$278,5,FALSE)</f>
        <v>2</v>
      </c>
      <c r="G95" s="10">
        <f>VLOOKUP($A95,'[1]24-8-24 DATA ENTRY'!$A$1:$BR$278,6,FALSE)</f>
        <v>45219</v>
      </c>
      <c r="H95" s="9">
        <f>VLOOKUP($A95,'[1]24-8-24 DATA ENTRY'!$A$1:$BR$278,7,FALSE)</f>
        <v>0.54166666666666663</v>
      </c>
      <c r="I95" s="10">
        <f>VLOOKUP($A95,'[1]24-8-24 DATA ENTRY'!$A$1:$BR$278,8,FALSE)</f>
        <v>45219</v>
      </c>
      <c r="J95" s="10">
        <f>VLOOKUP($A95,'[1]24-8-24 DATA ENTRY'!$A$1:$BR$278,9,FALSE)</f>
        <v>45220</v>
      </c>
      <c r="K95" s="9">
        <f>VLOOKUP($A95,'[1]24-8-24 DATA ENTRY'!$A$1:$BR$278,10,FALSE)</f>
        <v>7498754557</v>
      </c>
      <c r="L95" s="9">
        <f>VLOOKUP($A95,'[1]24-8-24 DATA ENTRY'!$A$1:$BR$278,11,FALSE)</f>
        <v>0</v>
      </c>
      <c r="M95" s="9">
        <f>VLOOKUP($A95,'[1]24-8-24 DATA ENTRY'!$A$1:$BR$278,12,FALSE)</f>
        <v>8</v>
      </c>
      <c r="N95" s="9">
        <f>VLOOKUP($A95,'[1]24-8-24 DATA ENTRY'!$A$1:$BR$278,13,FALSE)</f>
        <v>1</v>
      </c>
      <c r="O95" s="9">
        <f>VLOOKUP($A95,'[1]24-8-24 DATA ENTRY'!$A$1:$BR$278,14,FALSE)</f>
        <v>1</v>
      </c>
      <c r="P95" s="9">
        <f>VLOOKUP($A95,'[1]24-8-24 DATA ENTRY'!$A$1:$BR$278,15,FALSE)</f>
        <v>2</v>
      </c>
      <c r="Q95" s="9">
        <f>VLOOKUP($A95,'[1]24-8-24 DATA ENTRY'!$A$1:$BR$278,16,FALSE)</f>
        <v>2</v>
      </c>
      <c r="R95" s="9">
        <f>VLOOKUP($A95,'[1]24-8-24 DATA ENTRY'!$A$1:$BR$278,17,FALSE)</f>
        <v>2</v>
      </c>
      <c r="S95" s="9">
        <f>VLOOKUP($A95,'[1]24-8-24 DATA ENTRY'!$A$1:$BR$278,18,FALSE)</f>
        <v>2</v>
      </c>
      <c r="T95" s="9">
        <f>VLOOKUP($A95,'[1]24-8-24 DATA ENTRY'!$A$1:$BR$278,19,FALSE)</f>
        <v>2</v>
      </c>
      <c r="U95" s="9">
        <f>VLOOKUP($A95,'[1]24-8-24 DATA ENTRY'!$A$1:$BR$278,20,FALSE)</f>
        <v>2</v>
      </c>
      <c r="V95" s="9">
        <f>VLOOKUP($A95,'[1]24-8-24 DATA ENTRY'!$A$1:$BR$278,21,FALSE)</f>
        <v>2</v>
      </c>
      <c r="W95" s="9">
        <f>VLOOKUP($A95,'[1]24-8-24 DATA ENTRY'!$A$1:$BR$278,22,FALSE)</f>
        <v>0</v>
      </c>
      <c r="X95" s="9">
        <f>VLOOKUP($A95,'[1]24-8-24 DATA ENTRY'!$A$1:$BR$278,23,FALSE)</f>
        <v>10.4</v>
      </c>
      <c r="Y95" s="9">
        <f>VLOOKUP($A95,'[1]24-8-24 DATA ENTRY'!$A$1:$BR$278,24,FALSE)</f>
        <v>0</v>
      </c>
      <c r="Z95" s="9">
        <f>VLOOKUP($A95,'[1]24-8-24 DATA ENTRY'!$A$1:$BR$278,25,FALSE)</f>
        <v>0</v>
      </c>
      <c r="AA95" s="9">
        <f>VLOOKUP($A95,'[1]24-8-24 DATA ENTRY'!$A$1:$BR$278,26,FALSE)</f>
        <v>16.39</v>
      </c>
      <c r="AB95" s="9">
        <f>VLOOKUP($A95,'[1]24-8-24 DATA ENTRY'!$A$1:$BR$278,27,FALSE)</f>
        <v>5.8</v>
      </c>
      <c r="AC95" s="9">
        <f>VLOOKUP($A95,'[1]24-8-24 DATA ENTRY'!$A$1:$BR$278,28,FALSE)</f>
        <v>186</v>
      </c>
      <c r="AD95" s="9">
        <f>VLOOKUP($A95,'[1]24-8-24 DATA ENTRY'!$A$1:$BR$278,29,FALSE)</f>
        <v>130.19999999999999</v>
      </c>
      <c r="AE95" s="9">
        <f>VLOOKUP($A95,'[1]24-8-24 DATA ENTRY'!$A$1:$BR$278,30,FALSE)</f>
        <v>34</v>
      </c>
      <c r="AF95" s="9">
        <f>VLOOKUP($A95,'[1]24-8-24 DATA ENTRY'!$A$1:$BR$278,31,FALSE)</f>
        <v>21.8</v>
      </c>
      <c r="AG95" s="9">
        <f>VLOOKUP($A95,'[1]24-8-24 DATA ENTRY'!$A$1:$BR$278,32,FALSE)</f>
        <v>109</v>
      </c>
      <c r="AH95" s="9">
        <f>VLOOKUP($A95,'[1]24-8-24 DATA ENTRY'!$A$1:$BR$278,33,FALSE)</f>
        <v>148</v>
      </c>
      <c r="AI95" s="9">
        <f>VLOOKUP($A95,'[1]24-8-24 DATA ENTRY'!$A$1:$BR$278,34,FALSE)</f>
        <v>0</v>
      </c>
      <c r="AJ95" s="9">
        <f>VLOOKUP($A95,'[1]24-8-24 DATA ENTRY'!$A$1:$BR$278,35,FALSE)</f>
        <v>0</v>
      </c>
      <c r="AK95" s="9" t="str">
        <f>VLOOKUP($A95,'[1]24-8-24 DATA ENTRY'!$A$1:$BR$278,36,FALSE)</f>
        <v>Patchy acute non hemorrhagic infarcts in left frontal region. Patchy acute non hemorrhagic lacunar infarcts in left fronto-parieto-temporal region, splenium of corpus callosum in watershed territory.</v>
      </c>
      <c r="AL95" s="9" t="str">
        <f>VLOOKUP($A95,'[1]24-8-24 DATA ENTRY'!$A$1:$BR$278,37,FALSE)</f>
        <v xml:space="preserve">90% stenosis of left ICA with ruptured atherosclerotic plaque in left ICA </v>
      </c>
      <c r="AM95" s="9">
        <f>VLOOKUP($A95,'[1]24-8-24 DATA ENTRY'!$A$1:$BR$278,38,FALSE)</f>
        <v>0</v>
      </c>
      <c r="AN95" s="9">
        <f>VLOOKUP($A95,'[1]24-8-24 DATA ENTRY'!$A$1:$BR$278,39,FALSE)</f>
        <v>0</v>
      </c>
      <c r="AO95" s="9">
        <f>VLOOKUP($A95,'[1]24-8-24 DATA ENTRY'!$A$1:$BR$278,40,FALSE)</f>
        <v>0</v>
      </c>
      <c r="AP95" s="9">
        <f>VLOOKUP($A95,'[1]24-8-24 DATA ENTRY'!$A$1:$BR$278,41,FALSE)</f>
        <v>0</v>
      </c>
      <c r="AQ95" s="9">
        <f>VLOOKUP($A95,'[1]24-8-24 DATA ENTRY'!$A$1:$BR$278,42,FALSE)</f>
        <v>0</v>
      </c>
      <c r="AR95" s="9">
        <f>VLOOKUP($A95,'[1]24-8-24 DATA ENTRY'!$A$1:$BR$278,43,FALSE)</f>
        <v>0</v>
      </c>
      <c r="AS95" s="9">
        <f>VLOOKUP($A95,'[1]24-8-24 DATA ENTRY'!$A$1:$BR$278,44,FALSE)</f>
        <v>0</v>
      </c>
      <c r="AT95" s="9">
        <f>VLOOKUP($A95,'[1]24-8-24 DATA ENTRY'!$A$1:$BR$278,45,FALSE)</f>
        <v>1</v>
      </c>
      <c r="AU95" s="9">
        <f>VLOOKUP($A95,'[1]24-8-24 DATA ENTRY'!$A$1:$BR$278,46,FALSE)</f>
        <v>1</v>
      </c>
      <c r="AV95" s="9">
        <f>VLOOKUP($A95,'[1]24-8-24 DATA ENTRY'!$A$1:$BR$278,47,FALSE)</f>
        <v>2</v>
      </c>
      <c r="AW95" s="9">
        <f>VLOOKUP($A95,'[1]24-8-24 DATA ENTRY'!$A$1:$BR$278,48,FALSE)</f>
        <v>0</v>
      </c>
      <c r="AX95" s="9">
        <f>VLOOKUP($A95,'[1]24-8-24 DATA ENTRY'!$A$1:$BR$278,49,FALSE)</f>
        <v>0</v>
      </c>
      <c r="AY95" s="9">
        <f>VLOOKUP($A95,'[1]24-8-24 DATA ENTRY'!$A$1:$BR$278,50,FALSE)</f>
        <v>0</v>
      </c>
      <c r="AZ95" s="9">
        <f>VLOOKUP($A95,'[1]24-8-24 DATA ENTRY'!$A$1:$BR$278,51,FALSE)</f>
        <v>0</v>
      </c>
      <c r="BA95" s="9">
        <f>VLOOKUP($A95,'[1]24-8-24 DATA ENTRY'!$A$1:$BR$278,52,FALSE)</f>
        <v>1</v>
      </c>
      <c r="BB95" s="5">
        <v>1</v>
      </c>
      <c r="BC95" s="9">
        <f>VLOOKUP($A95,'[1]24-8-24 DATA ENTRY'!$A$1:$BR$278,53,FALSE)</f>
        <v>85</v>
      </c>
      <c r="BD95" s="12">
        <v>1</v>
      </c>
      <c r="BE95" s="12">
        <v>2</v>
      </c>
      <c r="BF95" s="12">
        <v>2</v>
      </c>
      <c r="BG95" s="12">
        <v>2</v>
      </c>
      <c r="BH95" s="12">
        <v>1</v>
      </c>
      <c r="BI95" s="12">
        <v>1</v>
      </c>
      <c r="BJ95" s="12">
        <v>1</v>
      </c>
      <c r="BK95" s="12">
        <v>1</v>
      </c>
      <c r="BL95" s="12">
        <v>2</v>
      </c>
      <c r="BM95" s="12">
        <v>2</v>
      </c>
      <c r="BN95" s="12">
        <v>2</v>
      </c>
      <c r="BO95" s="12">
        <v>1</v>
      </c>
      <c r="BP95" s="12">
        <v>1</v>
      </c>
      <c r="BQ95" s="12">
        <v>1</v>
      </c>
      <c r="BR95" s="12">
        <v>20</v>
      </c>
      <c r="BS95" s="12">
        <v>0</v>
      </c>
      <c r="BT95" s="12">
        <v>1</v>
      </c>
      <c r="BU95" s="12"/>
    </row>
    <row r="96" spans="1:73" x14ac:dyDescent="0.25">
      <c r="A96" s="12" t="s">
        <v>276</v>
      </c>
      <c r="B96" s="5">
        <v>1</v>
      </c>
      <c r="C96" s="12">
        <v>12.790699999999999</v>
      </c>
      <c r="D96" s="13">
        <v>230803603</v>
      </c>
      <c r="E96" s="12">
        <v>33</v>
      </c>
      <c r="F96" s="12">
        <v>1</v>
      </c>
      <c r="G96" s="14">
        <v>45161</v>
      </c>
      <c r="H96" s="16">
        <v>0.9375</v>
      </c>
      <c r="I96" s="14">
        <v>45161</v>
      </c>
      <c r="J96" s="14">
        <v>45167</v>
      </c>
      <c r="K96" s="12">
        <v>9637311461</v>
      </c>
      <c r="L96" s="12"/>
      <c r="M96" s="12">
        <v>9</v>
      </c>
      <c r="N96" s="12">
        <v>1</v>
      </c>
      <c r="O96" s="12">
        <v>2</v>
      </c>
      <c r="P96" s="12">
        <v>1</v>
      </c>
      <c r="Q96" s="12">
        <v>1</v>
      </c>
      <c r="R96" s="12">
        <v>2</v>
      </c>
      <c r="S96" s="12">
        <v>2</v>
      </c>
      <c r="T96" s="12">
        <v>2</v>
      </c>
      <c r="U96" s="12">
        <v>1</v>
      </c>
      <c r="V96" s="12">
        <v>2</v>
      </c>
      <c r="W96" s="12" t="s">
        <v>277</v>
      </c>
      <c r="X96" s="12">
        <v>15.9</v>
      </c>
      <c r="Y96" s="12">
        <v>49.5</v>
      </c>
      <c r="Z96" s="12">
        <v>90</v>
      </c>
      <c r="AA96" s="12">
        <v>39.44</v>
      </c>
      <c r="AB96" s="12">
        <v>5.9</v>
      </c>
      <c r="AC96" s="12">
        <v>167</v>
      </c>
      <c r="AD96" s="12">
        <v>107</v>
      </c>
      <c r="AE96" s="12">
        <v>31</v>
      </c>
      <c r="AF96" s="12"/>
      <c r="AG96" s="12">
        <v>142</v>
      </c>
      <c r="AH96" s="12">
        <v>207</v>
      </c>
      <c r="AI96" s="12"/>
      <c r="AJ96" s="12"/>
      <c r="AK96" s="12"/>
      <c r="AL96" s="12"/>
      <c r="AM96" s="12"/>
      <c r="AN96" s="12">
        <v>10</v>
      </c>
      <c r="AO96" s="12">
        <v>1</v>
      </c>
      <c r="AP96" s="12">
        <v>3</v>
      </c>
      <c r="AQ96" s="12">
        <v>3</v>
      </c>
      <c r="AR96" s="12">
        <v>4</v>
      </c>
      <c r="AS96" s="12"/>
      <c r="AT96" s="12">
        <v>1</v>
      </c>
      <c r="AU96" s="12">
        <v>2</v>
      </c>
      <c r="AV96" s="12">
        <v>1</v>
      </c>
      <c r="AW96" s="12">
        <v>1</v>
      </c>
      <c r="AX96" s="12"/>
      <c r="AY96" s="12"/>
      <c r="AZ96" s="12"/>
      <c r="BA96" s="12">
        <v>0</v>
      </c>
      <c r="BB96" s="5">
        <v>1</v>
      </c>
      <c r="BC96" s="12">
        <v>100</v>
      </c>
      <c r="BD96" s="12">
        <v>1</v>
      </c>
      <c r="BE96" s="12">
        <v>2</v>
      </c>
      <c r="BF96" s="12">
        <v>2</v>
      </c>
      <c r="BG96" s="12">
        <v>2</v>
      </c>
      <c r="BH96" s="12">
        <v>1</v>
      </c>
      <c r="BI96" s="12">
        <v>1</v>
      </c>
      <c r="BJ96" s="12">
        <v>1</v>
      </c>
      <c r="BK96" s="12">
        <v>1</v>
      </c>
      <c r="BL96" s="12">
        <v>2</v>
      </c>
      <c r="BM96" s="12">
        <v>2</v>
      </c>
      <c r="BN96" s="12">
        <v>2</v>
      </c>
      <c r="BO96" s="12">
        <v>1</v>
      </c>
      <c r="BP96" s="12">
        <v>0</v>
      </c>
      <c r="BQ96" s="12">
        <v>1</v>
      </c>
      <c r="BR96" s="12">
        <v>19</v>
      </c>
      <c r="BS96" s="12">
        <v>1</v>
      </c>
      <c r="BT96" s="12">
        <v>1</v>
      </c>
      <c r="BU96" s="12"/>
    </row>
    <row r="97" spans="1:73" x14ac:dyDescent="0.25">
      <c r="A97" s="5" t="s">
        <v>503</v>
      </c>
      <c r="B97" s="5">
        <v>0</v>
      </c>
      <c r="C97" s="5">
        <v>12.955399999999999</v>
      </c>
      <c r="D97" s="9">
        <f>VLOOKUP($A97,'[1]24-8-24 DATA ENTRY'!$A$1:$BR$303,3,FALSE)</f>
        <v>240000046877</v>
      </c>
      <c r="E97" s="9">
        <f>VLOOKUP($A97,'[1]24-8-24 DATA ENTRY'!$A$1:$BR$303,4,FALSE)</f>
        <v>63</v>
      </c>
      <c r="F97" s="9">
        <f>VLOOKUP($A97,'[1]24-8-24 DATA ENTRY'!$A$1:$BR$303,5,FALSE)</f>
        <v>1</v>
      </c>
      <c r="G97" s="10">
        <f>VLOOKUP($A97,'[1]24-8-24 DATA ENTRY'!$A$1:$BR$303,6,FALSE)</f>
        <v>45478</v>
      </c>
      <c r="H97" s="9">
        <f>VLOOKUP($A97,'[1]24-8-24 DATA ENTRY'!$A$1:$BR$303,7,FALSE)</f>
        <v>0</v>
      </c>
      <c r="I97" s="10">
        <f>VLOOKUP($A97,'[1]24-8-24 DATA ENTRY'!$A$1:$BR$303,8,FALSE)</f>
        <v>45478</v>
      </c>
      <c r="J97" s="10">
        <f>VLOOKUP($A97,'[1]24-8-24 DATA ENTRY'!$A$1:$BR$303,9,FALSE)</f>
        <v>45479</v>
      </c>
      <c r="K97" s="9">
        <f>VLOOKUP($A97,'[1]24-8-24 DATA ENTRY'!$A$1:$BR$303,10,FALSE)</f>
        <v>9881472683</v>
      </c>
      <c r="L97" s="9">
        <f>VLOOKUP($A97,'[1]24-8-24 DATA ENTRY'!$A$1:$BR$303,11,FALSE)</f>
        <v>0</v>
      </c>
      <c r="M97" s="9">
        <f>VLOOKUP($A97,'[1]24-8-24 DATA ENTRY'!$A$1:$BR$303,12,FALSE)</f>
        <v>1</v>
      </c>
      <c r="N97" s="9">
        <f>VLOOKUP($A97,'[1]24-8-24 DATA ENTRY'!$A$1:$BR$303,13,FALSE)</f>
        <v>1</v>
      </c>
      <c r="O97" s="9">
        <f>VLOOKUP($A97,'[1]24-8-24 DATA ENTRY'!$A$1:$BR$303,14,FALSE)</f>
        <v>2</v>
      </c>
      <c r="P97" s="9">
        <f>VLOOKUP($A97,'[1]24-8-24 DATA ENTRY'!$A$1:$BR$303,15,FALSE)</f>
        <v>2</v>
      </c>
      <c r="Q97" s="9">
        <f>VLOOKUP($A97,'[1]24-8-24 DATA ENTRY'!$A$1:$BR$303,16,FALSE)</f>
        <v>2</v>
      </c>
      <c r="R97" s="9">
        <f>VLOOKUP($A97,'[1]24-8-24 DATA ENTRY'!$A$1:$BR$303,17,FALSE)</f>
        <v>2</v>
      </c>
      <c r="S97" s="9">
        <f>VLOOKUP($A97,'[1]24-8-24 DATA ENTRY'!$A$1:$BR$303,18,FALSE)</f>
        <v>2</v>
      </c>
      <c r="T97" s="9">
        <f>VLOOKUP($A97,'[1]24-8-24 DATA ENTRY'!$A$1:$BR$303,19,FALSE)</f>
        <v>2</v>
      </c>
      <c r="U97" s="9" t="e">
        <f>VLOOKUP($A97,'[1]24-8-24 DATA ENTRY'!$A$1:$BR$278,20,FALSE)</f>
        <v>#N/A</v>
      </c>
      <c r="V97" s="9">
        <f>VLOOKUP($A97,'[1]24-8-24 DATA ENTRY'!$A$1:$BR$303,21,FALSE)</f>
        <v>2</v>
      </c>
      <c r="W97" s="9">
        <f>VLOOKUP($A97,'[1]24-8-24 DATA ENTRY'!$A$1:$BR$303,22,FALSE)</f>
        <v>0</v>
      </c>
      <c r="X97" s="9">
        <f>VLOOKUP($A97,'[1]24-8-24 DATA ENTRY'!$A$1:$BR$303,23,FALSE)</f>
        <v>13.8</v>
      </c>
      <c r="Y97" s="9">
        <f>VLOOKUP($A97,'[1]24-8-24 DATA ENTRY'!$A$1:$BR$303,24,FALSE)</f>
        <v>43.2</v>
      </c>
      <c r="Z97" s="9">
        <f>VLOOKUP($A97,'[1]24-8-24 DATA ENTRY'!$A$1:$BR$303,25,FALSE)</f>
        <v>83.9</v>
      </c>
      <c r="AA97" s="9">
        <f>VLOOKUP($A97,'[1]24-8-24 DATA ENTRY'!$A$1:$BR$303,26,FALSE)</f>
        <v>23.18</v>
      </c>
      <c r="AB97" s="9">
        <f>VLOOKUP($A97,'[1]24-8-24 DATA ENTRY'!$A$1:$BR$303,27,FALSE)</f>
        <v>0</v>
      </c>
      <c r="AC97" s="9">
        <f>VLOOKUP($A97,'[1]24-8-24 DATA ENTRY'!$A$1:$BR$303,28,FALSE)</f>
        <v>191</v>
      </c>
      <c r="AD97" s="9">
        <f>VLOOKUP($A97,'[1]24-8-24 DATA ENTRY'!$A$1:$BR$303,29,FALSE)</f>
        <v>123.4</v>
      </c>
      <c r="AE97" s="9">
        <f>VLOOKUP($A97,'[1]24-8-24 DATA ENTRY'!$A$1:$BR$2303,30,FALSE)</f>
        <v>37</v>
      </c>
      <c r="AF97" s="9">
        <f>VLOOKUP($A97,'[1]24-8-24 DATA ENTRY'!$A$1:$BR$303,31,FALSE)</f>
        <v>30.6</v>
      </c>
      <c r="AG97" s="9">
        <f>VLOOKUP($A97,'[1]24-8-24 DATA ENTRY'!$A$1:$BR$303,32,FALSE)</f>
        <v>153</v>
      </c>
      <c r="AH97" s="9">
        <f>VLOOKUP($A97,'[1]24-8-24 DATA ENTRY'!$A$1:$BR$303,33,FALSE)</f>
        <v>170</v>
      </c>
      <c r="AI97" s="9">
        <f>VLOOKUP($A97,'[1]24-8-24 DATA ENTRY'!$A$1:$BR$303,34,FALSE)</f>
        <v>0</v>
      </c>
      <c r="AJ97" s="9">
        <f>VLOOKUP($A97,'[1]24-8-24 DATA ENTRY'!$A$1:$BR$303,35,FALSE)</f>
        <v>0</v>
      </c>
      <c r="AK97" s="9">
        <f>VLOOKUP($A97,'[1]24-8-24 DATA ENTRY'!$A$1:$BR$303,36,FALSE)</f>
        <v>0</v>
      </c>
      <c r="AL97" s="9" t="str">
        <f>VLOOKUP($A97,'[1]24-8-24 DATA ENTRY'!$A$1:$BR$303,37,FALSE)</f>
        <v>left parieto occipital and splenium corpus calloral infarct</v>
      </c>
      <c r="AM97" s="9">
        <f>VLOOKUP($A97,'[1]24-8-24 DATA ENTRY'!$A$1:$BR$303,38,FALSE)</f>
        <v>0</v>
      </c>
      <c r="AN97" s="9">
        <f>VLOOKUP($A97,'[1]24-8-24 DATA ENTRY'!$A$1:$BR$303,39,FALSE)</f>
        <v>9</v>
      </c>
      <c r="AO97" s="9">
        <f>VLOOKUP($A97,'[1]24-8-24 DATA ENTRY'!$A$1:$BR$303,40,FALSE)</f>
        <v>1</v>
      </c>
      <c r="AP97" s="9">
        <f>VLOOKUP($A97,'[1]24-8-24 DATA ENTRY'!$A$1:$BR$303,41,FALSE)</f>
        <v>5</v>
      </c>
      <c r="AQ97" s="9">
        <f>VLOOKUP($A97,'[1]24-8-24 DATA ENTRY'!$A$1:$BR$303,42,FALSE)</f>
        <v>3</v>
      </c>
      <c r="AR97" s="9">
        <f>VLOOKUP($A97,'[1]24-8-24 DATA ENTRY'!$A$1:$BR$303,43,FALSE)</f>
        <v>5</v>
      </c>
      <c r="AS97" s="9">
        <f>VLOOKUP($A97,'[1]24-8-24 DATA ENTRY'!$A$1:$BR$303,44,FALSE)</f>
        <v>0</v>
      </c>
      <c r="AT97" s="9">
        <f>VLOOKUP($A97,'[1]24-8-24 DATA ENTRY'!$A$1:$BR$303,45,FALSE)</f>
        <v>1</v>
      </c>
      <c r="AU97" s="9">
        <f>VLOOKUP($A97,'[1]24-8-24 DATA ENTRY'!$A$1:$BR$303,46,FALSE)</f>
        <v>1</v>
      </c>
      <c r="AV97" s="9">
        <f>VLOOKUP($A97,'[1]24-8-24 DATA ENTRY'!$A$1:$BR$303,47,FALSE)</f>
        <v>2</v>
      </c>
      <c r="AW97" s="9">
        <f>VLOOKUP($A97,'[1]24-8-24 DATA ENTRY'!$A$1:$BR$303,48,FALSE)</f>
        <v>0</v>
      </c>
      <c r="AX97" s="9">
        <f>VLOOKUP($A97,'[1]24-8-24 DATA ENTRY'!$A$1:$BR$303,49,FALSE)</f>
        <v>0</v>
      </c>
      <c r="AY97" s="9">
        <f>VLOOKUP($A97,'[1]24-8-24 DATA ENTRY'!$A$1:$BR$303,50,FALSE)</f>
        <v>0</v>
      </c>
      <c r="AZ97" s="9">
        <f>VLOOKUP($A97,'[1]24-8-24 DATA ENTRY'!$A$1:$BR$303,51,FALSE)</f>
        <v>0</v>
      </c>
      <c r="BA97" s="9">
        <f>VLOOKUP($A97,'[1]24-8-24 DATA ENTRY'!$A$1:$BR$303,52,FALSE)</f>
        <v>0</v>
      </c>
      <c r="BB97" s="5">
        <v>1</v>
      </c>
      <c r="BC97" s="9">
        <f>VLOOKUP($A97,'[1]24-8-24 DATA ENTRY'!$A$1:$BR$303,53,FALSE)</f>
        <v>100</v>
      </c>
      <c r="BD97" s="5">
        <v>0</v>
      </c>
      <c r="BE97" s="5">
        <v>2</v>
      </c>
      <c r="BF97" s="5">
        <v>2</v>
      </c>
      <c r="BG97" s="5">
        <v>2</v>
      </c>
      <c r="BH97" s="5">
        <v>1</v>
      </c>
      <c r="BI97" s="5">
        <v>1</v>
      </c>
      <c r="BJ97" s="5">
        <v>1</v>
      </c>
      <c r="BK97" s="5">
        <v>0</v>
      </c>
      <c r="BL97" s="5">
        <v>2</v>
      </c>
      <c r="BM97" s="5">
        <v>2</v>
      </c>
      <c r="BN97" s="5">
        <v>2</v>
      </c>
      <c r="BO97" s="5">
        <v>1</v>
      </c>
      <c r="BP97" s="5">
        <v>1</v>
      </c>
      <c r="BQ97" s="5">
        <v>1</v>
      </c>
      <c r="BR97" s="5">
        <v>18</v>
      </c>
      <c r="BS97" s="5">
        <v>1</v>
      </c>
      <c r="BT97" s="5">
        <v>1</v>
      </c>
      <c r="BU97" s="5"/>
    </row>
    <row r="98" spans="1:73" x14ac:dyDescent="0.25">
      <c r="A98" s="21" t="s">
        <v>504</v>
      </c>
      <c r="B98" s="5">
        <v>0</v>
      </c>
      <c r="C98" s="5">
        <v>13.173299999999999</v>
      </c>
      <c r="D98" s="9">
        <f>VLOOKUP($A98,'[1]24-8-24 DATA ENTRY'!$A$1:$BR$278,3,FALSE)</f>
        <v>240000043565</v>
      </c>
      <c r="E98" s="9">
        <f>VLOOKUP($A98,'[1]24-8-24 DATA ENTRY'!$A$1:$BR$278,4,FALSE)</f>
        <v>47</v>
      </c>
      <c r="F98" s="9">
        <f>VLOOKUP($A98,'[1]24-8-24 DATA ENTRY'!$A$1:$BR$278,5,FALSE)</f>
        <v>2</v>
      </c>
      <c r="G98" s="10">
        <f>VLOOKUP($A98,'[1]24-8-24 DATA ENTRY'!$A$1:$BR$278,6,FALSE)</f>
        <v>45426</v>
      </c>
      <c r="H98" s="9">
        <f>VLOOKUP($A98,'[1]24-8-24 DATA ENTRY'!$A$1:$BR$278,7,FALSE)</f>
        <v>0.29166666666666669</v>
      </c>
      <c r="I98" s="10">
        <f>VLOOKUP($A98,'[1]24-8-24 DATA ENTRY'!$A$1:$BR$278,8,FALSE)</f>
        <v>45427</v>
      </c>
      <c r="J98" s="10">
        <f>VLOOKUP($A98,'[1]24-8-24 DATA ENTRY'!$A$1:$BR$278,9,FALSE)</f>
        <v>45429</v>
      </c>
      <c r="K98" s="9">
        <f>VLOOKUP($A98,'[1]24-8-24 DATA ENTRY'!$A$1:$BR$278,10,FALSE)</f>
        <v>9545440049</v>
      </c>
      <c r="L98" s="9">
        <f>VLOOKUP($A98,'[1]24-8-24 DATA ENTRY'!$A$1:$BR$278,11,FALSE)</f>
        <v>0</v>
      </c>
      <c r="M98" s="9">
        <f>VLOOKUP($A98,'[1]24-8-24 DATA ENTRY'!$A$1:$BR$278,12,FALSE)</f>
        <v>5</v>
      </c>
      <c r="N98" s="9">
        <f>VLOOKUP($A98,'[1]24-8-24 DATA ENTRY'!$A$1:$BR$278,13,FALSE)</f>
        <v>2</v>
      </c>
      <c r="O98" s="9">
        <f>VLOOKUP($A98,'[1]24-8-24 DATA ENTRY'!$A$1:$BR$278,14,FALSE)</f>
        <v>1</v>
      </c>
      <c r="P98" s="9">
        <f>VLOOKUP($A98,'[1]24-8-24 DATA ENTRY'!$A$1:$BR$278,15,FALSE)</f>
        <v>2</v>
      </c>
      <c r="Q98" s="9">
        <f>VLOOKUP($A98,'[1]24-8-24 DATA ENTRY'!$A$1:$BR$278,16,FALSE)</f>
        <v>2</v>
      </c>
      <c r="R98" s="9">
        <f>VLOOKUP($A98,'[1]24-8-24 DATA ENTRY'!$A$1:$BR$278,17,FALSE)</f>
        <v>1</v>
      </c>
      <c r="S98" s="9">
        <f>VLOOKUP($A98,'[1]24-8-24 DATA ENTRY'!$A$1:$BR$278,18,FALSE)</f>
        <v>2</v>
      </c>
      <c r="T98" s="9">
        <f>VLOOKUP($A98,'[1]24-8-24 DATA ENTRY'!$A$1:$BR$278,19,FALSE)</f>
        <v>2</v>
      </c>
      <c r="U98" s="9">
        <f>VLOOKUP($A98,'[1]24-8-24 DATA ENTRY'!$A$1:$BR$278,20,FALSE)</f>
        <v>2</v>
      </c>
      <c r="V98" s="9">
        <f>VLOOKUP($A98,'[1]24-8-24 DATA ENTRY'!$A$1:$BR$278,21,FALSE)</f>
        <v>2</v>
      </c>
      <c r="W98" s="9">
        <f>VLOOKUP($A98,'[1]24-8-24 DATA ENTRY'!$A$1:$BR$278,22,FALSE)</f>
        <v>0</v>
      </c>
      <c r="X98" s="9">
        <f>VLOOKUP($A98,'[1]24-8-24 DATA ENTRY'!$A$1:$BR$278,23,FALSE)</f>
        <v>12.6</v>
      </c>
      <c r="Y98" s="9">
        <f>VLOOKUP($A98,'[1]24-8-24 DATA ENTRY'!$A$1:$BR$278,24,FALSE)</f>
        <v>38.299999999999997</v>
      </c>
      <c r="Z98" s="9">
        <f>VLOOKUP($A98,'[1]24-8-24 DATA ENTRY'!$A$1:$BR$278,25,FALSE)</f>
        <v>77</v>
      </c>
      <c r="AA98" s="9">
        <f>VLOOKUP($A98,'[1]24-8-24 DATA ENTRY'!$A$1:$BR$278,26,FALSE)</f>
        <v>3.26</v>
      </c>
      <c r="AB98" s="9">
        <f>VLOOKUP($A98,'[1]24-8-24 DATA ENTRY'!$A$1:$BR$278,27,FALSE)</f>
        <v>13</v>
      </c>
      <c r="AC98" s="9">
        <f>VLOOKUP($A98,'[1]24-8-24 DATA ENTRY'!$A$1:$BR$278,28,FALSE)</f>
        <v>0</v>
      </c>
      <c r="AD98" s="9">
        <f>VLOOKUP($A98,'[1]24-8-24 DATA ENTRY'!$A$1:$BR$278,29,FALSE)</f>
        <v>0</v>
      </c>
      <c r="AE98" s="9">
        <f>VLOOKUP($A98,'[1]24-8-24 DATA ENTRY'!$A$1:$BR$278,30,FALSE)</f>
        <v>0</v>
      </c>
      <c r="AF98" s="9">
        <f>VLOOKUP($A98,'[1]24-8-24 DATA ENTRY'!$A$1:$BR$278,31,FALSE)</f>
        <v>0</v>
      </c>
      <c r="AG98" s="9">
        <f>VLOOKUP($A98,'[1]24-8-24 DATA ENTRY'!$A$1:$BR$278,32,FALSE)</f>
        <v>0</v>
      </c>
      <c r="AH98" s="9">
        <f>VLOOKUP($A98,'[1]24-8-24 DATA ENTRY'!$A$1:$BR$278,33,FALSE)</f>
        <v>2000</v>
      </c>
      <c r="AI98" s="9">
        <f>VLOOKUP($A98,'[1]24-8-24 DATA ENTRY'!$A$1:$BR$278,34,FALSE)</f>
        <v>0</v>
      </c>
      <c r="AJ98" s="9">
        <f>VLOOKUP($A98,'[1]24-8-24 DATA ENTRY'!$A$1:$BR$278,35,FALSE)</f>
        <v>0</v>
      </c>
      <c r="AK98" s="9" t="str">
        <f>VLOOKUP($A98,'[1]24-8-24 DATA ENTRY'!$A$1:$BR$278,36,FALSE)</f>
        <v>PATCHY INFARCTS IN B/L ACA MCA AND OLD RIGHT INTERNAL WATERSHED INFARCTS</v>
      </c>
      <c r="AL98" s="9" t="str">
        <f>VLOOKUP($A98,'[1]24-8-24 DATA ENTRY'!$A$1:$BR$278,37,FALSE)</f>
        <v>RT ICA NARROWING 50% AT ORIGIN AND CAVERNOUS SEGMENT OF RT ICA OCCLUDED/TIGHT STENOSIS</v>
      </c>
      <c r="AM98" s="9" t="str">
        <f>VLOOKUP($A98,'[1]24-8-24 DATA ENTRY'!$A$1:$BR$278,38,FALSE)</f>
        <v>LEFT MCA AND ACA OPACIFIED</v>
      </c>
      <c r="AN98" s="9">
        <f>VLOOKUP($A98,'[1]24-8-24 DATA ENTRY'!$A$1:$BR$278,39,FALSE)</f>
        <v>9</v>
      </c>
      <c r="AO98" s="9">
        <f>VLOOKUP($A98,'[1]24-8-24 DATA ENTRY'!$A$1:$BR$278,40,FALSE)</f>
        <v>1</v>
      </c>
      <c r="AP98" s="9">
        <f>VLOOKUP($A98,'[1]24-8-24 DATA ENTRY'!$A$1:$BR$278,41,FALSE)</f>
        <v>3</v>
      </c>
      <c r="AQ98" s="9">
        <f>VLOOKUP($A98,'[1]24-8-24 DATA ENTRY'!$A$1:$BR$278,42,FALSE)</f>
        <v>3</v>
      </c>
      <c r="AR98" s="9">
        <f>VLOOKUP($A98,'[1]24-8-24 DATA ENTRY'!$A$1:$BR$278,43,FALSE)</f>
        <v>5</v>
      </c>
      <c r="AS98" s="9">
        <f>VLOOKUP($A98,'[1]24-8-24 DATA ENTRY'!$A$1:$BR$278,44,FALSE)</f>
        <v>0</v>
      </c>
      <c r="AT98" s="9">
        <f>VLOOKUP($A98,'[1]24-8-24 DATA ENTRY'!$A$1:$BR$278,45,FALSE)</f>
        <v>1</v>
      </c>
      <c r="AU98" s="9">
        <f>VLOOKUP($A98,'[1]24-8-24 DATA ENTRY'!$A$1:$BR$278,46,FALSE)</f>
        <v>1</v>
      </c>
      <c r="AV98" s="9">
        <f>VLOOKUP($A98,'[1]24-8-24 DATA ENTRY'!$A$1:$BR$278,47,FALSE)</f>
        <v>2</v>
      </c>
      <c r="AW98" s="9">
        <f>VLOOKUP($A98,'[1]24-8-24 DATA ENTRY'!$A$1:$BR$278,48,FALSE)</f>
        <v>0</v>
      </c>
      <c r="AX98" s="9">
        <f>VLOOKUP($A98,'[1]24-8-24 DATA ENTRY'!$A$1:$BR$278,49,FALSE)</f>
        <v>0</v>
      </c>
      <c r="AY98" s="9">
        <f>VLOOKUP($A98,'[1]24-8-24 DATA ENTRY'!$A$1:$BR$278,50,FALSE)</f>
        <v>0</v>
      </c>
      <c r="AZ98" s="9">
        <f>VLOOKUP($A98,'[1]24-8-24 DATA ENTRY'!$A$1:$BR$278,51,FALSE)</f>
        <v>0</v>
      </c>
      <c r="BA98" s="9">
        <f>VLOOKUP($A98,'[1]24-8-24 DATA ENTRY'!$A$1:$BR$278,52,FALSE)</f>
        <v>0</v>
      </c>
      <c r="BB98" s="5">
        <v>1</v>
      </c>
      <c r="BC98" s="9">
        <f>VLOOKUP($A98,'[1]24-8-24 DATA ENTRY'!$A$1:$BR$278,53,FALSE)</f>
        <v>0</v>
      </c>
      <c r="BD98" s="5">
        <v>0</v>
      </c>
      <c r="BE98" s="5">
        <v>2</v>
      </c>
      <c r="BF98" s="5">
        <v>2</v>
      </c>
      <c r="BG98" s="5">
        <v>2</v>
      </c>
      <c r="BH98" s="5">
        <v>1</v>
      </c>
      <c r="BI98" s="5">
        <v>1</v>
      </c>
      <c r="BJ98" s="5">
        <v>1</v>
      </c>
      <c r="BK98" s="5">
        <v>1</v>
      </c>
      <c r="BL98" s="5">
        <v>2</v>
      </c>
      <c r="BM98" s="5">
        <v>2</v>
      </c>
      <c r="BN98" s="5">
        <v>2</v>
      </c>
      <c r="BO98" s="5">
        <v>1</v>
      </c>
      <c r="BP98" s="5">
        <v>1</v>
      </c>
      <c r="BQ98" s="5">
        <v>1</v>
      </c>
      <c r="BR98" s="5">
        <v>19</v>
      </c>
      <c r="BS98" s="5">
        <v>1</v>
      </c>
      <c r="BT98" s="5">
        <v>0</v>
      </c>
      <c r="BU98" s="5"/>
    </row>
    <row r="99" spans="1:73" x14ac:dyDescent="0.25">
      <c r="A99" s="12" t="s">
        <v>382</v>
      </c>
      <c r="B99" s="5">
        <v>1</v>
      </c>
      <c r="C99" s="12">
        <v>13.2799</v>
      </c>
      <c r="D99" s="13">
        <v>230102526</v>
      </c>
      <c r="E99" s="12">
        <v>65</v>
      </c>
      <c r="F99" s="12">
        <v>1</v>
      </c>
      <c r="G99" s="14">
        <v>44937</v>
      </c>
      <c r="H99" s="12"/>
      <c r="I99" s="14">
        <v>44939</v>
      </c>
      <c r="J99" s="14">
        <v>44942</v>
      </c>
      <c r="K99" s="12">
        <v>8888887372</v>
      </c>
      <c r="L99" s="12"/>
      <c r="M99" s="12">
        <v>3</v>
      </c>
      <c r="N99" s="12">
        <v>1</v>
      </c>
      <c r="O99" s="12">
        <v>2</v>
      </c>
      <c r="P99" s="12">
        <v>2</v>
      </c>
      <c r="Q99" s="12">
        <v>2</v>
      </c>
      <c r="R99" s="12">
        <v>2</v>
      </c>
      <c r="S99" s="12">
        <v>2</v>
      </c>
      <c r="T99" s="12">
        <v>2</v>
      </c>
      <c r="U99" s="12">
        <v>2</v>
      </c>
      <c r="V99" s="12">
        <v>2</v>
      </c>
      <c r="W99" s="12" t="s">
        <v>383</v>
      </c>
      <c r="X99" s="12">
        <v>13.3</v>
      </c>
      <c r="Y99" s="12">
        <v>42</v>
      </c>
      <c r="Z99" s="12"/>
      <c r="AA99" s="12">
        <v>7.35</v>
      </c>
      <c r="AB99" s="12"/>
      <c r="AC99" s="12">
        <v>167</v>
      </c>
      <c r="AD99" s="12">
        <v>114</v>
      </c>
      <c r="AE99" s="12">
        <v>33</v>
      </c>
      <c r="AF99" s="12">
        <v>19</v>
      </c>
      <c r="AG99" s="12">
        <v>98</v>
      </c>
      <c r="AH99" s="12">
        <v>2000</v>
      </c>
      <c r="AI99" s="12" t="s">
        <v>384</v>
      </c>
      <c r="AJ99" s="12"/>
      <c r="AK99" s="12" t="s">
        <v>385</v>
      </c>
      <c r="AL99" s="12" t="s">
        <v>386</v>
      </c>
      <c r="AM99" s="12"/>
      <c r="AN99" s="12">
        <v>9</v>
      </c>
      <c r="AO99" s="12" t="s">
        <v>720</v>
      </c>
      <c r="AP99" s="12">
        <v>3</v>
      </c>
      <c r="AQ99" s="12">
        <v>2</v>
      </c>
      <c r="AR99" s="12">
        <v>5</v>
      </c>
      <c r="AS99" s="12"/>
      <c r="AT99" s="12">
        <v>1</v>
      </c>
      <c r="AU99" s="12">
        <v>1</v>
      </c>
      <c r="AV99" s="12">
        <v>2</v>
      </c>
      <c r="AW99" s="12"/>
      <c r="AX99" s="12"/>
      <c r="AY99" s="12"/>
      <c r="AZ99" s="12"/>
      <c r="BA99" s="12">
        <v>0</v>
      </c>
      <c r="BB99" s="5">
        <v>1</v>
      </c>
      <c r="BC99" s="12">
        <v>100</v>
      </c>
      <c r="BD99" s="12">
        <v>1</v>
      </c>
      <c r="BE99" s="12">
        <v>2</v>
      </c>
      <c r="BF99" s="12">
        <v>2</v>
      </c>
      <c r="BG99" s="12">
        <v>2</v>
      </c>
      <c r="BH99" s="12">
        <v>1</v>
      </c>
      <c r="BI99" s="12">
        <v>1</v>
      </c>
      <c r="BJ99" s="12">
        <v>1</v>
      </c>
      <c r="BK99" s="12">
        <v>1</v>
      </c>
      <c r="BL99" s="12">
        <v>2</v>
      </c>
      <c r="BM99" s="12">
        <v>2</v>
      </c>
      <c r="BN99" s="12">
        <v>2</v>
      </c>
      <c r="BO99" s="12">
        <v>1</v>
      </c>
      <c r="BP99" s="12">
        <v>1</v>
      </c>
      <c r="BQ99" s="12">
        <v>1</v>
      </c>
      <c r="BR99" s="12">
        <v>20</v>
      </c>
      <c r="BS99" s="12">
        <v>1</v>
      </c>
      <c r="BT99" s="12">
        <v>0</v>
      </c>
      <c r="BU99" s="12"/>
    </row>
    <row r="100" spans="1:73" x14ac:dyDescent="0.25">
      <c r="A100" s="21" t="s">
        <v>505</v>
      </c>
      <c r="B100" s="5">
        <v>0</v>
      </c>
      <c r="C100" s="5">
        <v>13.367100000000001</v>
      </c>
      <c r="D100" s="9">
        <f>VLOOKUP($A100,'[1]24-8-24 DATA ENTRY'!$A$1:$BR$278,3,FALSE)</f>
        <v>240000048201</v>
      </c>
      <c r="E100" s="9">
        <f>VLOOKUP($A100,'[1]24-8-24 DATA ENTRY'!$A$1:$BR$278,4,FALSE)</f>
        <v>57</v>
      </c>
      <c r="F100" s="9">
        <f>VLOOKUP($A100,'[1]24-8-24 DATA ENTRY'!$A$1:$BR$278,5,FALSE)</f>
        <v>1</v>
      </c>
      <c r="G100" s="10">
        <f>VLOOKUP($A100,'[1]24-8-24 DATA ENTRY'!$A$1:$BR$278,6,FALSE)</f>
        <v>45442</v>
      </c>
      <c r="H100" s="9">
        <f>VLOOKUP($A100,'[1]24-8-24 DATA ENTRY'!$A$1:$BR$278,7,FALSE)</f>
        <v>0.64583333333333337</v>
      </c>
      <c r="I100" s="10">
        <f>VLOOKUP($A100,'[1]24-8-24 DATA ENTRY'!$A$1:$BR$278,8,FALSE)</f>
        <v>45442</v>
      </c>
      <c r="J100" s="10">
        <f>VLOOKUP($A100,'[1]24-8-24 DATA ENTRY'!$A$1:$BR$278,9,FALSE)</f>
        <v>45448</v>
      </c>
      <c r="K100" s="9">
        <f>VLOOKUP($A100,'[1]24-8-24 DATA ENTRY'!$A$1:$BR$278,10,FALSE)</f>
        <v>9975292865</v>
      </c>
      <c r="L100" s="9">
        <f>VLOOKUP($A100,'[1]24-8-24 DATA ENTRY'!$A$1:$BR$278,11,FALSE)</f>
        <v>9096159020</v>
      </c>
      <c r="M100" s="9">
        <f>VLOOKUP($A100,'[1]24-8-24 DATA ENTRY'!$A$1:$BR$278,12,FALSE)</f>
        <v>7</v>
      </c>
      <c r="N100" s="9">
        <f>VLOOKUP($A100,'[1]24-8-24 DATA ENTRY'!$A$1:$BR$278,13,FALSE)</f>
        <v>1</v>
      </c>
      <c r="O100" s="9">
        <f>VLOOKUP($A100,'[1]24-8-24 DATA ENTRY'!$A$1:$BR$278,14,FALSE)</f>
        <v>1</v>
      </c>
      <c r="P100" s="9">
        <f>VLOOKUP($A100,'[1]24-8-24 DATA ENTRY'!$A$1:$BR$278,15,FALSE)</f>
        <v>2</v>
      </c>
      <c r="Q100" s="9">
        <f>VLOOKUP($A100,'[1]24-8-24 DATA ENTRY'!$A$1:$BR$278,16,FALSE)</f>
        <v>2</v>
      </c>
      <c r="R100" s="9">
        <f>VLOOKUP($A100,'[1]24-8-24 DATA ENTRY'!$A$1:$BR$278,17,FALSE)</f>
        <v>1</v>
      </c>
      <c r="S100" s="9">
        <f>VLOOKUP($A100,'[1]24-8-24 DATA ENTRY'!$A$1:$BR$278,18,FALSE)</f>
        <v>2</v>
      </c>
      <c r="T100" s="9">
        <f>VLOOKUP($A100,'[1]24-8-24 DATA ENTRY'!$A$1:$BR$278,19,FALSE)</f>
        <v>2</v>
      </c>
      <c r="U100" s="9">
        <f>VLOOKUP($A100,'[1]24-8-24 DATA ENTRY'!$A$1:$BR$278,20,FALSE)</f>
        <v>1</v>
      </c>
      <c r="V100" s="9">
        <f>VLOOKUP($A100,'[1]24-8-24 DATA ENTRY'!$A$1:$BR$278,21,FALSE)</f>
        <v>2</v>
      </c>
      <c r="W100" s="9">
        <f>VLOOKUP($A100,'[1]24-8-24 DATA ENTRY'!$A$1:$BR$278,22,FALSE)</f>
        <v>0</v>
      </c>
      <c r="X100" s="9">
        <f>VLOOKUP($A100,'[1]24-8-24 DATA ENTRY'!$A$1:$BR$278,23,FALSE)</f>
        <v>14.3</v>
      </c>
      <c r="Y100" s="9">
        <f>VLOOKUP($A100,'[1]24-8-24 DATA ENTRY'!$A$1:$BR$278,24,FALSE)</f>
        <v>44.4</v>
      </c>
      <c r="Z100" s="9">
        <f>VLOOKUP($A100,'[1]24-8-24 DATA ENTRY'!$A$1:$BR$278,25,FALSE)</f>
        <v>81.8</v>
      </c>
      <c r="AA100" s="9">
        <f>VLOOKUP($A100,'[1]24-8-24 DATA ENTRY'!$A$1:$BR$278,26,FALSE)</f>
        <v>20.170000000000002</v>
      </c>
      <c r="AB100" s="9">
        <f>VLOOKUP($A100,'[1]24-8-24 DATA ENTRY'!$A$1:$BR$278,27,FALSE)</f>
        <v>7</v>
      </c>
      <c r="AC100" s="9">
        <f>VLOOKUP($A100,'[1]24-8-24 DATA ENTRY'!$A$1:$BR$278,28,FALSE)</f>
        <v>141</v>
      </c>
      <c r="AD100" s="9">
        <f>VLOOKUP($A100,'[1]24-8-24 DATA ENTRY'!$A$1:$BR$278,29,FALSE)</f>
        <v>88.4</v>
      </c>
      <c r="AE100" s="9">
        <f>VLOOKUP($A100,'[1]24-8-24 DATA ENTRY'!$A$1:$BR$278,30,FALSE)</f>
        <v>29</v>
      </c>
      <c r="AF100" s="9">
        <f>VLOOKUP($A100,'[1]24-8-24 DATA ENTRY'!$A$1:$BR$278,31,FALSE)</f>
        <v>23.6</v>
      </c>
      <c r="AG100" s="9">
        <f>VLOOKUP($A100,'[1]24-8-24 DATA ENTRY'!$A$1:$BR$278,32,FALSE)</f>
        <v>118</v>
      </c>
      <c r="AH100" s="9">
        <f>VLOOKUP($A100,'[1]24-8-24 DATA ENTRY'!$A$1:$BR$278,33,FALSE)</f>
        <v>208</v>
      </c>
      <c r="AI100" s="9">
        <f>VLOOKUP($A100,'[1]24-8-24 DATA ENTRY'!$A$1:$BR$278,34,FALSE)</f>
        <v>0</v>
      </c>
      <c r="AJ100" s="9">
        <f>VLOOKUP($A100,'[1]24-8-24 DATA ENTRY'!$A$1:$BR$278,35,FALSE)</f>
        <v>0</v>
      </c>
      <c r="AK100" s="9" t="str">
        <f>VLOOKUP($A100,'[1]24-8-24 DATA ENTRY'!$A$1:$BR$278,36,FALSE)</f>
        <v>RT CORONA RADIATA MEDIAL TEMPORAL LOBE PATCHY INFARCT IN RT PERIATAL REGION AND LEFT CAUDATE REGION</v>
      </c>
      <c r="AL100" s="9" t="str">
        <f>VLOOKUP($A100,'[1]24-8-24 DATA ENTRY'!$A$1:$BR$278,37,FALSE)</f>
        <v xml:space="preserve">RIGHT M1 SRENOSI. CALCIFIED PLAQUES IN RT CCA AND CAROTID BIFURCATION. LEFT V4 SEGMENT FOCAL STENOSIS. </v>
      </c>
      <c r="AM100" s="9">
        <f>VLOOKUP($A100,'[1]24-8-24 DATA ENTRY'!$A$1:$BR$278,38,FALSE)</f>
        <v>0</v>
      </c>
      <c r="AN100" s="9">
        <f>VLOOKUP($A100,'[1]24-8-24 DATA ENTRY'!$A$1:$BR$278,39,FALSE)</f>
        <v>7</v>
      </c>
      <c r="AO100" s="9">
        <f>VLOOKUP($A100,'[1]24-8-24 DATA ENTRY'!$A$1:$BR$278,40,FALSE)</f>
        <v>1</v>
      </c>
      <c r="AP100" s="9">
        <f>VLOOKUP($A100,'[1]24-8-24 DATA ENTRY'!$A$1:$BR$278,41,FALSE)</f>
        <v>2</v>
      </c>
      <c r="AQ100" s="9">
        <f>VLOOKUP($A100,'[1]24-8-24 DATA ENTRY'!$A$1:$BR$278,42,FALSE)</f>
        <v>2</v>
      </c>
      <c r="AR100" s="9">
        <f>VLOOKUP($A100,'[1]24-8-24 DATA ENTRY'!$A$1:$BR$278,43,FALSE)</f>
        <v>5</v>
      </c>
      <c r="AS100" s="9">
        <f>VLOOKUP($A100,'[1]24-8-24 DATA ENTRY'!$A$1:$BR$278,44,FALSE)</f>
        <v>0</v>
      </c>
      <c r="AT100" s="9">
        <f>VLOOKUP($A100,'[1]24-8-24 DATA ENTRY'!$A$1:$BR$278,45,FALSE)</f>
        <v>1</v>
      </c>
      <c r="AU100" s="9">
        <f>VLOOKUP($A100,'[1]24-8-24 DATA ENTRY'!$A$1:$BR$278,46,FALSE)</f>
        <v>1</v>
      </c>
      <c r="AV100" s="9">
        <f>VLOOKUP($A100,'[1]24-8-24 DATA ENTRY'!$A$1:$BR$278,47,FALSE)</f>
        <v>2</v>
      </c>
      <c r="AW100" s="9">
        <f>VLOOKUP($A100,'[1]24-8-24 DATA ENTRY'!$A$1:$BR$278,48,FALSE)</f>
        <v>0</v>
      </c>
      <c r="AX100" s="9">
        <f>VLOOKUP($A100,'[1]24-8-24 DATA ENTRY'!$A$1:$BR$278,49,FALSE)</f>
        <v>0</v>
      </c>
      <c r="AY100" s="9">
        <f>VLOOKUP($A100,'[1]24-8-24 DATA ENTRY'!$A$1:$BR$278,50,FALSE)</f>
        <v>0</v>
      </c>
      <c r="AZ100" s="9">
        <f>VLOOKUP($A100,'[1]24-8-24 DATA ENTRY'!$A$1:$BR$278,51,FALSE)</f>
        <v>0</v>
      </c>
      <c r="BA100" s="9">
        <f>VLOOKUP($A100,'[1]24-8-24 DATA ENTRY'!$A$1:$BR$278,52,FALSE)</f>
        <v>0</v>
      </c>
      <c r="BB100" s="5">
        <v>1</v>
      </c>
      <c r="BC100" s="9">
        <f>VLOOKUP($A100,'[1]24-8-24 DATA ENTRY'!$A$1:$BR$278,53,FALSE)</f>
        <v>100</v>
      </c>
      <c r="BD100" s="5">
        <v>0</v>
      </c>
      <c r="BE100" s="5">
        <v>2</v>
      </c>
      <c r="BF100" s="5">
        <v>0</v>
      </c>
      <c r="BG100" s="5">
        <v>0</v>
      </c>
      <c r="BH100" s="5">
        <v>1</v>
      </c>
      <c r="BI100" s="5">
        <v>1</v>
      </c>
      <c r="BJ100" s="5">
        <v>1</v>
      </c>
      <c r="BK100" s="5">
        <v>0</v>
      </c>
      <c r="BL100" s="5">
        <v>2</v>
      </c>
      <c r="BM100" s="5">
        <v>2</v>
      </c>
      <c r="BN100" s="5">
        <v>2</v>
      </c>
      <c r="BO100" s="5">
        <v>1</v>
      </c>
      <c r="BP100" s="5">
        <v>1</v>
      </c>
      <c r="BQ100" s="5">
        <v>1</v>
      </c>
      <c r="BR100" s="5">
        <v>14</v>
      </c>
      <c r="BS100" s="5">
        <v>0</v>
      </c>
      <c r="BT100" s="5">
        <v>0</v>
      </c>
      <c r="BU100" s="5"/>
    </row>
    <row r="101" spans="1:73" x14ac:dyDescent="0.25">
      <c r="A101" s="12" t="s">
        <v>165</v>
      </c>
      <c r="B101" s="5">
        <v>1</v>
      </c>
      <c r="C101" s="12">
        <v>13.502700000000001</v>
      </c>
      <c r="D101" s="13">
        <v>240000000000</v>
      </c>
      <c r="E101" s="12">
        <v>50</v>
      </c>
      <c r="F101" s="12">
        <v>1</v>
      </c>
      <c r="G101" s="14">
        <v>45302</v>
      </c>
      <c r="H101" s="16">
        <v>0.66666666666666663</v>
      </c>
      <c r="I101" s="14">
        <v>45305</v>
      </c>
      <c r="J101" s="14">
        <v>45309</v>
      </c>
      <c r="K101" s="12">
        <v>9881713537</v>
      </c>
      <c r="L101" s="12"/>
      <c r="M101" s="12">
        <v>16</v>
      </c>
      <c r="N101" s="12">
        <v>1</v>
      </c>
      <c r="O101" s="12">
        <v>1</v>
      </c>
      <c r="P101" s="12">
        <v>2</v>
      </c>
      <c r="Q101" s="12">
        <v>2</v>
      </c>
      <c r="R101" s="12">
        <v>2</v>
      </c>
      <c r="S101" s="12">
        <v>2</v>
      </c>
      <c r="T101" s="12">
        <v>2</v>
      </c>
      <c r="U101" s="12">
        <v>2</v>
      </c>
      <c r="V101" s="12">
        <v>2</v>
      </c>
      <c r="W101" s="12"/>
      <c r="X101" s="12">
        <v>14.6</v>
      </c>
      <c r="Y101" s="12">
        <v>42.4</v>
      </c>
      <c r="Z101" s="12">
        <v>97.1</v>
      </c>
      <c r="AA101" s="12">
        <v>20.97</v>
      </c>
      <c r="AB101" s="12">
        <v>8.6999999999999993</v>
      </c>
      <c r="AC101" s="12">
        <v>145</v>
      </c>
      <c r="AD101" s="12">
        <v>85.2</v>
      </c>
      <c r="AE101" s="12">
        <v>31</v>
      </c>
      <c r="AF101" s="12">
        <v>28.2</v>
      </c>
      <c r="AG101" s="12">
        <v>144</v>
      </c>
      <c r="AH101" s="12">
        <v>324</v>
      </c>
      <c r="AI101" s="12"/>
      <c r="AJ101" s="12"/>
      <c r="AK101" s="12" t="s">
        <v>166</v>
      </c>
      <c r="AL101" s="12" t="s">
        <v>167</v>
      </c>
      <c r="AM101" s="12"/>
      <c r="AN101" s="12">
        <v>9</v>
      </c>
      <c r="AO101" s="12">
        <v>1</v>
      </c>
      <c r="AP101" s="12">
        <v>3</v>
      </c>
      <c r="AQ101" s="12">
        <v>3</v>
      </c>
      <c r="AR101" s="12">
        <v>5</v>
      </c>
      <c r="AS101" s="12"/>
      <c r="AT101" s="12">
        <v>1</v>
      </c>
      <c r="AU101" s="12">
        <v>1</v>
      </c>
      <c r="AV101" s="12">
        <v>2</v>
      </c>
      <c r="AW101" s="12">
        <v>4</v>
      </c>
      <c r="AX101" s="12">
        <v>8</v>
      </c>
      <c r="AY101" s="12">
        <v>2</v>
      </c>
      <c r="AZ101" s="12">
        <v>2</v>
      </c>
      <c r="BA101" s="12">
        <v>0</v>
      </c>
      <c r="BB101" s="5">
        <v>1</v>
      </c>
      <c r="BC101" s="12">
        <v>100</v>
      </c>
      <c r="BD101" s="12">
        <v>0</v>
      </c>
      <c r="BE101" s="12">
        <v>2</v>
      </c>
      <c r="BF101" s="12">
        <v>2</v>
      </c>
      <c r="BG101" s="12">
        <v>2</v>
      </c>
      <c r="BH101" s="12">
        <v>1</v>
      </c>
      <c r="BI101" s="12">
        <v>1</v>
      </c>
      <c r="BJ101" s="12">
        <v>1</v>
      </c>
      <c r="BK101" s="12">
        <v>0</v>
      </c>
      <c r="BL101" s="12">
        <v>1</v>
      </c>
      <c r="BM101" s="12">
        <v>2</v>
      </c>
      <c r="BN101" s="12">
        <v>2</v>
      </c>
      <c r="BO101" s="12">
        <v>1</v>
      </c>
      <c r="BP101" s="12">
        <v>1</v>
      </c>
      <c r="BQ101" s="12">
        <v>1</v>
      </c>
      <c r="BR101" s="12">
        <v>17</v>
      </c>
      <c r="BS101" s="12">
        <v>1</v>
      </c>
      <c r="BT101" s="12">
        <v>1</v>
      </c>
      <c r="BU101" s="12"/>
    </row>
    <row r="102" spans="1:73" x14ac:dyDescent="0.25">
      <c r="A102" s="12" t="s">
        <v>237</v>
      </c>
      <c r="B102" s="5"/>
      <c r="C102" s="5">
        <v>13.870799999999999</v>
      </c>
      <c r="D102" s="9">
        <f>VLOOKUP($A102,'[1]24-8-24 DATA ENTRY'!$A$1:$BR$303,3,FALSE)</f>
        <v>230704454</v>
      </c>
      <c r="E102" s="9">
        <f>VLOOKUP($A102,'[1]24-8-24 DATA ENTRY'!$A$1:$BR$303,4,FALSE)</f>
        <v>45</v>
      </c>
      <c r="F102" s="9">
        <f>VLOOKUP($A102,'[1]24-8-24 DATA ENTRY'!$A$1:$BR$303,5,FALSE)</f>
        <v>1</v>
      </c>
      <c r="G102" s="10">
        <f>VLOOKUP($A102,'[1]24-8-24 DATA ENTRY'!$A$1:$BR$303,6,FALSE)</f>
        <v>45135</v>
      </c>
      <c r="H102" s="9">
        <f>VLOOKUP($A102,'[1]24-8-24 DATA ENTRY'!$A$1:$BR$303,7,FALSE)</f>
        <v>0.47916666666666669</v>
      </c>
      <c r="I102" s="10">
        <f>VLOOKUP($A102,'[1]24-8-24 DATA ENTRY'!$A$1:$BR$303,8,FALSE)</f>
        <v>45135</v>
      </c>
      <c r="J102" s="10">
        <f>VLOOKUP($A102,'[1]24-8-24 DATA ENTRY'!$A$1:$BR$303,9,FALSE)</f>
        <v>45136</v>
      </c>
      <c r="K102" s="9">
        <f>VLOOKUP($A102,'[1]24-8-24 DATA ENTRY'!$A$1:$BR$303,10,FALSE)</f>
        <v>7888249757</v>
      </c>
      <c r="L102" s="9">
        <f>VLOOKUP($A102,'[1]24-8-24 DATA ENTRY'!$A$1:$BR$303,11,FALSE)</f>
        <v>0</v>
      </c>
      <c r="M102" s="9">
        <f>VLOOKUP($A102,'[1]24-8-24 DATA ENTRY'!$A$1:$BR$303,12,FALSE)</f>
        <v>4</v>
      </c>
      <c r="N102" s="9">
        <f>VLOOKUP($A102,'[1]24-8-24 DATA ENTRY'!$A$1:$BR$303,13,FALSE)</f>
        <v>2</v>
      </c>
      <c r="O102" s="9">
        <f>VLOOKUP($A102,'[1]24-8-24 DATA ENTRY'!$A$1:$BR$303,14,FALSE)</f>
        <v>2</v>
      </c>
      <c r="P102" s="9">
        <f>VLOOKUP($A102,'[1]24-8-24 DATA ENTRY'!$A$1:$BR$303,15,FALSE)</f>
        <v>2</v>
      </c>
      <c r="Q102" s="9">
        <f>VLOOKUP($A102,'[1]24-8-24 DATA ENTRY'!$A$1:$BR$303,16,FALSE)</f>
        <v>2</v>
      </c>
      <c r="R102" s="9">
        <f>VLOOKUP($A102,'[1]24-8-24 DATA ENTRY'!$A$1:$BR$303,17,FALSE)</f>
        <v>2</v>
      </c>
      <c r="S102" s="9">
        <f>VLOOKUP($A102,'[1]24-8-24 DATA ENTRY'!$A$1:$BR$303,18,FALSE)</f>
        <v>2</v>
      </c>
      <c r="T102" s="9">
        <f>VLOOKUP($A102,'[1]24-8-24 DATA ENTRY'!$A$1:$BR$303,19,FALSE)</f>
        <v>2</v>
      </c>
      <c r="U102" s="9">
        <f>VLOOKUP($A102,'[1]24-8-24 DATA ENTRY'!$A$1:$BR$278,20,FALSE)</f>
        <v>2</v>
      </c>
      <c r="V102" s="9">
        <f>VLOOKUP($A102,'[1]24-8-24 DATA ENTRY'!$A$1:$BR$303,21,FALSE)</f>
        <v>2</v>
      </c>
      <c r="W102" s="9">
        <f>VLOOKUP($A102,'[1]24-8-24 DATA ENTRY'!$A$1:$BR$303,22,FALSE)</f>
        <v>0</v>
      </c>
      <c r="X102" s="9">
        <f>VLOOKUP($A102,'[1]24-8-24 DATA ENTRY'!$A$1:$BR$303,23,FALSE)</f>
        <v>14.2</v>
      </c>
      <c r="Y102" s="9">
        <f>VLOOKUP($A102,'[1]24-8-24 DATA ENTRY'!$A$1:$BR$303,24,FALSE)</f>
        <v>42.6</v>
      </c>
      <c r="Z102" s="9">
        <f>VLOOKUP($A102,'[1]24-8-24 DATA ENTRY'!$A$1:$BR$303,25,FALSE)</f>
        <v>88.2</v>
      </c>
      <c r="AA102" s="9">
        <f>VLOOKUP($A102,'[1]24-8-24 DATA ENTRY'!$A$1:$BR$303,26,FALSE)</f>
        <v>14.52</v>
      </c>
      <c r="AB102" s="9">
        <f>VLOOKUP($A102,'[1]24-8-24 DATA ENTRY'!$A$1:$BR$303,27,FALSE)</f>
        <v>6.5</v>
      </c>
      <c r="AC102" s="9">
        <f>VLOOKUP($A102,'[1]24-8-24 DATA ENTRY'!$A$1:$BR$303,28,FALSE)</f>
        <v>216</v>
      </c>
      <c r="AD102" s="9">
        <f>VLOOKUP($A102,'[1]24-8-24 DATA ENTRY'!$A$1:$BR$303,29,FALSE)</f>
        <v>123.2</v>
      </c>
      <c r="AE102" s="9">
        <f>VLOOKUP($A102,'[1]24-8-24 DATA ENTRY'!$A$1:$BR$2303,30,FALSE)</f>
        <v>40</v>
      </c>
      <c r="AF102" s="9">
        <f>VLOOKUP($A102,'[1]24-8-24 DATA ENTRY'!$A$1:$BR$303,31,FALSE)</f>
        <v>52.8</v>
      </c>
      <c r="AG102" s="9">
        <f>VLOOKUP($A102,'[1]24-8-24 DATA ENTRY'!$A$1:$BR$303,32,FALSE)</f>
        <v>264</v>
      </c>
      <c r="AH102" s="9">
        <f>VLOOKUP($A102,'[1]24-8-24 DATA ENTRY'!$A$1:$BR$303,33,FALSE)</f>
        <v>0</v>
      </c>
      <c r="AI102" s="9">
        <f>VLOOKUP($A102,'[1]24-8-24 DATA ENTRY'!$A$1:$BR$303,34,FALSE)</f>
        <v>0</v>
      </c>
      <c r="AJ102" s="9">
        <f>VLOOKUP($A102,'[1]24-8-24 DATA ENTRY'!$A$1:$BR$303,35,FALSE)</f>
        <v>0</v>
      </c>
      <c r="AK102" s="9" t="str">
        <f>VLOOKUP($A102,'[1]24-8-24 DATA ENTRY'!$A$1:$BR$303,36,FALSE)</f>
        <v>NHI in fronto-parietal region and lt centrum semiovale</v>
      </c>
      <c r="AL102" s="9" t="str">
        <f>VLOOKUP($A102,'[1]24-8-24 DATA ENTRY'!$A$1:$BR$303,37,FALSE)</f>
        <v>normal</v>
      </c>
      <c r="AM102" s="9">
        <f>VLOOKUP($A102,'[1]24-8-24 DATA ENTRY'!$A$1:$BR$303,38,FALSE)</f>
        <v>0</v>
      </c>
      <c r="AN102" s="9">
        <f>VLOOKUP($A102,'[1]24-8-24 DATA ENTRY'!$A$1:$BR$303,39,FALSE)</f>
        <v>0</v>
      </c>
      <c r="AO102" s="9">
        <f>VLOOKUP($A102,'[1]24-8-24 DATA ENTRY'!$A$1:$BR$303,40,FALSE)</f>
        <v>0</v>
      </c>
      <c r="AP102" s="9">
        <f>VLOOKUP($A102,'[1]24-8-24 DATA ENTRY'!$A$1:$BR$303,41,FALSE)</f>
        <v>0</v>
      </c>
      <c r="AQ102" s="9">
        <f>VLOOKUP($A102,'[1]24-8-24 DATA ENTRY'!$A$1:$BR$303,42,FALSE)</f>
        <v>0</v>
      </c>
      <c r="AR102" s="9">
        <f>VLOOKUP($A102,'[1]24-8-24 DATA ENTRY'!$A$1:$BR$303,43,FALSE)</f>
        <v>0</v>
      </c>
      <c r="AS102" s="9">
        <f>VLOOKUP($A102,'[1]24-8-24 DATA ENTRY'!$A$1:$BR$303,44,FALSE)</f>
        <v>0</v>
      </c>
      <c r="AT102" s="9">
        <f>VLOOKUP($A102,'[1]24-8-24 DATA ENTRY'!$A$1:$BR$303,45,FALSE)</f>
        <v>1</v>
      </c>
      <c r="AU102" s="9">
        <f>VLOOKUP($A102,'[1]24-8-24 DATA ENTRY'!$A$1:$BR$303,46,FALSE)</f>
        <v>1</v>
      </c>
      <c r="AV102" s="9">
        <f>VLOOKUP($A102,'[1]24-8-24 DATA ENTRY'!$A$1:$BR$303,47,FALSE)</f>
        <v>2</v>
      </c>
      <c r="AW102" s="9">
        <f>VLOOKUP($A102,'[1]24-8-24 DATA ENTRY'!$A$1:$BR$303,48,FALSE)</f>
        <v>0</v>
      </c>
      <c r="AX102" s="9">
        <f>VLOOKUP($A102,'[1]24-8-24 DATA ENTRY'!$A$1:$BR$303,49,FALSE)</f>
        <v>0</v>
      </c>
      <c r="AY102" s="9">
        <f>VLOOKUP($A102,'[1]24-8-24 DATA ENTRY'!$A$1:$BR$303,50,FALSE)</f>
        <v>0</v>
      </c>
      <c r="AZ102" s="9">
        <f>VLOOKUP($A102,'[1]24-8-24 DATA ENTRY'!$A$1:$BR$303,51,FALSE)</f>
        <v>0</v>
      </c>
      <c r="BA102" s="9">
        <f>VLOOKUP($A102,'[1]24-8-24 DATA ENTRY'!$A$1:$BR$303,52,FALSE)</f>
        <v>1</v>
      </c>
      <c r="BB102" s="5">
        <v>1</v>
      </c>
      <c r="BC102" s="9">
        <f>VLOOKUP($A102,'[1]24-8-24 DATA ENTRY'!$A$1:$BR$303,53,FALSE)</f>
        <v>100</v>
      </c>
      <c r="BD102" s="5">
        <v>0</v>
      </c>
      <c r="BE102" s="5">
        <v>2</v>
      </c>
      <c r="BF102" s="5">
        <v>2</v>
      </c>
      <c r="BG102" s="5">
        <v>2</v>
      </c>
      <c r="BH102" s="5">
        <v>1</v>
      </c>
      <c r="BI102" s="5">
        <v>1</v>
      </c>
      <c r="BJ102" s="5">
        <v>1</v>
      </c>
      <c r="BK102" s="5">
        <v>0</v>
      </c>
      <c r="BL102" s="5">
        <v>2</v>
      </c>
      <c r="BM102" s="5">
        <v>2</v>
      </c>
      <c r="BN102" s="5">
        <v>2</v>
      </c>
      <c r="BO102" s="5">
        <v>1</v>
      </c>
      <c r="BP102" s="5">
        <v>1</v>
      </c>
      <c r="BQ102" s="5">
        <v>1</v>
      </c>
      <c r="BR102" s="5">
        <v>18</v>
      </c>
      <c r="BS102" s="5">
        <v>0</v>
      </c>
      <c r="BT102" s="5">
        <v>0</v>
      </c>
      <c r="BU102" s="5" t="s">
        <v>238</v>
      </c>
    </row>
    <row r="103" spans="1:73" x14ac:dyDescent="0.25">
      <c r="A103" s="12" t="s">
        <v>339</v>
      </c>
      <c r="B103" s="5">
        <v>1</v>
      </c>
      <c r="C103" s="12">
        <v>14.218</v>
      </c>
      <c r="D103" s="13">
        <v>24000009353</v>
      </c>
      <c r="E103" s="12">
        <v>65</v>
      </c>
      <c r="F103" s="12">
        <v>1</v>
      </c>
      <c r="G103" s="14">
        <v>45332</v>
      </c>
      <c r="H103" s="15">
        <v>0.91666666666666663</v>
      </c>
      <c r="I103" s="14">
        <v>45333</v>
      </c>
      <c r="J103" s="14"/>
      <c r="K103" s="12">
        <v>8788726932</v>
      </c>
      <c r="L103" s="12"/>
      <c r="M103" s="12">
        <v>9</v>
      </c>
      <c r="N103" s="12">
        <v>1</v>
      </c>
      <c r="O103" s="12">
        <v>1</v>
      </c>
      <c r="P103" s="12">
        <v>2</v>
      </c>
      <c r="Q103" s="12">
        <v>2</v>
      </c>
      <c r="R103" s="12">
        <v>2</v>
      </c>
      <c r="S103" s="12">
        <v>2</v>
      </c>
      <c r="T103" s="12">
        <v>2</v>
      </c>
      <c r="U103" s="12">
        <v>1</v>
      </c>
      <c r="V103" s="12">
        <v>2</v>
      </c>
      <c r="W103" s="12" t="s">
        <v>340</v>
      </c>
      <c r="X103" s="12">
        <v>9.6</v>
      </c>
      <c r="Y103" s="12">
        <v>30.3</v>
      </c>
      <c r="Z103" s="12">
        <v>70</v>
      </c>
      <c r="AA103" s="12">
        <v>9.6999999999999993</v>
      </c>
      <c r="AB103" s="12">
        <v>8.6</v>
      </c>
      <c r="AC103" s="12">
        <v>101</v>
      </c>
      <c r="AD103" s="12">
        <v>44</v>
      </c>
      <c r="AE103" s="12">
        <v>31</v>
      </c>
      <c r="AF103" s="12">
        <v>126</v>
      </c>
      <c r="AG103" s="12">
        <v>25</v>
      </c>
      <c r="AH103" s="12">
        <v>363</v>
      </c>
      <c r="AI103" s="12"/>
      <c r="AJ103" s="12"/>
      <c r="AK103" s="12" t="s">
        <v>341</v>
      </c>
      <c r="AL103" s="12" t="s">
        <v>342</v>
      </c>
      <c r="AM103" s="12"/>
      <c r="AN103" s="12">
        <v>9</v>
      </c>
      <c r="AO103" s="12" t="s">
        <v>720</v>
      </c>
      <c r="AP103" s="12">
        <v>3</v>
      </c>
      <c r="AQ103" s="12">
        <v>2</v>
      </c>
      <c r="AR103" s="12">
        <v>5</v>
      </c>
      <c r="AS103" s="12">
        <v>1</v>
      </c>
      <c r="AT103" s="12">
        <v>1</v>
      </c>
      <c r="AU103" s="12">
        <v>1</v>
      </c>
      <c r="AV103" s="12">
        <v>2</v>
      </c>
      <c r="AW103" s="12"/>
      <c r="AX103" s="12">
        <v>1</v>
      </c>
      <c r="AY103" s="12"/>
      <c r="AZ103" s="12"/>
      <c r="BA103" s="12">
        <v>1</v>
      </c>
      <c r="BB103" s="5">
        <v>1</v>
      </c>
      <c r="BC103" s="12">
        <v>100</v>
      </c>
      <c r="BD103" s="12">
        <v>1</v>
      </c>
      <c r="BE103" s="12">
        <v>2</v>
      </c>
      <c r="BF103" s="12">
        <v>2</v>
      </c>
      <c r="BG103" s="12">
        <v>1</v>
      </c>
      <c r="BH103" s="12">
        <v>1</v>
      </c>
      <c r="BI103" s="12">
        <v>1</v>
      </c>
      <c r="BJ103" s="12">
        <v>1</v>
      </c>
      <c r="BK103" s="12">
        <v>1</v>
      </c>
      <c r="BL103" s="12">
        <v>2</v>
      </c>
      <c r="BM103" s="12">
        <v>2</v>
      </c>
      <c r="BN103" s="12">
        <v>2</v>
      </c>
      <c r="BO103" s="12">
        <v>1</v>
      </c>
      <c r="BP103" s="12">
        <v>1</v>
      </c>
      <c r="BQ103" s="12">
        <v>1</v>
      </c>
      <c r="BR103" s="12">
        <v>19</v>
      </c>
      <c r="BS103" s="12">
        <v>1</v>
      </c>
      <c r="BT103" s="12">
        <v>1</v>
      </c>
      <c r="BU103" s="12" t="s">
        <v>295</v>
      </c>
    </row>
    <row r="104" spans="1:73" x14ac:dyDescent="0.25">
      <c r="A104" s="12" t="s">
        <v>198</v>
      </c>
      <c r="B104" s="5">
        <v>1</v>
      </c>
      <c r="C104" s="12">
        <v>14.3163</v>
      </c>
      <c r="D104" s="13">
        <v>230704763</v>
      </c>
      <c r="E104" s="12">
        <v>50</v>
      </c>
      <c r="F104" s="12">
        <v>1</v>
      </c>
      <c r="G104" s="14">
        <v>45135</v>
      </c>
      <c r="H104" s="16">
        <v>0.83333333333333337</v>
      </c>
      <c r="I104" s="14">
        <v>45136</v>
      </c>
      <c r="J104" s="14">
        <v>45141</v>
      </c>
      <c r="K104" s="12">
        <v>9665061962</v>
      </c>
      <c r="L104" s="12"/>
      <c r="M104" s="12">
        <v>6</v>
      </c>
      <c r="N104" s="12">
        <v>1</v>
      </c>
      <c r="O104" s="12">
        <v>2</v>
      </c>
      <c r="P104" s="12">
        <v>2</v>
      </c>
      <c r="Q104" s="12">
        <v>2</v>
      </c>
      <c r="R104" s="12">
        <v>2</v>
      </c>
      <c r="S104" s="12">
        <v>2</v>
      </c>
      <c r="T104" s="12">
        <v>2</v>
      </c>
      <c r="U104" s="12">
        <v>2</v>
      </c>
      <c r="V104" s="12">
        <v>2</v>
      </c>
      <c r="W104" s="12" t="s">
        <v>199</v>
      </c>
      <c r="X104" s="12">
        <v>14.5</v>
      </c>
      <c r="Y104" s="12">
        <v>43.3</v>
      </c>
      <c r="Z104" s="12">
        <v>97.9</v>
      </c>
      <c r="AA104" s="12">
        <v>109</v>
      </c>
      <c r="AB104" s="12">
        <v>5.6</v>
      </c>
      <c r="AC104" s="12">
        <v>183</v>
      </c>
      <c r="AD104" s="12">
        <v>93</v>
      </c>
      <c r="AE104" s="12">
        <v>35</v>
      </c>
      <c r="AF104" s="12">
        <v>54</v>
      </c>
      <c r="AG104" s="12">
        <v>274</v>
      </c>
      <c r="AH104" s="12">
        <v>148</v>
      </c>
      <c r="AI104" s="12"/>
      <c r="AJ104" s="12"/>
      <c r="AK104" s="12" t="s">
        <v>200</v>
      </c>
      <c r="AL104" s="12" t="s">
        <v>201</v>
      </c>
      <c r="AM104" s="12"/>
      <c r="AN104" s="12">
        <v>9</v>
      </c>
      <c r="AO104" s="12" t="s">
        <v>720</v>
      </c>
      <c r="AP104" s="12">
        <v>3</v>
      </c>
      <c r="AQ104" s="12">
        <v>2</v>
      </c>
      <c r="AR104" s="12">
        <v>5</v>
      </c>
      <c r="AS104" s="12"/>
      <c r="AT104" s="12">
        <v>1</v>
      </c>
      <c r="AU104" s="12">
        <v>2</v>
      </c>
      <c r="AV104" s="12">
        <v>1</v>
      </c>
      <c r="AW104" s="12">
        <v>1</v>
      </c>
      <c r="AX104" s="12"/>
      <c r="AY104" s="12"/>
      <c r="AZ104" s="12"/>
      <c r="BA104" s="12">
        <v>0</v>
      </c>
      <c r="BB104" s="5">
        <v>1</v>
      </c>
      <c r="BC104" s="12">
        <v>100</v>
      </c>
      <c r="BD104" s="12">
        <v>1</v>
      </c>
      <c r="BE104" s="12">
        <v>2</v>
      </c>
      <c r="BF104" s="12">
        <v>2</v>
      </c>
      <c r="BG104" s="12">
        <v>2</v>
      </c>
      <c r="BH104" s="12">
        <v>1</v>
      </c>
      <c r="BI104" s="12">
        <v>0</v>
      </c>
      <c r="BJ104" s="12">
        <v>1</v>
      </c>
      <c r="BK104" s="12">
        <v>1</v>
      </c>
      <c r="BL104" s="12">
        <v>2</v>
      </c>
      <c r="BM104" s="12">
        <v>2</v>
      </c>
      <c r="BN104" s="12">
        <v>2</v>
      </c>
      <c r="BO104" s="12">
        <v>1</v>
      </c>
      <c r="BP104" s="12">
        <v>1</v>
      </c>
      <c r="BQ104" s="12">
        <v>1</v>
      </c>
      <c r="BR104" s="12">
        <v>18</v>
      </c>
      <c r="BS104" s="12">
        <v>1</v>
      </c>
      <c r="BT104" s="12">
        <v>1</v>
      </c>
      <c r="BU104" s="12"/>
    </row>
    <row r="105" spans="1:73" x14ac:dyDescent="0.25">
      <c r="A105" s="12" t="s">
        <v>278</v>
      </c>
      <c r="B105" s="5">
        <v>1</v>
      </c>
      <c r="C105" s="12">
        <v>14.3551</v>
      </c>
      <c r="D105" s="13">
        <v>220905863</v>
      </c>
      <c r="E105" s="12">
        <v>48</v>
      </c>
      <c r="F105" s="12">
        <v>2</v>
      </c>
      <c r="G105" s="14"/>
      <c r="H105" s="12"/>
      <c r="I105" s="14">
        <v>44834</v>
      </c>
      <c r="J105" s="14">
        <v>44835</v>
      </c>
      <c r="K105" s="12">
        <v>9423453622</v>
      </c>
      <c r="L105" s="12"/>
      <c r="M105" s="12">
        <v>3</v>
      </c>
      <c r="N105" s="12">
        <v>2</v>
      </c>
      <c r="O105" s="12">
        <v>2</v>
      </c>
      <c r="P105" s="12">
        <v>2</v>
      </c>
      <c r="Q105" s="12">
        <v>2</v>
      </c>
      <c r="R105" s="12">
        <v>2</v>
      </c>
      <c r="S105" s="12">
        <v>2</v>
      </c>
      <c r="T105" s="12">
        <v>2</v>
      </c>
      <c r="U105" s="12">
        <v>2</v>
      </c>
      <c r="V105" s="12">
        <v>2</v>
      </c>
      <c r="W105" s="12"/>
      <c r="X105" s="12">
        <v>10.6</v>
      </c>
      <c r="Y105" s="12">
        <v>32.5</v>
      </c>
      <c r="Z105" s="12"/>
      <c r="AA105" s="12">
        <v>6.22</v>
      </c>
      <c r="AB105" s="12"/>
      <c r="AC105" s="12"/>
      <c r="AD105" s="12"/>
      <c r="AE105" s="12"/>
      <c r="AF105" s="12"/>
      <c r="AG105" s="12"/>
      <c r="AH105" s="12">
        <v>494</v>
      </c>
      <c r="AI105" s="12" t="s">
        <v>279</v>
      </c>
      <c r="AJ105" s="12"/>
      <c r="AK105" s="12" t="s">
        <v>280</v>
      </c>
      <c r="AL105" s="12" t="s">
        <v>281</v>
      </c>
      <c r="AM105" s="12"/>
      <c r="AN105" s="12">
        <v>9</v>
      </c>
      <c r="AO105" s="12">
        <v>1</v>
      </c>
      <c r="AP105" s="12">
        <v>4</v>
      </c>
      <c r="AQ105" s="12">
        <v>3</v>
      </c>
      <c r="AR105" s="12">
        <v>5</v>
      </c>
      <c r="AS105" s="12"/>
      <c r="AT105" s="12">
        <v>1</v>
      </c>
      <c r="AU105" s="12">
        <v>1</v>
      </c>
      <c r="AV105" s="12"/>
      <c r="AW105" s="12"/>
      <c r="AX105" s="12"/>
      <c r="AY105" s="12"/>
      <c r="AZ105" s="12"/>
      <c r="BA105" s="12">
        <v>0</v>
      </c>
      <c r="BB105" s="5">
        <v>1</v>
      </c>
      <c r="BC105" s="12">
        <v>100</v>
      </c>
      <c r="BD105" s="12">
        <v>1</v>
      </c>
      <c r="BE105" s="12">
        <v>2</v>
      </c>
      <c r="BF105" s="12">
        <v>1</v>
      </c>
      <c r="BG105" s="12">
        <v>2</v>
      </c>
      <c r="BH105" s="12">
        <v>1</v>
      </c>
      <c r="BI105" s="12">
        <v>1</v>
      </c>
      <c r="BJ105" s="12">
        <v>1</v>
      </c>
      <c r="BK105" s="12">
        <v>1</v>
      </c>
      <c r="BL105" s="12">
        <v>2</v>
      </c>
      <c r="BM105" s="12">
        <v>2</v>
      </c>
      <c r="BN105" s="12">
        <v>2</v>
      </c>
      <c r="BO105" s="12">
        <v>1</v>
      </c>
      <c r="BP105" s="12">
        <v>1</v>
      </c>
      <c r="BQ105" s="12">
        <v>1</v>
      </c>
      <c r="BR105" s="12">
        <v>19</v>
      </c>
      <c r="BS105" s="12">
        <v>1</v>
      </c>
      <c r="BT105" s="12">
        <v>1</v>
      </c>
      <c r="BU105" s="12"/>
    </row>
    <row r="106" spans="1:73" x14ac:dyDescent="0.25">
      <c r="A106" s="12" t="s">
        <v>202</v>
      </c>
      <c r="B106" s="5">
        <v>1</v>
      </c>
      <c r="C106" s="12">
        <v>14.4374</v>
      </c>
      <c r="D106" s="13">
        <v>230607917</v>
      </c>
      <c r="E106" s="12">
        <v>88</v>
      </c>
      <c r="F106" s="12">
        <v>1</v>
      </c>
      <c r="G106" s="14"/>
      <c r="H106" s="12"/>
      <c r="I106" s="14">
        <v>45103</v>
      </c>
      <c r="J106" s="14">
        <v>45105</v>
      </c>
      <c r="K106" s="12">
        <v>9423567145</v>
      </c>
      <c r="L106" s="12"/>
      <c r="M106" s="12">
        <v>5</v>
      </c>
      <c r="N106" s="12">
        <v>1</v>
      </c>
      <c r="O106" s="12">
        <v>1</v>
      </c>
      <c r="P106" s="12">
        <v>2</v>
      </c>
      <c r="Q106" s="12">
        <v>2</v>
      </c>
      <c r="R106" s="12">
        <v>2</v>
      </c>
      <c r="S106" s="12">
        <v>2</v>
      </c>
      <c r="T106" s="12">
        <v>2</v>
      </c>
      <c r="U106" s="12">
        <v>2</v>
      </c>
      <c r="V106" s="12">
        <v>2</v>
      </c>
      <c r="W106" s="12" t="s">
        <v>203</v>
      </c>
      <c r="X106" s="12">
        <v>14.2</v>
      </c>
      <c r="Y106" s="12">
        <v>44.3</v>
      </c>
      <c r="Z106" s="12">
        <v>78.599999999999994</v>
      </c>
      <c r="AA106" s="12">
        <v>17</v>
      </c>
      <c r="AB106" s="12">
        <v>9.5</v>
      </c>
      <c r="AC106" s="12">
        <v>146</v>
      </c>
      <c r="AD106" s="12">
        <v>84</v>
      </c>
      <c r="AE106" s="12">
        <v>37</v>
      </c>
      <c r="AF106" s="12">
        <v>24</v>
      </c>
      <c r="AG106" s="12">
        <v>123</v>
      </c>
      <c r="AH106" s="12">
        <v>270</v>
      </c>
      <c r="AI106" s="12"/>
      <c r="AJ106" s="12"/>
      <c r="AK106" s="12" t="s">
        <v>204</v>
      </c>
      <c r="AL106" s="12" t="s">
        <v>205</v>
      </c>
      <c r="AM106" s="12"/>
      <c r="AN106" s="12">
        <v>10</v>
      </c>
      <c r="AO106" s="12" t="s">
        <v>720</v>
      </c>
      <c r="AP106" s="12">
        <v>3</v>
      </c>
      <c r="AQ106" s="12">
        <v>2</v>
      </c>
      <c r="AR106" s="12">
        <v>5</v>
      </c>
      <c r="AS106" s="12"/>
      <c r="AT106" s="12">
        <v>1</v>
      </c>
      <c r="AU106" s="12">
        <v>1</v>
      </c>
      <c r="AV106" s="12">
        <v>1</v>
      </c>
      <c r="AW106" s="12">
        <v>1</v>
      </c>
      <c r="AX106" s="12"/>
      <c r="AY106" s="12"/>
      <c r="AZ106" s="12"/>
      <c r="BA106" s="12">
        <v>0</v>
      </c>
      <c r="BB106" s="5">
        <v>1</v>
      </c>
      <c r="BC106" s="12">
        <v>100</v>
      </c>
      <c r="BD106" s="12">
        <v>0</v>
      </c>
      <c r="BE106" s="12">
        <v>2</v>
      </c>
      <c r="BF106" s="12">
        <v>2</v>
      </c>
      <c r="BG106" s="12">
        <v>2</v>
      </c>
      <c r="BH106" s="12">
        <v>1</v>
      </c>
      <c r="BI106" s="12">
        <v>1</v>
      </c>
      <c r="BJ106" s="12">
        <v>1</v>
      </c>
      <c r="BK106" s="12">
        <v>0</v>
      </c>
      <c r="BL106" s="12">
        <v>2</v>
      </c>
      <c r="BM106" s="12">
        <v>2</v>
      </c>
      <c r="BN106" s="12">
        <v>2</v>
      </c>
      <c r="BO106" s="12">
        <v>1</v>
      </c>
      <c r="BP106" s="12">
        <v>1</v>
      </c>
      <c r="BQ106" s="12">
        <v>1</v>
      </c>
      <c r="BR106" s="12">
        <v>18</v>
      </c>
      <c r="BS106" s="12">
        <v>1</v>
      </c>
      <c r="BT106" s="12">
        <v>1</v>
      </c>
      <c r="BU106" s="12"/>
    </row>
    <row r="107" spans="1:73" x14ac:dyDescent="0.25">
      <c r="A107" s="12" t="s">
        <v>84</v>
      </c>
      <c r="B107" s="5">
        <v>1</v>
      </c>
      <c r="C107" s="12">
        <v>15.042</v>
      </c>
      <c r="D107" s="13">
        <v>230404175</v>
      </c>
      <c r="E107" s="12">
        <v>63</v>
      </c>
      <c r="F107" s="12">
        <v>2</v>
      </c>
      <c r="G107" s="14"/>
      <c r="H107" s="12"/>
      <c r="I107" s="14">
        <v>45043</v>
      </c>
      <c r="J107" s="14"/>
      <c r="K107" s="12">
        <v>9923986659</v>
      </c>
      <c r="L107" s="12"/>
      <c r="M107" s="12">
        <v>20</v>
      </c>
      <c r="N107" s="12">
        <v>1</v>
      </c>
      <c r="O107" s="12">
        <v>1</v>
      </c>
      <c r="P107" s="12">
        <v>2</v>
      </c>
      <c r="Q107" s="12">
        <v>2</v>
      </c>
      <c r="R107" s="12">
        <v>2</v>
      </c>
      <c r="S107" s="12">
        <v>2</v>
      </c>
      <c r="T107" s="12">
        <v>2</v>
      </c>
      <c r="U107" s="12">
        <v>2</v>
      </c>
      <c r="V107" s="12">
        <v>2</v>
      </c>
      <c r="W107" s="12"/>
      <c r="X107" s="12">
        <v>10</v>
      </c>
      <c r="Y107" s="12">
        <v>34</v>
      </c>
      <c r="Z107" s="12"/>
      <c r="AA107" s="12">
        <v>10.199999999999999</v>
      </c>
      <c r="AB107" s="12">
        <v>9.1999999999999993</v>
      </c>
      <c r="AC107" s="12">
        <v>184</v>
      </c>
      <c r="AD107" s="12">
        <v>34</v>
      </c>
      <c r="AE107" s="12">
        <v>103.02</v>
      </c>
      <c r="AF107" s="12">
        <v>46.8</v>
      </c>
      <c r="AG107" s="12">
        <v>234</v>
      </c>
      <c r="AH107" s="12">
        <v>148</v>
      </c>
      <c r="AI107" s="12" t="s">
        <v>85</v>
      </c>
      <c r="AJ107" s="12"/>
      <c r="AK107" s="12"/>
      <c r="AL107" s="12" t="s">
        <v>86</v>
      </c>
      <c r="AM107" s="12"/>
      <c r="AN107" s="12">
        <v>9</v>
      </c>
      <c r="AO107" s="12">
        <v>1</v>
      </c>
      <c r="AP107" s="12">
        <v>3</v>
      </c>
      <c r="AQ107" s="12">
        <v>3</v>
      </c>
      <c r="AR107" s="12">
        <v>4</v>
      </c>
      <c r="AS107" s="12"/>
      <c r="AT107" s="12">
        <v>1</v>
      </c>
      <c r="AU107" s="12">
        <v>1</v>
      </c>
      <c r="AV107" s="12">
        <v>2</v>
      </c>
      <c r="AW107" s="12"/>
      <c r="AX107" s="12"/>
      <c r="AY107" s="12"/>
      <c r="AZ107" s="12"/>
      <c r="BA107" s="12">
        <v>1</v>
      </c>
      <c r="BB107" s="5">
        <v>1</v>
      </c>
      <c r="BC107" s="12">
        <v>100</v>
      </c>
      <c r="BD107" s="12">
        <v>0</v>
      </c>
      <c r="BE107" s="12">
        <v>2</v>
      </c>
      <c r="BF107" s="12">
        <v>2</v>
      </c>
      <c r="BG107" s="12">
        <v>2</v>
      </c>
      <c r="BH107" s="12">
        <v>1</v>
      </c>
      <c r="BI107" s="12">
        <v>1</v>
      </c>
      <c r="BJ107" s="12">
        <v>1</v>
      </c>
      <c r="BK107" s="12">
        <v>0</v>
      </c>
      <c r="BL107" s="12">
        <v>2</v>
      </c>
      <c r="BM107" s="12">
        <v>0</v>
      </c>
      <c r="BN107" s="12">
        <v>1</v>
      </c>
      <c r="BO107" s="12">
        <v>0</v>
      </c>
      <c r="BP107" s="12">
        <v>0</v>
      </c>
      <c r="BQ107" s="12">
        <v>1</v>
      </c>
      <c r="BR107" s="12">
        <v>13</v>
      </c>
      <c r="BS107" s="12">
        <v>1</v>
      </c>
      <c r="BT107" s="12">
        <v>1</v>
      </c>
      <c r="BU107" s="12" t="s">
        <v>87</v>
      </c>
    </row>
    <row r="108" spans="1:73" x14ac:dyDescent="0.25">
      <c r="A108" s="12" t="s">
        <v>239</v>
      </c>
      <c r="B108" s="5">
        <v>1</v>
      </c>
      <c r="C108" s="12">
        <v>15.7644</v>
      </c>
      <c r="D108" s="13">
        <v>230000000000</v>
      </c>
      <c r="E108" s="12">
        <v>57</v>
      </c>
      <c r="F108" s="12">
        <v>1</v>
      </c>
      <c r="G108" s="14">
        <v>45285</v>
      </c>
      <c r="H108" s="16">
        <v>0.9375</v>
      </c>
      <c r="I108" s="14">
        <v>45286</v>
      </c>
      <c r="J108" s="14">
        <v>45294</v>
      </c>
      <c r="K108" s="12">
        <v>9172734212</v>
      </c>
      <c r="L108" s="12">
        <v>9822621475</v>
      </c>
      <c r="M108" s="12">
        <v>6</v>
      </c>
      <c r="N108" s="12">
        <v>1</v>
      </c>
      <c r="O108" s="12">
        <v>1</v>
      </c>
      <c r="P108" s="12">
        <v>2</v>
      </c>
      <c r="Q108" s="12">
        <v>2</v>
      </c>
      <c r="R108" s="12">
        <v>2</v>
      </c>
      <c r="S108" s="12">
        <v>2</v>
      </c>
      <c r="T108" s="12">
        <v>2</v>
      </c>
      <c r="U108" s="12">
        <v>2</v>
      </c>
      <c r="V108" s="12">
        <v>2</v>
      </c>
      <c r="W108" s="12"/>
      <c r="X108" s="12">
        <v>15</v>
      </c>
      <c r="Y108" s="12">
        <v>46.2</v>
      </c>
      <c r="Z108" s="12">
        <v>84.9</v>
      </c>
      <c r="AA108" s="12"/>
      <c r="AB108" s="12">
        <v>9.4</v>
      </c>
      <c r="AC108" s="12">
        <v>206</v>
      </c>
      <c r="AD108" s="12">
        <v>146</v>
      </c>
      <c r="AE108" s="12">
        <v>36</v>
      </c>
      <c r="AF108" s="12">
        <v>24</v>
      </c>
      <c r="AG108" s="12">
        <v>120</v>
      </c>
      <c r="AH108" s="12"/>
      <c r="AI108" s="12"/>
      <c r="AJ108" s="12"/>
      <c r="AK108" s="12" t="s">
        <v>240</v>
      </c>
      <c r="AL108" s="12" t="s">
        <v>241</v>
      </c>
      <c r="AM108" s="12"/>
      <c r="AN108" s="12">
        <v>10</v>
      </c>
      <c r="AO108" s="12">
        <v>1</v>
      </c>
      <c r="AP108" s="12">
        <v>3</v>
      </c>
      <c r="AQ108" s="12">
        <v>3</v>
      </c>
      <c r="AR108" s="12">
        <v>5</v>
      </c>
      <c r="AS108" s="12"/>
      <c r="AT108" s="12">
        <v>1</v>
      </c>
      <c r="AU108" s="12">
        <v>1</v>
      </c>
      <c r="AV108" s="12">
        <v>2</v>
      </c>
      <c r="AW108" s="12"/>
      <c r="AX108" s="12"/>
      <c r="AY108" s="12"/>
      <c r="AZ108" s="12"/>
      <c r="BA108" s="12">
        <v>1</v>
      </c>
      <c r="BB108" s="5">
        <v>1</v>
      </c>
      <c r="BC108" s="12">
        <v>100</v>
      </c>
      <c r="BD108" s="12">
        <v>1</v>
      </c>
      <c r="BE108" s="12">
        <v>2</v>
      </c>
      <c r="BF108" s="12">
        <v>2</v>
      </c>
      <c r="BG108" s="12">
        <v>2</v>
      </c>
      <c r="BH108" s="12">
        <v>1</v>
      </c>
      <c r="BI108" s="12">
        <v>1</v>
      </c>
      <c r="BJ108" s="12">
        <v>1</v>
      </c>
      <c r="BK108" s="12">
        <v>0</v>
      </c>
      <c r="BL108" s="12">
        <v>1</v>
      </c>
      <c r="BM108" s="12">
        <v>2</v>
      </c>
      <c r="BN108" s="12">
        <v>2</v>
      </c>
      <c r="BO108" s="12">
        <v>1</v>
      </c>
      <c r="BP108" s="12">
        <v>1</v>
      </c>
      <c r="BQ108" s="12">
        <v>1</v>
      </c>
      <c r="BR108" s="12">
        <v>18</v>
      </c>
      <c r="BS108" s="12">
        <v>1</v>
      </c>
      <c r="BT108" s="12">
        <v>1</v>
      </c>
      <c r="BU108" s="12"/>
    </row>
    <row r="109" spans="1:73" x14ac:dyDescent="0.25">
      <c r="A109" s="12" t="s">
        <v>343</v>
      </c>
      <c r="B109" s="5">
        <v>1</v>
      </c>
      <c r="C109" s="12">
        <v>16.621700000000001</v>
      </c>
      <c r="D109" s="13">
        <v>131205306</v>
      </c>
      <c r="E109" s="12">
        <v>55</v>
      </c>
      <c r="F109" s="12">
        <v>1</v>
      </c>
      <c r="G109" s="14">
        <v>45091</v>
      </c>
      <c r="H109" s="16">
        <v>0.70833333333333337</v>
      </c>
      <c r="I109" s="14">
        <v>45092</v>
      </c>
      <c r="J109" s="14">
        <v>45097</v>
      </c>
      <c r="K109" s="12">
        <v>7506213289</v>
      </c>
      <c r="L109" s="12"/>
      <c r="M109" s="12">
        <v>8</v>
      </c>
      <c r="N109" s="12">
        <v>1</v>
      </c>
      <c r="O109" s="12">
        <v>2</v>
      </c>
      <c r="P109" s="12">
        <v>1</v>
      </c>
      <c r="Q109" s="12">
        <v>2</v>
      </c>
      <c r="R109" s="12">
        <v>2</v>
      </c>
      <c r="S109" s="12">
        <v>2</v>
      </c>
      <c r="T109" s="12">
        <v>2</v>
      </c>
      <c r="U109" s="12">
        <v>1</v>
      </c>
      <c r="V109" s="12">
        <v>2</v>
      </c>
      <c r="W109" s="12" t="s">
        <v>344</v>
      </c>
      <c r="X109" s="12">
        <v>15.2</v>
      </c>
      <c r="Y109" s="12">
        <v>46.1</v>
      </c>
      <c r="Z109" s="12"/>
      <c r="AA109" s="12">
        <v>24.49</v>
      </c>
      <c r="AB109" s="12"/>
      <c r="AC109" s="12">
        <v>125</v>
      </c>
      <c r="AD109" s="12">
        <v>89</v>
      </c>
      <c r="AE109" s="12">
        <v>45</v>
      </c>
      <c r="AF109" s="12">
        <v>10.8</v>
      </c>
      <c r="AG109" s="12">
        <v>54</v>
      </c>
      <c r="AH109" s="12">
        <v>2000</v>
      </c>
      <c r="AI109" s="12" t="s">
        <v>345</v>
      </c>
      <c r="AJ109" s="12"/>
      <c r="AK109" s="12" t="s">
        <v>346</v>
      </c>
      <c r="AL109" s="12" t="s">
        <v>347</v>
      </c>
      <c r="AM109" s="12"/>
      <c r="AN109" s="12">
        <v>8</v>
      </c>
      <c r="AO109" s="12" t="s">
        <v>720</v>
      </c>
      <c r="AP109" s="12">
        <v>3</v>
      </c>
      <c r="AQ109" s="12">
        <v>2</v>
      </c>
      <c r="AR109" s="12">
        <v>5</v>
      </c>
      <c r="AS109" s="12"/>
      <c r="AT109" s="12">
        <v>1</v>
      </c>
      <c r="AU109" s="12">
        <v>1</v>
      </c>
      <c r="AV109" s="12">
        <v>2</v>
      </c>
      <c r="AW109" s="12"/>
      <c r="AX109" s="12"/>
      <c r="AY109" s="12"/>
      <c r="AZ109" s="12"/>
      <c r="BA109" s="12">
        <v>1</v>
      </c>
      <c r="BB109" s="5">
        <v>1</v>
      </c>
      <c r="BC109" s="12">
        <v>100</v>
      </c>
      <c r="BD109" s="12">
        <v>1</v>
      </c>
      <c r="BE109" s="12">
        <v>2</v>
      </c>
      <c r="BF109" s="12">
        <v>2</v>
      </c>
      <c r="BG109" s="12">
        <v>2</v>
      </c>
      <c r="BH109" s="12">
        <v>1</v>
      </c>
      <c r="BI109" s="12">
        <v>1</v>
      </c>
      <c r="BJ109" s="12">
        <v>1</v>
      </c>
      <c r="BK109" s="12">
        <v>1</v>
      </c>
      <c r="BL109" s="12">
        <v>2</v>
      </c>
      <c r="BM109" s="12">
        <v>2</v>
      </c>
      <c r="BN109" s="12">
        <v>1</v>
      </c>
      <c r="BO109" s="12">
        <v>1</v>
      </c>
      <c r="BP109" s="12">
        <v>1</v>
      </c>
      <c r="BQ109" s="12">
        <v>1</v>
      </c>
      <c r="BR109" s="12">
        <v>19</v>
      </c>
      <c r="BS109" s="12">
        <v>1</v>
      </c>
      <c r="BT109" s="12">
        <v>1</v>
      </c>
      <c r="BU109" s="12"/>
    </row>
    <row r="110" spans="1:73" x14ac:dyDescent="0.25">
      <c r="A110" s="5" t="s">
        <v>206</v>
      </c>
      <c r="B110" s="5">
        <v>1</v>
      </c>
      <c r="C110" s="5">
        <v>17.953499999999998</v>
      </c>
      <c r="D110" s="6">
        <v>230400708</v>
      </c>
      <c r="E110" s="5">
        <v>77</v>
      </c>
      <c r="F110" s="5">
        <v>1</v>
      </c>
      <c r="G110" s="7"/>
      <c r="H110" s="5"/>
      <c r="I110" s="7">
        <v>45020</v>
      </c>
      <c r="J110" s="7">
        <v>45022</v>
      </c>
      <c r="K110" s="5"/>
      <c r="L110" s="5"/>
      <c r="M110" s="5">
        <v>6</v>
      </c>
      <c r="N110" s="5">
        <v>2</v>
      </c>
      <c r="O110" s="5">
        <v>2</v>
      </c>
      <c r="P110" s="5">
        <v>2</v>
      </c>
      <c r="Q110" s="5">
        <v>1</v>
      </c>
      <c r="R110" s="5">
        <v>2</v>
      </c>
      <c r="S110" s="5">
        <v>2</v>
      </c>
      <c r="T110" s="5">
        <v>2</v>
      </c>
      <c r="U110" s="5">
        <v>2</v>
      </c>
      <c r="V110" s="5">
        <v>2</v>
      </c>
      <c r="W110" s="5"/>
      <c r="X110" s="5">
        <v>11.5</v>
      </c>
      <c r="Y110" s="5"/>
      <c r="Z110" s="5"/>
      <c r="AA110" s="5">
        <v>19</v>
      </c>
      <c r="AB110" s="5">
        <v>5.9</v>
      </c>
      <c r="AC110" s="5">
        <v>160</v>
      </c>
      <c r="AD110" s="5">
        <v>109</v>
      </c>
      <c r="AE110" s="5">
        <v>37</v>
      </c>
      <c r="AF110" s="5">
        <v>13</v>
      </c>
      <c r="AG110" s="5">
        <v>68</v>
      </c>
      <c r="AH110" s="5">
        <v>179</v>
      </c>
      <c r="AI110" s="5"/>
      <c r="AJ110" s="5"/>
      <c r="AK110" s="5" t="s">
        <v>207</v>
      </c>
      <c r="AL110" s="5" t="s">
        <v>208</v>
      </c>
      <c r="AM110" s="5"/>
      <c r="AN110" s="5">
        <v>9</v>
      </c>
      <c r="AO110" s="5">
        <v>1</v>
      </c>
      <c r="AP110" s="5">
        <v>3</v>
      </c>
      <c r="AQ110" s="5">
        <v>3</v>
      </c>
      <c r="AR110" s="5">
        <v>5</v>
      </c>
      <c r="AS110" s="5"/>
      <c r="AT110" s="5">
        <v>1</v>
      </c>
      <c r="AU110" s="5">
        <v>1</v>
      </c>
      <c r="AV110" s="5">
        <v>2</v>
      </c>
      <c r="AW110" s="5"/>
      <c r="AX110" s="5"/>
      <c r="AY110" s="5"/>
      <c r="AZ110" s="5"/>
      <c r="BA110" s="5">
        <v>0</v>
      </c>
      <c r="BB110" s="5">
        <v>1</v>
      </c>
      <c r="BC110" s="5">
        <v>100</v>
      </c>
      <c r="BD110" s="5">
        <v>1</v>
      </c>
      <c r="BE110" s="5">
        <v>2</v>
      </c>
      <c r="BF110" s="5">
        <v>2</v>
      </c>
      <c r="BG110" s="5">
        <v>2</v>
      </c>
      <c r="BH110" s="5">
        <v>1</v>
      </c>
      <c r="BI110" s="5">
        <v>1</v>
      </c>
      <c r="BJ110" s="5">
        <v>0</v>
      </c>
      <c r="BK110" s="5">
        <v>1</v>
      </c>
      <c r="BL110" s="5">
        <v>1</v>
      </c>
      <c r="BM110" s="5">
        <v>2</v>
      </c>
      <c r="BN110" s="5">
        <v>2</v>
      </c>
      <c r="BO110" s="5">
        <v>1</v>
      </c>
      <c r="BP110" s="5">
        <v>1</v>
      </c>
      <c r="BQ110" s="5">
        <v>1</v>
      </c>
      <c r="BR110" s="5">
        <v>18</v>
      </c>
      <c r="BS110" s="5"/>
      <c r="BT110" s="5"/>
      <c r="BU110" s="5"/>
    </row>
    <row r="111" spans="1:73" x14ac:dyDescent="0.25">
      <c r="A111" s="5" t="s">
        <v>506</v>
      </c>
      <c r="B111" s="5">
        <v>0</v>
      </c>
      <c r="C111" s="5">
        <v>19.571100000000001</v>
      </c>
      <c r="D111" s="9">
        <f>VLOOKUP($A111,'[1]24-8-24 DATA ENTRY'!$A$1:$BR$303,3,FALSE)</f>
        <v>240000057100</v>
      </c>
      <c r="E111" s="9">
        <f>VLOOKUP($A111,'[1]24-8-24 DATA ENTRY'!$A$1:$BR$303,4,FALSE)</f>
        <v>77</v>
      </c>
      <c r="F111" s="9">
        <f>VLOOKUP($A111,'[1]24-8-24 DATA ENTRY'!$A$1:$BR$303,5,FALSE)</f>
        <v>2</v>
      </c>
      <c r="G111" s="10">
        <f>VLOOKUP($A111,'[1]24-8-24 DATA ENTRY'!$A$1:$BR$303,6,FALSE)</f>
        <v>45472</v>
      </c>
      <c r="H111" s="9">
        <f>VLOOKUP($A111,'[1]24-8-24 DATA ENTRY'!$A$1:$BR$303,7,FALSE)</f>
        <v>0.5</v>
      </c>
      <c r="I111" s="10">
        <f>VLOOKUP($A111,'[1]24-8-24 DATA ENTRY'!$A$1:$BR$303,8,FALSE)</f>
        <v>45473</v>
      </c>
      <c r="J111" s="10">
        <f>VLOOKUP($A111,'[1]24-8-24 DATA ENTRY'!$A$1:$BR$303,9,FALSE)</f>
        <v>45476</v>
      </c>
      <c r="K111" s="9">
        <f>VLOOKUP($A111,'[1]24-8-24 DATA ENTRY'!$A$1:$BR$303,10,FALSE)</f>
        <v>9067454942</v>
      </c>
      <c r="L111" s="9">
        <f>VLOOKUP($A111,'[1]24-8-24 DATA ENTRY'!$A$1:$BR$303,11,FALSE)</f>
        <v>0</v>
      </c>
      <c r="M111" s="9">
        <f>VLOOKUP($A111,'[1]24-8-24 DATA ENTRY'!$A$1:$BR$303,12,FALSE)</f>
        <v>1</v>
      </c>
      <c r="N111" s="9">
        <f>VLOOKUP($A111,'[1]24-8-24 DATA ENTRY'!$A$1:$BR$303,13,FALSE)</f>
        <v>1</v>
      </c>
      <c r="O111" s="9">
        <f>VLOOKUP($A111,'[1]24-8-24 DATA ENTRY'!$A$1:$BR$303,14,FALSE)</f>
        <v>1</v>
      </c>
      <c r="P111" s="9">
        <f>VLOOKUP($A111,'[1]24-8-24 DATA ENTRY'!$A$1:$BR$303,15,FALSE)</f>
        <v>2</v>
      </c>
      <c r="Q111" s="9">
        <f>VLOOKUP($A111,'[1]24-8-24 DATA ENTRY'!$A$1:$BR$303,16,FALSE)</f>
        <v>2</v>
      </c>
      <c r="R111" s="9">
        <f>VLOOKUP($A111,'[1]24-8-24 DATA ENTRY'!$A$1:$BR$303,17,FALSE)</f>
        <v>2</v>
      </c>
      <c r="S111" s="9">
        <f>VLOOKUP($A111,'[1]24-8-24 DATA ENTRY'!$A$1:$BR$303,18,FALSE)</f>
        <v>2</v>
      </c>
      <c r="T111" s="9">
        <f>VLOOKUP($A111,'[1]24-8-24 DATA ENTRY'!$A$1:$BR$303,19,FALSE)</f>
        <v>2</v>
      </c>
      <c r="U111" s="9" t="e">
        <f>VLOOKUP($A111,'[1]24-8-24 DATA ENTRY'!$A$1:$BR$278,20,FALSE)</f>
        <v>#N/A</v>
      </c>
      <c r="V111" s="9">
        <f>VLOOKUP($A111,'[1]24-8-24 DATA ENTRY'!$A$1:$BR$303,21,FALSE)</f>
        <v>2</v>
      </c>
      <c r="W111" s="9">
        <f>VLOOKUP($A111,'[1]24-8-24 DATA ENTRY'!$A$1:$BR$303,22,FALSE)</f>
        <v>0</v>
      </c>
      <c r="X111" s="9">
        <f>VLOOKUP($A111,'[1]24-8-24 DATA ENTRY'!$A$1:$BR$303,23,FALSE)</f>
        <v>14</v>
      </c>
      <c r="Y111" s="9">
        <f>VLOOKUP($A111,'[1]24-8-24 DATA ENTRY'!$A$1:$BR$303,24,FALSE)</f>
        <v>42.4</v>
      </c>
      <c r="Z111" s="9">
        <f>VLOOKUP($A111,'[1]24-8-24 DATA ENTRY'!$A$1:$BR$303,25,FALSE)</f>
        <v>88.9</v>
      </c>
      <c r="AA111" s="9">
        <f>VLOOKUP($A111,'[1]24-8-24 DATA ENTRY'!$A$1:$BR$303,26,FALSE)</f>
        <v>15.9</v>
      </c>
      <c r="AB111" s="9">
        <f>VLOOKUP($A111,'[1]24-8-24 DATA ENTRY'!$A$1:$BR$303,27,FALSE)</f>
        <v>10.4</v>
      </c>
      <c r="AC111" s="9">
        <f>VLOOKUP($A111,'[1]24-8-24 DATA ENTRY'!$A$1:$BR$303,28,FALSE)</f>
        <v>250</v>
      </c>
      <c r="AD111" s="9">
        <f>VLOOKUP($A111,'[1]24-8-24 DATA ENTRY'!$A$1:$BR$303,29,FALSE)</f>
        <v>126</v>
      </c>
      <c r="AE111" s="9">
        <f>VLOOKUP($A111,'[1]24-8-24 DATA ENTRY'!$A$1:$BR$2303,30,FALSE)</f>
        <v>37</v>
      </c>
      <c r="AF111" s="9">
        <f>VLOOKUP($A111,'[1]24-8-24 DATA ENTRY'!$A$1:$BR$303,31,FALSE)</f>
        <v>87</v>
      </c>
      <c r="AG111" s="9">
        <f>VLOOKUP($A111,'[1]24-8-24 DATA ENTRY'!$A$1:$BR$303,32,FALSE)</f>
        <v>435</v>
      </c>
      <c r="AH111" s="9">
        <f>VLOOKUP($A111,'[1]24-8-24 DATA ENTRY'!$A$1:$BR$303,33,FALSE)</f>
        <v>0</v>
      </c>
      <c r="AI111" s="9">
        <f>VLOOKUP($A111,'[1]24-8-24 DATA ENTRY'!$A$1:$BR$303,34,FALSE)</f>
        <v>0</v>
      </c>
      <c r="AJ111" s="9">
        <f>VLOOKUP($A111,'[1]24-8-24 DATA ENTRY'!$A$1:$BR$303,35,FALSE)</f>
        <v>0</v>
      </c>
      <c r="AK111" s="9" t="str">
        <f>VLOOKUP($A111,'[1]24-8-24 DATA ENTRY'!$A$1:$BR$303,36,FALSE)</f>
        <v>Right ACA MCA, MCA PCA and internal watershed infarct</v>
      </c>
      <c r="AL111" s="9" t="str">
        <f>VLOOKUP($A111,'[1]24-8-24 DATA ENTRY'!$A$1:$BR$303,37,FALSE)</f>
        <v>Right ICA origin 90% stenosis and right M1 stenosis. Tandom occlusion</v>
      </c>
      <c r="AM111" s="9">
        <f>VLOOKUP($A111,'[1]24-8-24 DATA ENTRY'!$A$1:$BR$303,38,FALSE)</f>
        <v>0</v>
      </c>
      <c r="AN111" s="9">
        <f>VLOOKUP($A111,'[1]24-8-24 DATA ENTRY'!$A$1:$BR$303,39,FALSE)</f>
        <v>0</v>
      </c>
      <c r="AO111" s="9">
        <f>VLOOKUP($A111,'[1]24-8-24 DATA ENTRY'!$A$1:$BR$303,40,FALSE)</f>
        <v>0</v>
      </c>
      <c r="AP111" s="9">
        <f>VLOOKUP($A111,'[1]24-8-24 DATA ENTRY'!$A$1:$BR$303,41,FALSE)</f>
        <v>0</v>
      </c>
      <c r="AQ111" s="9">
        <f>VLOOKUP($A111,'[1]24-8-24 DATA ENTRY'!$A$1:$BR$303,42,FALSE)</f>
        <v>0</v>
      </c>
      <c r="AR111" s="9">
        <f>VLOOKUP($A111,'[1]24-8-24 DATA ENTRY'!$A$1:$BR$303,43,FALSE)</f>
        <v>0</v>
      </c>
      <c r="AS111" s="9">
        <f>VLOOKUP($A111,'[1]24-8-24 DATA ENTRY'!$A$1:$BR$303,44,FALSE)</f>
        <v>0</v>
      </c>
      <c r="AT111" s="9">
        <f>VLOOKUP($A111,'[1]24-8-24 DATA ENTRY'!$A$1:$BR$303,45,FALSE)</f>
        <v>1</v>
      </c>
      <c r="AU111" s="9">
        <f>VLOOKUP($A111,'[1]24-8-24 DATA ENTRY'!$A$1:$BR$303,46,FALSE)</f>
        <v>1</v>
      </c>
      <c r="AV111" s="9">
        <f>VLOOKUP($A111,'[1]24-8-24 DATA ENTRY'!$A$1:$BR$303,47,FALSE)</f>
        <v>2</v>
      </c>
      <c r="AW111" s="9">
        <f>VLOOKUP($A111,'[1]24-8-24 DATA ENTRY'!$A$1:$BR$303,48,FALSE)</f>
        <v>0</v>
      </c>
      <c r="AX111" s="9">
        <f>VLOOKUP($A111,'[1]24-8-24 DATA ENTRY'!$A$1:$BR$303,49,FALSE)</f>
        <v>2</v>
      </c>
      <c r="AY111" s="9">
        <f>VLOOKUP($A111,'[1]24-8-24 DATA ENTRY'!$A$1:$BR$303,50,FALSE)</f>
        <v>2</v>
      </c>
      <c r="AZ111" s="9">
        <f>VLOOKUP($A111,'[1]24-8-24 DATA ENTRY'!$A$1:$BR$303,51,FALSE)</f>
        <v>2</v>
      </c>
      <c r="BA111" s="9">
        <f>VLOOKUP($A111,'[1]24-8-24 DATA ENTRY'!$A$1:$BR$303,52,FALSE)</f>
        <v>0</v>
      </c>
      <c r="BB111" s="5">
        <v>1</v>
      </c>
      <c r="BC111" s="9">
        <f>VLOOKUP($A111,'[1]24-8-24 DATA ENTRY'!$A$1:$BR$303,53,FALSE)</f>
        <v>100</v>
      </c>
      <c r="BD111" s="5">
        <v>0</v>
      </c>
      <c r="BE111" s="5">
        <v>2</v>
      </c>
      <c r="BF111" s="5">
        <v>0</v>
      </c>
      <c r="BG111" s="5">
        <v>1</v>
      </c>
      <c r="BH111" s="5">
        <v>1</v>
      </c>
      <c r="BI111" s="5">
        <v>1</v>
      </c>
      <c r="BJ111" s="5">
        <v>1</v>
      </c>
      <c r="BK111" s="5">
        <v>0</v>
      </c>
      <c r="BL111" s="5">
        <v>2</v>
      </c>
      <c r="BM111" s="5">
        <v>2</v>
      </c>
      <c r="BN111" s="5">
        <v>2</v>
      </c>
      <c r="BO111" s="5">
        <v>1</v>
      </c>
      <c r="BP111" s="5">
        <v>1</v>
      </c>
      <c r="BQ111" s="5">
        <v>1</v>
      </c>
      <c r="BR111" s="5">
        <v>15</v>
      </c>
      <c r="BS111" s="5">
        <v>1</v>
      </c>
      <c r="BT111" s="5">
        <v>0</v>
      </c>
      <c r="BU111" s="5" t="s">
        <v>507</v>
      </c>
    </row>
    <row r="112" spans="1:73" x14ac:dyDescent="0.25">
      <c r="A112" s="12" t="s">
        <v>419</v>
      </c>
      <c r="B112" s="5">
        <v>1</v>
      </c>
      <c r="C112" s="12">
        <v>20.573699999999999</v>
      </c>
      <c r="D112" s="13">
        <v>230000000000</v>
      </c>
      <c r="E112" s="12">
        <v>81</v>
      </c>
      <c r="F112" s="12">
        <v>1</v>
      </c>
      <c r="G112" s="14">
        <v>45253</v>
      </c>
      <c r="H112" s="12"/>
      <c r="I112" s="14">
        <v>45253</v>
      </c>
      <c r="J112" s="14"/>
      <c r="K112" s="12"/>
      <c r="L112" s="12"/>
      <c r="M112" s="12">
        <v>2</v>
      </c>
      <c r="N112" s="12">
        <v>2</v>
      </c>
      <c r="O112" s="12">
        <v>2</v>
      </c>
      <c r="P112" s="12">
        <v>2</v>
      </c>
      <c r="Q112" s="12">
        <v>2</v>
      </c>
      <c r="R112" s="12">
        <v>2</v>
      </c>
      <c r="S112" s="12">
        <v>2</v>
      </c>
      <c r="T112" s="12">
        <v>2</v>
      </c>
      <c r="U112" s="12">
        <v>2</v>
      </c>
      <c r="V112" s="12">
        <v>2</v>
      </c>
      <c r="W112" s="12"/>
      <c r="X112" s="12">
        <v>11.6</v>
      </c>
      <c r="Y112" s="12">
        <v>35.1</v>
      </c>
      <c r="Z112" s="12">
        <v>87.6</v>
      </c>
      <c r="AA112" s="12"/>
      <c r="AB112" s="12"/>
      <c r="AC112" s="12">
        <v>173</v>
      </c>
      <c r="AD112" s="12">
        <v>112</v>
      </c>
      <c r="AE112" s="12">
        <v>49</v>
      </c>
      <c r="AF112" s="12">
        <v>12</v>
      </c>
      <c r="AG112" s="12">
        <v>60</v>
      </c>
      <c r="AH112" s="12"/>
      <c r="AI112" s="12"/>
      <c r="AJ112" s="12"/>
      <c r="AK112" s="12" t="s">
        <v>420</v>
      </c>
      <c r="AL112" s="12" t="s">
        <v>421</v>
      </c>
      <c r="AM112" s="12"/>
      <c r="AN112" s="12">
        <v>8</v>
      </c>
      <c r="AO112" s="12" t="s">
        <v>720</v>
      </c>
      <c r="AP112" s="12">
        <v>3</v>
      </c>
      <c r="AQ112" s="12">
        <v>2</v>
      </c>
      <c r="AR112" s="12">
        <v>5</v>
      </c>
      <c r="AS112" s="12"/>
      <c r="AT112" s="12">
        <v>1</v>
      </c>
      <c r="AU112" s="12">
        <v>1</v>
      </c>
      <c r="AV112" s="12">
        <v>2</v>
      </c>
      <c r="AW112" s="12"/>
      <c r="AX112" s="12"/>
      <c r="AY112" s="12"/>
      <c r="AZ112" s="12"/>
      <c r="BA112" s="12">
        <v>1</v>
      </c>
      <c r="BB112" s="5">
        <v>1</v>
      </c>
      <c r="BC112" s="12">
        <v>100</v>
      </c>
      <c r="BD112" s="12">
        <v>1</v>
      </c>
      <c r="BE112" s="12">
        <v>2</v>
      </c>
      <c r="BF112" s="12">
        <v>2</v>
      </c>
      <c r="BG112" s="12">
        <v>2</v>
      </c>
      <c r="BH112" s="12">
        <v>1</v>
      </c>
      <c r="BI112" s="12">
        <v>1</v>
      </c>
      <c r="BJ112" s="12">
        <v>1</v>
      </c>
      <c r="BK112" s="12">
        <v>1</v>
      </c>
      <c r="BL112" s="12">
        <v>2</v>
      </c>
      <c r="BM112" s="12">
        <v>2</v>
      </c>
      <c r="BN112" s="12">
        <v>2</v>
      </c>
      <c r="BO112" s="12">
        <v>1</v>
      </c>
      <c r="BP112" s="12">
        <v>1</v>
      </c>
      <c r="BQ112" s="12">
        <v>1</v>
      </c>
      <c r="BR112" s="12">
        <v>20</v>
      </c>
      <c r="BS112" s="12">
        <v>0</v>
      </c>
      <c r="BT112" s="12">
        <v>0</v>
      </c>
      <c r="BU112" s="12"/>
    </row>
    <row r="113" spans="1:73" x14ac:dyDescent="0.25">
      <c r="A113" s="8" t="s">
        <v>75</v>
      </c>
      <c r="B113" s="5">
        <v>1</v>
      </c>
      <c r="C113" s="8">
        <v>21.1355</v>
      </c>
      <c r="D113" s="9">
        <f>VLOOKUP($A113,'[1]24-8-24 DATA ENTRY'!$A$1:$BR$258,3,FALSE)</f>
        <v>240000037353</v>
      </c>
      <c r="E113" s="9">
        <f>VLOOKUP($A113,'[1]24-8-24 DATA ENTRY'!$A$1:$BR$258,4,FALSE)</f>
        <v>35</v>
      </c>
      <c r="F113" s="9">
        <f>VLOOKUP($A113,'[1]24-8-24 DATA ENTRY'!$A$1:$BR$258,5,FALSE)</f>
        <v>1</v>
      </c>
      <c r="G113" s="10">
        <f>VLOOKUP($A113,'[1]24-8-24 DATA ENTRY'!$A$1:$BR$258,6,FALSE)</f>
        <v>45405</v>
      </c>
      <c r="H113" s="9">
        <f>VLOOKUP($A113,'[1]24-8-24 DATA ENTRY'!$A$1:$BR$258,7,FALSE)</f>
        <v>0.4375</v>
      </c>
      <c r="I113" s="10">
        <f>VLOOKUP($A113,'[1]24-8-24 DATA ENTRY'!$A$1:$BR$258,8,FALSE)</f>
        <v>45405</v>
      </c>
      <c r="J113" s="10">
        <f>VLOOKUP($A113,'[1]24-8-24 DATA ENTRY'!$A$1:$BR$258,9,FALSE)</f>
        <v>0</v>
      </c>
      <c r="K113" s="9">
        <f>VLOOKUP($A113,'[1]24-8-24 DATA ENTRY'!$A$1:$BR$258,10,FALSE)</f>
        <v>9881490701</v>
      </c>
      <c r="L113" s="9">
        <f>VLOOKUP($A113,'[1]24-8-24 DATA ENTRY'!$A$1:$BR$258,11,FALSE)</f>
        <v>907565071</v>
      </c>
      <c r="M113" s="9">
        <f>VLOOKUP($A113,'[1]24-8-24 DATA ENTRY'!$A$1:$BR$258,12,FALSE)</f>
        <v>17</v>
      </c>
      <c r="N113" s="9">
        <f>VLOOKUP($A113,'[1]24-8-24 DATA ENTRY'!$A$1:$BR$258,13,FALSE)</f>
        <v>2</v>
      </c>
      <c r="O113" s="9">
        <f>VLOOKUP($A113,'[1]24-8-24 DATA ENTRY'!$A$1:$BR$258,14,FALSE)</f>
        <v>2</v>
      </c>
      <c r="P113" s="9">
        <f>VLOOKUP($A113,'[1]24-8-24 DATA ENTRY'!$A$1:$BR$258,15,FALSE)</f>
        <v>2</v>
      </c>
      <c r="Q113" s="9">
        <f>VLOOKUP($A113,'[1]24-8-24 DATA ENTRY'!$A$1:$BR$258,16,FALSE)</f>
        <v>2</v>
      </c>
      <c r="R113" s="9">
        <f>VLOOKUP($A113,'[1]24-8-24 DATA ENTRY'!$A$1:$BR$258,17,FALSE)</f>
        <v>2</v>
      </c>
      <c r="S113" s="9">
        <f>VLOOKUP($A113,'[1]24-8-24 DATA ENTRY'!$A$1:$BR$258,18,FALSE)</f>
        <v>2</v>
      </c>
      <c r="T113" s="9">
        <f>VLOOKUP($A113,'[1]24-8-24 DATA ENTRY'!$A$1:$BR$258,19,FALSE)</f>
        <v>2</v>
      </c>
      <c r="U113" s="9">
        <f>VLOOKUP($A113,'[1]24-8-24 DATA ENTRY'!$A$1:$BR$258,20,FALSE)</f>
        <v>2</v>
      </c>
      <c r="V113" s="9">
        <f>VLOOKUP($A113,'[1]24-8-24 DATA ENTRY'!$A$1:$BR$258,21,FALSE)</f>
        <v>2</v>
      </c>
      <c r="W113" s="9">
        <f>VLOOKUP($A113,'[1]24-8-24 DATA ENTRY'!$A$1:$BR$258,22,FALSE)</f>
        <v>0</v>
      </c>
      <c r="X113" s="9">
        <f>VLOOKUP($A113,'[1]24-8-24 DATA ENTRY'!$A$1:$BR$258,23,FALSE)</f>
        <v>15.2</v>
      </c>
      <c r="Y113" s="9">
        <f>VLOOKUP($A113,'[1]24-8-24 DATA ENTRY'!$A$1:$BR$258,24,FALSE)</f>
        <v>44.7</v>
      </c>
      <c r="Z113" s="9">
        <f>VLOOKUP($A113,'[1]24-8-24 DATA ENTRY'!$A$1:$BR$258,25,FALSE)</f>
        <v>90.7</v>
      </c>
      <c r="AA113" s="9">
        <f>VLOOKUP($A113,'[1]24-8-24 DATA ENTRY'!$A$1:$BR$258,26,FALSE)</f>
        <v>19.920000000000002</v>
      </c>
      <c r="AB113" s="9">
        <f>VLOOKUP($A113,'[1]24-8-24 DATA ENTRY'!$A$1:$BR$258,27,FALSE)</f>
        <v>0</v>
      </c>
      <c r="AC113" s="9">
        <f>VLOOKUP($A113,'[1]24-8-24 DATA ENTRY'!$A$1:$BR$258,28,FALSE)</f>
        <v>150</v>
      </c>
      <c r="AD113" s="9">
        <f>VLOOKUP($A113,'[1]24-8-24 DATA ENTRY'!$A$1:$BR$258,29,FALSE)</f>
        <v>101</v>
      </c>
      <c r="AE113" s="9">
        <f>VLOOKUP($A113,'[1]24-8-24 DATA ENTRY'!$A$1:$BR$258,30,FALSE)</f>
        <v>28</v>
      </c>
      <c r="AF113" s="9">
        <f>VLOOKUP($A113,'[1]24-8-24 DATA ENTRY'!$A$1:$BR$258,31,FALSE)</f>
        <v>21</v>
      </c>
      <c r="AG113" s="9">
        <f>VLOOKUP($A113,'[1]24-8-24 DATA ENTRY'!$A$1:$BR$258,32,FALSE)</f>
        <v>105</v>
      </c>
      <c r="AH113" s="9">
        <f>VLOOKUP($A113,'[1]24-8-24 DATA ENTRY'!$A$1:$BR$258,33,FALSE)</f>
        <v>238</v>
      </c>
      <c r="AI113" s="9">
        <f>VLOOKUP($A113,'[1]24-8-24 DATA ENTRY'!$A$1:$BR$258,34,FALSE)</f>
        <v>0</v>
      </c>
      <c r="AJ113" s="9">
        <f>VLOOKUP($A113,'[1]24-8-24 DATA ENTRY'!$A$1:$BR$258,35,FALSE)</f>
        <v>0</v>
      </c>
      <c r="AK113" s="9" t="str">
        <f>VLOOKUP($A113,'[1]24-8-24 DATA ENTRY'!$A$1:$BR$258,36,FALSE)</f>
        <v xml:space="preserve">left corona radiata infarct </v>
      </c>
      <c r="AL113" s="9" t="str">
        <f>VLOOKUP($A113,'[1]24-8-24 DATA ENTRY'!$A$1:$BR$258,37,FALSE)</f>
        <v>left ICA 99% stenosis with clot till left M2 occlusion</v>
      </c>
      <c r="AM113" s="9">
        <f>VLOOKUP($A113,'[1]24-8-24 DATA ENTRY'!$A$1:$BR$258,38,FALSE)</f>
        <v>0</v>
      </c>
      <c r="AN113" s="9">
        <f>VLOOKUP($A113,'[1]24-8-24 DATA ENTRY'!$A$1:$BR$258,39,FALSE)</f>
        <v>7</v>
      </c>
      <c r="AO113" s="9">
        <f>VLOOKUP($A113,'[1]24-8-24 DATA ENTRY'!$A$1:$BR$258,40,FALSE)</f>
        <v>1</v>
      </c>
      <c r="AP113" s="9">
        <f>VLOOKUP($A113,'[1]24-8-24 DATA ENTRY'!$A$1:$BR$258,41,FALSE)</f>
        <v>3</v>
      </c>
      <c r="AQ113" s="9">
        <f>VLOOKUP($A113,'[1]24-8-24 DATA ENTRY'!$A$1:$BR$258,42,FALSE)</f>
        <v>2</v>
      </c>
      <c r="AR113" s="9">
        <f>VLOOKUP($A113,'[1]24-8-24 DATA ENTRY'!$A$1:$BR$258,43,FALSE)</f>
        <v>4</v>
      </c>
      <c r="AS113" s="9">
        <f>VLOOKUP($A113,'[1]24-8-24 DATA ENTRY'!$A$1:$BR$258,44,FALSE)</f>
        <v>0</v>
      </c>
      <c r="AT113" s="9">
        <f>VLOOKUP($A113,'[1]24-8-24 DATA ENTRY'!$A$1:$BR$258,45,FALSE)</f>
        <v>1</v>
      </c>
      <c r="AU113" s="9">
        <f>VLOOKUP($A113,'[1]24-8-24 DATA ENTRY'!$A$1:$BR$258,46,FALSE)</f>
        <v>1</v>
      </c>
      <c r="AV113" s="9">
        <f>VLOOKUP($A113,'[1]24-8-24 DATA ENTRY'!$A$1:$BR$258,47,FALSE)</f>
        <v>2</v>
      </c>
      <c r="AW113" s="9">
        <f>VLOOKUP($A113,'[1]24-8-24 DATA ENTRY'!$A$1:$BR$258,48,FALSE)</f>
        <v>0</v>
      </c>
      <c r="AX113" s="9">
        <f>VLOOKUP($A113,'[1]24-8-24 DATA ENTRY'!$A$1:$BR$258,49,FALSE)</f>
        <v>0</v>
      </c>
      <c r="AY113" s="9">
        <f>VLOOKUP($A113,'[1]24-8-24 DATA ENTRY'!$A$1:$BR$258,50,FALSE)</f>
        <v>1</v>
      </c>
      <c r="AZ113" s="9">
        <f>VLOOKUP($A113,'[1]24-8-24 DATA ENTRY'!$A$1:$BR$258,51,FALSE)</f>
        <v>0</v>
      </c>
      <c r="BA113" s="9">
        <f>VLOOKUP($A113,'[1]24-8-24 DATA ENTRY'!$A$1:$BR$258,52,FALSE)</f>
        <v>0</v>
      </c>
      <c r="BB113" s="9">
        <v>1</v>
      </c>
      <c r="BC113" s="9">
        <f>VLOOKUP($A113,'[1]24-8-24 DATA ENTRY'!$A$1:$BR$258,53,FALSE)</f>
        <v>100</v>
      </c>
      <c r="BD113" s="8">
        <v>1</v>
      </c>
      <c r="BE113" s="8">
        <v>2</v>
      </c>
      <c r="BF113" s="8">
        <v>2</v>
      </c>
      <c r="BG113" s="8">
        <v>2</v>
      </c>
      <c r="BH113" s="8">
        <v>1</v>
      </c>
      <c r="BI113" s="8">
        <v>1</v>
      </c>
      <c r="BJ113" s="8">
        <v>1</v>
      </c>
      <c r="BK113" s="8">
        <v>0</v>
      </c>
      <c r="BL113" s="8">
        <v>0</v>
      </c>
      <c r="BM113" s="8">
        <v>0</v>
      </c>
      <c r="BN113" s="8">
        <v>0</v>
      </c>
      <c r="BO113" s="8">
        <v>0</v>
      </c>
      <c r="BP113" s="8">
        <v>0</v>
      </c>
      <c r="BQ113" s="8">
        <v>0</v>
      </c>
      <c r="BR113" s="8">
        <v>10</v>
      </c>
      <c r="BS113" s="8">
        <v>0</v>
      </c>
      <c r="BT113" s="8">
        <v>1</v>
      </c>
      <c r="BU113" s="8"/>
    </row>
    <row r="114" spans="1:73" x14ac:dyDescent="0.25">
      <c r="A114" s="12" t="s">
        <v>387</v>
      </c>
      <c r="B114" s="5">
        <v>1</v>
      </c>
      <c r="C114" s="12">
        <v>21.484200000000001</v>
      </c>
      <c r="D114" s="13">
        <v>221206273</v>
      </c>
      <c r="E114" s="12">
        <v>75</v>
      </c>
      <c r="F114" s="12">
        <v>1</v>
      </c>
      <c r="G114" s="14"/>
      <c r="H114" s="12"/>
      <c r="I114" s="14">
        <v>44926</v>
      </c>
      <c r="J114" s="14">
        <v>44928</v>
      </c>
      <c r="K114" s="12">
        <v>9604984448</v>
      </c>
      <c r="L114" s="12"/>
      <c r="M114" s="12">
        <v>4</v>
      </c>
      <c r="N114" s="12">
        <v>1</v>
      </c>
      <c r="O114" s="12">
        <v>2</v>
      </c>
      <c r="P114" s="12">
        <v>2</v>
      </c>
      <c r="Q114" s="12">
        <v>2</v>
      </c>
      <c r="R114" s="12">
        <v>2</v>
      </c>
      <c r="S114" s="12">
        <v>2</v>
      </c>
      <c r="T114" s="12">
        <v>2</v>
      </c>
      <c r="U114" s="12">
        <v>2</v>
      </c>
      <c r="V114" s="12">
        <v>2</v>
      </c>
      <c r="W114" s="12"/>
      <c r="X114" s="12">
        <v>15.9</v>
      </c>
      <c r="Y114" s="12">
        <v>46.3</v>
      </c>
      <c r="Z114" s="12"/>
      <c r="AA114" s="12">
        <v>29.06</v>
      </c>
      <c r="AB114" s="12"/>
      <c r="AC114" s="12"/>
      <c r="AD114" s="12"/>
      <c r="AE114" s="12"/>
      <c r="AF114" s="12"/>
      <c r="AG114" s="12"/>
      <c r="AH114" s="12">
        <v>665</v>
      </c>
      <c r="AI114" s="12" t="s">
        <v>388</v>
      </c>
      <c r="AJ114" s="12"/>
      <c r="AK114" s="12" t="s">
        <v>389</v>
      </c>
      <c r="AL114" s="12" t="s">
        <v>390</v>
      </c>
      <c r="AM114" s="12"/>
      <c r="AN114" s="12">
        <v>9</v>
      </c>
      <c r="AO114" s="12">
        <v>1</v>
      </c>
      <c r="AP114" s="12">
        <v>3</v>
      </c>
      <c r="AQ114" s="12">
        <v>3</v>
      </c>
      <c r="AR114" s="12">
        <v>5</v>
      </c>
      <c r="AS114" s="12"/>
      <c r="AT114" s="12">
        <v>1</v>
      </c>
      <c r="AU114" s="12">
        <v>1</v>
      </c>
      <c r="AV114" s="12">
        <v>2</v>
      </c>
      <c r="AW114" s="12"/>
      <c r="AX114" s="12"/>
      <c r="AY114" s="12"/>
      <c r="AZ114" s="12"/>
      <c r="BA114" s="12">
        <v>0</v>
      </c>
      <c r="BB114" s="5">
        <v>1</v>
      </c>
      <c r="BC114" s="12">
        <v>100</v>
      </c>
      <c r="BD114" s="12">
        <v>1</v>
      </c>
      <c r="BE114" s="12">
        <v>2</v>
      </c>
      <c r="BF114" s="12">
        <v>2</v>
      </c>
      <c r="BG114" s="12">
        <v>2</v>
      </c>
      <c r="BH114" s="12">
        <v>1</v>
      </c>
      <c r="BI114" s="12">
        <v>1</v>
      </c>
      <c r="BJ114" s="12">
        <v>1</v>
      </c>
      <c r="BK114" s="12">
        <v>1</v>
      </c>
      <c r="BL114" s="12">
        <v>2</v>
      </c>
      <c r="BM114" s="12">
        <v>2</v>
      </c>
      <c r="BN114" s="12">
        <v>2</v>
      </c>
      <c r="BO114" s="12">
        <v>1</v>
      </c>
      <c r="BP114" s="12">
        <v>1</v>
      </c>
      <c r="BQ114" s="12">
        <v>1</v>
      </c>
      <c r="BR114" s="12">
        <v>20</v>
      </c>
      <c r="BS114" s="12">
        <v>1</v>
      </c>
      <c r="BT114" s="12">
        <v>1</v>
      </c>
      <c r="BU114" s="12"/>
    </row>
    <row r="115" spans="1:73" x14ac:dyDescent="0.25">
      <c r="A115" s="5" t="s">
        <v>508</v>
      </c>
      <c r="B115" s="5">
        <v>0</v>
      </c>
      <c r="C115" s="5">
        <v>22.167100000000001</v>
      </c>
      <c r="D115" s="9">
        <f>VLOOKUP($A115,'[1]24-8-24 DATA ENTRY'!$A$1:$BR$303,3,FALSE)</f>
        <v>240000057703</v>
      </c>
      <c r="E115" s="9">
        <f>VLOOKUP($A115,'[1]24-8-24 DATA ENTRY'!$A$1:$BR$303,4,FALSE)</f>
        <v>71</v>
      </c>
      <c r="F115" s="9">
        <f>VLOOKUP($A115,'[1]24-8-24 DATA ENTRY'!$A$1:$BR$303,5,FALSE)</f>
        <v>1</v>
      </c>
      <c r="G115" s="10">
        <f>VLOOKUP($A115,'[1]24-8-24 DATA ENTRY'!$A$1:$BR$303,6,FALSE)</f>
        <v>45473</v>
      </c>
      <c r="H115" s="9">
        <f>VLOOKUP($A115,'[1]24-8-24 DATA ENTRY'!$A$1:$BR$303,7,FALSE)</f>
        <v>0.33333333333333331</v>
      </c>
      <c r="I115" s="10">
        <f>VLOOKUP($A115,'[1]24-8-24 DATA ENTRY'!$A$1:$BR$303,8,FALSE)</f>
        <v>0</v>
      </c>
      <c r="J115" s="10">
        <f>VLOOKUP($A115,'[1]24-8-24 DATA ENTRY'!$A$1:$BR$303,9,FALSE)</f>
        <v>0</v>
      </c>
      <c r="K115" s="9">
        <f>VLOOKUP($A115,'[1]24-8-24 DATA ENTRY'!$A$1:$BR$303,10,FALSE)</f>
        <v>9850850331</v>
      </c>
      <c r="L115" s="9">
        <f>VLOOKUP($A115,'[1]24-8-24 DATA ENTRY'!$A$1:$BR$303,11,FALSE)</f>
        <v>0</v>
      </c>
      <c r="M115" s="9">
        <f>VLOOKUP($A115,'[1]24-8-24 DATA ENTRY'!$A$1:$BR$303,12,FALSE)</f>
        <v>2</v>
      </c>
      <c r="N115" s="9">
        <f>VLOOKUP($A115,'[1]24-8-24 DATA ENTRY'!$A$1:$BR$303,13,FALSE)</f>
        <v>2</v>
      </c>
      <c r="O115" s="9">
        <f>VLOOKUP($A115,'[1]24-8-24 DATA ENTRY'!$A$1:$BR$303,14,FALSE)</f>
        <v>2</v>
      </c>
      <c r="P115" s="9">
        <f>VLOOKUP($A115,'[1]24-8-24 DATA ENTRY'!$A$1:$BR$303,15,FALSE)</f>
        <v>2</v>
      </c>
      <c r="Q115" s="9">
        <f>VLOOKUP($A115,'[1]24-8-24 DATA ENTRY'!$A$1:$BR$303,16,FALSE)</f>
        <v>1</v>
      </c>
      <c r="R115" s="9">
        <f>VLOOKUP($A115,'[1]24-8-24 DATA ENTRY'!$A$1:$BR$303,17,FALSE)</f>
        <v>2</v>
      </c>
      <c r="S115" s="9">
        <f>VLOOKUP($A115,'[1]24-8-24 DATA ENTRY'!$A$1:$BR$303,18,FALSE)</f>
        <v>2</v>
      </c>
      <c r="T115" s="9">
        <f>VLOOKUP($A115,'[1]24-8-24 DATA ENTRY'!$A$1:$BR$303,19,FALSE)</f>
        <v>2</v>
      </c>
      <c r="U115" s="9" t="e">
        <f>VLOOKUP($A115,'[1]24-8-24 DATA ENTRY'!$A$1:$BR$278,20,FALSE)</f>
        <v>#N/A</v>
      </c>
      <c r="V115" s="9">
        <f>VLOOKUP($A115,'[1]24-8-24 DATA ENTRY'!$A$1:$BR$303,21,FALSE)</f>
        <v>2</v>
      </c>
      <c r="W115" s="9">
        <f>VLOOKUP($A115,'[1]24-8-24 DATA ENTRY'!$A$1:$BR$303,22,FALSE)</f>
        <v>0</v>
      </c>
      <c r="X115" s="9">
        <f>VLOOKUP($A115,'[1]24-8-24 DATA ENTRY'!$A$1:$BR$303,23,FALSE)</f>
        <v>0</v>
      </c>
      <c r="Y115" s="9">
        <f>VLOOKUP($A115,'[1]24-8-24 DATA ENTRY'!$A$1:$BR$303,24,FALSE)</f>
        <v>0</v>
      </c>
      <c r="Z115" s="9">
        <f>VLOOKUP($A115,'[1]24-8-24 DATA ENTRY'!$A$1:$BR$303,25,FALSE)</f>
        <v>0</v>
      </c>
      <c r="AA115" s="9">
        <f>VLOOKUP($A115,'[1]24-8-24 DATA ENTRY'!$A$1:$BR$303,26,FALSE)</f>
        <v>0</v>
      </c>
      <c r="AB115" s="9">
        <f>VLOOKUP($A115,'[1]24-8-24 DATA ENTRY'!$A$1:$BR$303,27,FALSE)</f>
        <v>0</v>
      </c>
      <c r="AC115" s="9">
        <f>VLOOKUP($A115,'[1]24-8-24 DATA ENTRY'!$A$1:$BR$303,28,FALSE)</f>
        <v>0</v>
      </c>
      <c r="AD115" s="9">
        <f>VLOOKUP($A115,'[1]24-8-24 DATA ENTRY'!$A$1:$BR$303,29,FALSE)</f>
        <v>0</v>
      </c>
      <c r="AE115" s="9">
        <f>VLOOKUP($A115,'[1]24-8-24 DATA ENTRY'!$A$1:$BR$2303,30,FALSE)</f>
        <v>0</v>
      </c>
      <c r="AF115" s="9">
        <f>VLOOKUP($A115,'[1]24-8-24 DATA ENTRY'!$A$1:$BR$303,31,FALSE)</f>
        <v>0</v>
      </c>
      <c r="AG115" s="9">
        <f>VLOOKUP($A115,'[1]24-8-24 DATA ENTRY'!$A$1:$BR$303,32,FALSE)</f>
        <v>0</v>
      </c>
      <c r="AH115" s="9">
        <f>VLOOKUP($A115,'[1]24-8-24 DATA ENTRY'!$A$1:$BR$303,33,FALSE)</f>
        <v>0</v>
      </c>
      <c r="AI115" s="9">
        <f>VLOOKUP($A115,'[1]24-8-24 DATA ENTRY'!$A$1:$BR$303,34,FALSE)</f>
        <v>0</v>
      </c>
      <c r="AJ115" s="9">
        <f>VLOOKUP($A115,'[1]24-8-24 DATA ENTRY'!$A$1:$BR$303,35,FALSE)</f>
        <v>0</v>
      </c>
      <c r="AK115" s="9" t="str">
        <f>VLOOKUP($A115,'[1]24-8-24 DATA ENTRY'!$A$1:$BR$303,36,FALSE)</f>
        <v>Left PCA-MCA watershed infarct</v>
      </c>
      <c r="AL115" s="9" t="str">
        <f>VLOOKUP($A115,'[1]24-8-24 DATA ENTRY'!$A$1:$BR$303,37,FALSE)</f>
        <v>left ICA cavernous, supraclinoid and terminal segments severe luminal narrowing (&gt;90%)</v>
      </c>
      <c r="AM115" s="9">
        <f>VLOOKUP($A115,'[1]24-8-24 DATA ENTRY'!$A$1:$BR$303,38,FALSE)</f>
        <v>0</v>
      </c>
      <c r="AN115" s="9">
        <f>VLOOKUP($A115,'[1]24-8-24 DATA ENTRY'!$A$1:$BR$303,39,FALSE)</f>
        <v>0</v>
      </c>
      <c r="AO115" s="9">
        <f>VLOOKUP($A115,'[1]24-8-24 DATA ENTRY'!$A$1:$BR$303,40,FALSE)</f>
        <v>0</v>
      </c>
      <c r="AP115" s="9">
        <f>VLOOKUP($A115,'[1]24-8-24 DATA ENTRY'!$A$1:$BR$303,41,FALSE)</f>
        <v>0</v>
      </c>
      <c r="AQ115" s="9">
        <f>VLOOKUP($A115,'[1]24-8-24 DATA ENTRY'!$A$1:$BR$303,42,FALSE)</f>
        <v>0</v>
      </c>
      <c r="AR115" s="9">
        <f>VLOOKUP($A115,'[1]24-8-24 DATA ENTRY'!$A$1:$BR$303,43,FALSE)</f>
        <v>0</v>
      </c>
      <c r="AS115" s="9">
        <f>VLOOKUP($A115,'[1]24-8-24 DATA ENTRY'!$A$1:$BR$303,44,FALSE)</f>
        <v>0</v>
      </c>
      <c r="AT115" s="9">
        <f>VLOOKUP($A115,'[1]24-8-24 DATA ENTRY'!$A$1:$BR$303,45,FALSE)</f>
        <v>0</v>
      </c>
      <c r="AU115" s="9">
        <f>VLOOKUP($A115,'[1]24-8-24 DATA ENTRY'!$A$1:$BR$303,46,FALSE)</f>
        <v>0</v>
      </c>
      <c r="AV115" s="9">
        <f>VLOOKUP($A115,'[1]24-8-24 DATA ENTRY'!$A$1:$BR$303,47,FALSE)</f>
        <v>0</v>
      </c>
      <c r="AW115" s="9">
        <f>VLOOKUP($A115,'[1]24-8-24 DATA ENTRY'!$A$1:$BR$303,48,FALSE)</f>
        <v>0</v>
      </c>
      <c r="AX115" s="9">
        <f>VLOOKUP($A115,'[1]24-8-24 DATA ENTRY'!$A$1:$BR$303,49,FALSE)</f>
        <v>0</v>
      </c>
      <c r="AY115" s="9">
        <f>VLOOKUP($A115,'[1]24-8-24 DATA ENTRY'!$A$1:$BR$303,50,FALSE)</f>
        <v>0</v>
      </c>
      <c r="AZ115" s="9">
        <f>VLOOKUP($A115,'[1]24-8-24 DATA ENTRY'!$A$1:$BR$303,51,FALSE)</f>
        <v>0</v>
      </c>
      <c r="BA115" s="9">
        <f>VLOOKUP($A115,'[1]24-8-24 DATA ENTRY'!$A$1:$BR$303,52,FALSE)</f>
        <v>0</v>
      </c>
      <c r="BB115" s="5">
        <v>1</v>
      </c>
      <c r="BC115" s="9">
        <f>VLOOKUP($A115,'[1]24-8-24 DATA ENTRY'!$A$1:$BR$303,53,FALSE)</f>
        <v>95</v>
      </c>
      <c r="BD115" s="5">
        <v>0</v>
      </c>
      <c r="BE115" s="5">
        <v>2</v>
      </c>
      <c r="BF115" s="5">
        <v>2</v>
      </c>
      <c r="BG115" s="5">
        <v>2</v>
      </c>
      <c r="BH115" s="5">
        <v>1</v>
      </c>
      <c r="BI115" s="5">
        <v>1</v>
      </c>
      <c r="BJ115" s="5">
        <v>1</v>
      </c>
      <c r="BK115" s="5">
        <v>0</v>
      </c>
      <c r="BL115" s="5">
        <v>1</v>
      </c>
      <c r="BM115" s="5">
        <v>1</v>
      </c>
      <c r="BN115" s="5">
        <v>2</v>
      </c>
      <c r="BO115" s="5">
        <v>1</v>
      </c>
      <c r="BP115" s="5">
        <v>1</v>
      </c>
      <c r="BQ115" s="5">
        <v>1</v>
      </c>
      <c r="BR115" s="5">
        <v>16</v>
      </c>
      <c r="BS115" s="5">
        <v>1</v>
      </c>
      <c r="BT115" s="5">
        <v>1</v>
      </c>
      <c r="BU115" s="5"/>
    </row>
    <row r="116" spans="1:73" x14ac:dyDescent="0.25">
      <c r="A116" s="5" t="s">
        <v>519</v>
      </c>
      <c r="B116" s="5">
        <v>0</v>
      </c>
      <c r="C116" s="5">
        <v>22.627199999999998</v>
      </c>
      <c r="D116" s="9">
        <f>VLOOKUP($A116,'[1]24-8-24 DATA ENTRY'!$A$1:$BR$303,3,FALSE)</f>
        <v>240000052028</v>
      </c>
      <c r="E116" s="9">
        <f>VLOOKUP($A116,'[1]24-8-24 DATA ENTRY'!$A$1:$BR$303,4,FALSE)</f>
        <v>72</v>
      </c>
      <c r="F116" s="9">
        <f>VLOOKUP($A116,'[1]24-8-24 DATA ENTRY'!$A$1:$BR$303,5,FALSE)</f>
        <v>1</v>
      </c>
      <c r="G116" s="10">
        <f>VLOOKUP($A116,'[1]24-8-24 DATA ENTRY'!$A$1:$BR$303,6,FALSE)</f>
        <v>45456</v>
      </c>
      <c r="H116" s="9">
        <f>VLOOKUP($A116,'[1]24-8-24 DATA ENTRY'!$A$1:$BR$303,7,FALSE)</f>
        <v>0.70833333333333337</v>
      </c>
      <c r="I116" s="10">
        <f>VLOOKUP($A116,'[1]24-8-24 DATA ENTRY'!$A$1:$BR$303,8,FALSE)</f>
        <v>45456</v>
      </c>
      <c r="J116" s="10">
        <f>VLOOKUP($A116,'[1]24-8-24 DATA ENTRY'!$A$1:$BR$303,9,FALSE)</f>
        <v>45468</v>
      </c>
      <c r="K116" s="9">
        <f>VLOOKUP($A116,'[1]24-8-24 DATA ENTRY'!$A$1:$BR$303,10,FALSE)</f>
        <v>976684207</v>
      </c>
      <c r="L116" s="9">
        <f>VLOOKUP($A116,'[1]24-8-24 DATA ENTRY'!$A$1:$BR$303,11,FALSE)</f>
        <v>0</v>
      </c>
      <c r="M116" s="9">
        <f>VLOOKUP($A116,'[1]24-8-24 DATA ENTRY'!$A$1:$BR$303,12,FALSE)</f>
        <v>22</v>
      </c>
      <c r="N116" s="9">
        <f>VLOOKUP($A116,'[1]24-8-24 DATA ENTRY'!$A$1:$BR$303,13,FALSE)</f>
        <v>1</v>
      </c>
      <c r="O116" s="9">
        <f>VLOOKUP($A116,'[1]24-8-24 DATA ENTRY'!$A$1:$BR$303,14,FALSE)</f>
        <v>1</v>
      </c>
      <c r="P116" s="9">
        <f>VLOOKUP($A116,'[1]24-8-24 DATA ENTRY'!$A$1:$BR$303,15,FALSE)</f>
        <v>2</v>
      </c>
      <c r="Q116" s="9">
        <f>VLOOKUP($A116,'[1]24-8-24 DATA ENTRY'!$A$1:$BR$303,16,FALSE)</f>
        <v>2</v>
      </c>
      <c r="R116" s="9">
        <f>VLOOKUP($A116,'[1]24-8-24 DATA ENTRY'!$A$1:$BR$303,17,FALSE)</f>
        <v>2</v>
      </c>
      <c r="S116" s="9">
        <f>VLOOKUP($A116,'[1]24-8-24 DATA ENTRY'!$A$1:$BR$303,18,FALSE)</f>
        <v>2</v>
      </c>
      <c r="T116" s="9">
        <f>VLOOKUP($A116,'[1]24-8-24 DATA ENTRY'!$A$1:$BR$303,19,FALSE)</f>
        <v>2</v>
      </c>
      <c r="U116" s="9" t="e">
        <f>VLOOKUP($A116,'[1]24-8-24 DATA ENTRY'!$A$1:$BR$278,20,FALSE)</f>
        <v>#N/A</v>
      </c>
      <c r="V116" s="9">
        <f>VLOOKUP($A116,'[1]24-8-24 DATA ENTRY'!$A$1:$BR$303,21,FALSE)</f>
        <v>2</v>
      </c>
      <c r="W116" s="9" t="str">
        <f>VLOOKUP($A116,'[1]24-8-24 DATA ENTRY'!$A$1:$BR$303,22,FALSE)</f>
        <v>old stroke 2018</v>
      </c>
      <c r="X116" s="9">
        <f>VLOOKUP($A116,'[1]24-8-24 DATA ENTRY'!$A$1:$BR$303,23,FALSE)</f>
        <v>14.5</v>
      </c>
      <c r="Y116" s="9">
        <f>VLOOKUP($A116,'[1]24-8-24 DATA ENTRY'!$A$1:$BR$303,24,FALSE)</f>
        <v>43.1</v>
      </c>
      <c r="Z116" s="9">
        <f>VLOOKUP($A116,'[1]24-8-24 DATA ENTRY'!$A$1:$BR$303,25,FALSE)</f>
        <v>87.6</v>
      </c>
      <c r="AA116" s="9">
        <f>VLOOKUP($A116,'[1]24-8-24 DATA ENTRY'!$A$1:$BR$303,26,FALSE)</f>
        <v>19.559999999999999</v>
      </c>
      <c r="AB116" s="9">
        <f>VLOOKUP($A116,'[1]24-8-24 DATA ENTRY'!$A$1:$BR$303,27,FALSE)</f>
        <v>5.9</v>
      </c>
      <c r="AC116" s="9">
        <f>VLOOKUP($A116,'[1]24-8-24 DATA ENTRY'!$A$1:$BR$303,28,FALSE)</f>
        <v>0</v>
      </c>
      <c r="AD116" s="9">
        <f>VLOOKUP($A116,'[1]24-8-24 DATA ENTRY'!$A$1:$BR$303,29,FALSE)</f>
        <v>0</v>
      </c>
      <c r="AE116" s="9">
        <f>VLOOKUP($A116,'[1]24-8-24 DATA ENTRY'!$A$1:$BR$2303,30,FALSE)</f>
        <v>0</v>
      </c>
      <c r="AF116" s="9">
        <f>VLOOKUP($A116,'[1]24-8-24 DATA ENTRY'!$A$1:$BR$303,31,FALSE)</f>
        <v>0</v>
      </c>
      <c r="AG116" s="9">
        <f>VLOOKUP($A116,'[1]24-8-24 DATA ENTRY'!$A$1:$BR$303,32,FALSE)</f>
        <v>0</v>
      </c>
      <c r="AH116" s="9">
        <f>VLOOKUP($A116,'[1]24-8-24 DATA ENTRY'!$A$1:$BR$303,33,FALSE)</f>
        <v>186</v>
      </c>
      <c r="AI116" s="9">
        <f>VLOOKUP($A116,'[1]24-8-24 DATA ENTRY'!$A$1:$BR$303,34,FALSE)</f>
        <v>0</v>
      </c>
      <c r="AJ116" s="9">
        <f>VLOOKUP($A116,'[1]24-8-24 DATA ENTRY'!$A$1:$BR$303,35,FALSE)</f>
        <v>0</v>
      </c>
      <c r="AK116" s="9" t="str">
        <f>VLOOKUP($A116,'[1]24-8-24 DATA ENTRY'!$A$1:$BR$303,36,FALSE)</f>
        <v>left mca infarct</v>
      </c>
      <c r="AL116" s="9" t="str">
        <f>VLOOKUP($A116,'[1]24-8-24 DATA ENTRY'!$A$1:$BR$303,37,FALSE)</f>
        <v>left ICA and MCA m1 occlusion paucity of cortical branches of left mca. Mild peripheral opacification of m2 segment &amp; superior devision of MCA</v>
      </c>
      <c r="AM116" s="9">
        <f>VLOOKUP($A116,'[1]24-8-24 DATA ENTRY'!$A$1:$BR$303,38,FALSE)</f>
        <v>0</v>
      </c>
      <c r="AN116" s="9">
        <f>VLOOKUP($A116,'[1]24-8-24 DATA ENTRY'!$A$1:$BR$303,39,FALSE)</f>
        <v>9</v>
      </c>
      <c r="AO116" s="9">
        <f>VLOOKUP($A116,'[1]24-8-24 DATA ENTRY'!$A$1:$BR$303,40,FALSE)</f>
        <v>2</v>
      </c>
      <c r="AP116" s="9">
        <f>VLOOKUP($A116,'[1]24-8-24 DATA ENTRY'!$A$1:$BR$303,41,FALSE)</f>
        <v>1</v>
      </c>
      <c r="AQ116" s="9">
        <f>VLOOKUP($A116,'[1]24-8-24 DATA ENTRY'!$A$1:$BR$303,42,FALSE)</f>
        <v>1</v>
      </c>
      <c r="AR116" s="9">
        <f>VLOOKUP($A116,'[1]24-8-24 DATA ENTRY'!$A$1:$BR$303,43,FALSE)</f>
        <v>4</v>
      </c>
      <c r="AS116" s="9">
        <f>VLOOKUP($A116,'[1]24-8-24 DATA ENTRY'!$A$1:$BR$303,44,FALSE)</f>
        <v>0</v>
      </c>
      <c r="AT116" s="9">
        <f>VLOOKUP($A116,'[1]24-8-24 DATA ENTRY'!$A$1:$BR$303,45,FALSE)</f>
        <v>1</v>
      </c>
      <c r="AU116" s="9">
        <f>VLOOKUP($A116,'[1]24-8-24 DATA ENTRY'!$A$1:$BR$303,46,FALSE)</f>
        <v>2</v>
      </c>
      <c r="AV116" s="9">
        <f>VLOOKUP($A116,'[1]24-8-24 DATA ENTRY'!$A$1:$BR$303,47,FALSE)</f>
        <v>1</v>
      </c>
      <c r="AW116" s="9">
        <f>VLOOKUP($A116,'[1]24-8-24 DATA ENTRY'!$A$1:$BR$303,48,FALSE)</f>
        <v>2</v>
      </c>
      <c r="AX116" s="9">
        <f>VLOOKUP($A116,'[1]24-8-24 DATA ENTRY'!$A$1:$BR$303,49,FALSE)</f>
        <v>0</v>
      </c>
      <c r="AY116" s="9">
        <f>VLOOKUP($A116,'[1]24-8-24 DATA ENTRY'!$A$1:$BR$303,50,FALSE)</f>
        <v>1</v>
      </c>
      <c r="AZ116" s="9">
        <f>VLOOKUP($A116,'[1]24-8-24 DATA ENTRY'!$A$1:$BR$303,51,FALSE)</f>
        <v>0</v>
      </c>
      <c r="BA116" s="9">
        <f>VLOOKUP($A116,'[1]24-8-24 DATA ENTRY'!$A$1:$BR$303,52,FALSE)</f>
        <v>1</v>
      </c>
      <c r="BB116" s="5">
        <v>1</v>
      </c>
      <c r="BC116" s="9">
        <f>VLOOKUP($A116,'[1]24-8-24 DATA ENTRY'!$A$1:$BR$303,53,FALSE)</f>
        <v>85</v>
      </c>
      <c r="BD116" s="5">
        <v>1</v>
      </c>
      <c r="BE116" s="5">
        <v>2</v>
      </c>
      <c r="BF116" s="5">
        <v>2</v>
      </c>
      <c r="BG116" s="5">
        <v>2</v>
      </c>
      <c r="BH116" s="5">
        <v>1</v>
      </c>
      <c r="BI116" s="5">
        <v>1</v>
      </c>
      <c r="BJ116" s="5">
        <v>1</v>
      </c>
      <c r="BK116" s="5">
        <v>0</v>
      </c>
      <c r="BL116" s="5">
        <v>0</v>
      </c>
      <c r="BM116" s="5">
        <v>0</v>
      </c>
      <c r="BN116" s="5">
        <v>0</v>
      </c>
      <c r="BO116" s="5">
        <v>0</v>
      </c>
      <c r="BP116" s="5">
        <v>0</v>
      </c>
      <c r="BQ116" s="5">
        <v>1</v>
      </c>
      <c r="BR116" s="5">
        <v>11</v>
      </c>
      <c r="BS116" s="5">
        <v>0</v>
      </c>
      <c r="BT116" s="5">
        <v>1</v>
      </c>
      <c r="BU116" s="5" t="s">
        <v>373</v>
      </c>
    </row>
    <row r="117" spans="1:73" x14ac:dyDescent="0.25">
      <c r="A117" s="12" t="s">
        <v>135</v>
      </c>
      <c r="B117" s="5">
        <v>1</v>
      </c>
      <c r="C117" s="12">
        <v>22.980699999999999</v>
      </c>
      <c r="D117" s="13"/>
      <c r="E117" s="12">
        <v>77</v>
      </c>
      <c r="F117" s="12">
        <v>2</v>
      </c>
      <c r="G117" s="14"/>
      <c r="H117" s="12"/>
      <c r="I117" s="14">
        <v>44949</v>
      </c>
      <c r="J117" s="14">
        <v>44959</v>
      </c>
      <c r="K117" s="12">
        <v>9730041275</v>
      </c>
      <c r="L117" s="12"/>
      <c r="M117" s="12">
        <v>14</v>
      </c>
      <c r="N117" s="12">
        <v>1</v>
      </c>
      <c r="O117" s="12">
        <v>1</v>
      </c>
      <c r="P117" s="12">
        <v>2</v>
      </c>
      <c r="Q117" s="12">
        <v>2</v>
      </c>
      <c r="R117" s="12">
        <v>2</v>
      </c>
      <c r="S117" s="12">
        <v>2</v>
      </c>
      <c r="T117" s="12">
        <v>2</v>
      </c>
      <c r="U117" s="12">
        <v>1</v>
      </c>
      <c r="V117" s="12">
        <v>2</v>
      </c>
      <c r="W117" s="12" t="s">
        <v>136</v>
      </c>
      <c r="X117" s="12">
        <v>11.4</v>
      </c>
      <c r="Y117" s="12">
        <v>36</v>
      </c>
      <c r="Z117" s="12"/>
      <c r="AA117" s="12">
        <v>16.7</v>
      </c>
      <c r="AB117" s="12">
        <v>9.9</v>
      </c>
      <c r="AC117" s="12">
        <v>169</v>
      </c>
      <c r="AD117" s="12">
        <v>101</v>
      </c>
      <c r="AE117" s="12">
        <v>57</v>
      </c>
      <c r="AF117" s="12">
        <v>11</v>
      </c>
      <c r="AG117" s="12">
        <v>55</v>
      </c>
      <c r="AH117" s="12">
        <v>1202</v>
      </c>
      <c r="AI117" s="12" t="s">
        <v>137</v>
      </c>
      <c r="AJ117" s="12"/>
      <c r="AK117" s="12" t="s">
        <v>138</v>
      </c>
      <c r="AL117" s="12" t="s">
        <v>139</v>
      </c>
      <c r="AM117" s="12"/>
      <c r="AN117" s="12">
        <v>10</v>
      </c>
      <c r="AO117" s="12">
        <v>1</v>
      </c>
      <c r="AP117" s="12">
        <v>3</v>
      </c>
      <c r="AQ117" s="12">
        <v>3</v>
      </c>
      <c r="AR117" s="12">
        <v>4</v>
      </c>
      <c r="AS117" s="12"/>
      <c r="AT117" s="12">
        <v>1</v>
      </c>
      <c r="AU117" s="12">
        <v>2</v>
      </c>
      <c r="AV117" s="12">
        <v>2</v>
      </c>
      <c r="AW117" s="12"/>
      <c r="AX117" s="12"/>
      <c r="AY117" s="12"/>
      <c r="AZ117" s="12"/>
      <c r="BA117" s="12">
        <v>1</v>
      </c>
      <c r="BB117" s="5">
        <v>1</v>
      </c>
      <c r="BC117" s="12">
        <v>100</v>
      </c>
      <c r="BD117" s="12">
        <v>0</v>
      </c>
      <c r="BE117" s="12">
        <v>1</v>
      </c>
      <c r="BF117" s="12">
        <v>2</v>
      </c>
      <c r="BG117" s="12">
        <v>2</v>
      </c>
      <c r="BH117" s="12">
        <v>1</v>
      </c>
      <c r="BI117" s="12">
        <v>1</v>
      </c>
      <c r="BJ117" s="12">
        <v>1</v>
      </c>
      <c r="BK117" s="12">
        <v>0</v>
      </c>
      <c r="BL117" s="12">
        <v>1</v>
      </c>
      <c r="BM117" s="12">
        <v>2</v>
      </c>
      <c r="BN117" s="12">
        <v>2</v>
      </c>
      <c r="BO117" s="12">
        <v>1</v>
      </c>
      <c r="BP117" s="12">
        <v>1</v>
      </c>
      <c r="BQ117" s="12">
        <v>1</v>
      </c>
      <c r="BR117" s="12">
        <v>16</v>
      </c>
      <c r="BS117" s="12">
        <v>1</v>
      </c>
      <c r="BT117" s="12">
        <v>1</v>
      </c>
      <c r="BU117" s="12"/>
    </row>
    <row r="118" spans="1:73" x14ac:dyDescent="0.25">
      <c r="A118" s="5" t="s">
        <v>282</v>
      </c>
      <c r="B118" s="5">
        <v>1</v>
      </c>
      <c r="C118" s="5">
        <v>24.075199999999999</v>
      </c>
      <c r="D118" s="6">
        <v>160801663</v>
      </c>
      <c r="E118" s="5">
        <v>54</v>
      </c>
      <c r="F118" s="5">
        <v>1</v>
      </c>
      <c r="G118" s="7"/>
      <c r="H118" s="5"/>
      <c r="I118" s="7">
        <v>45022</v>
      </c>
      <c r="J118" s="7">
        <v>45040</v>
      </c>
      <c r="K118" s="5">
        <v>9011184310</v>
      </c>
      <c r="L118" s="5"/>
      <c r="M118" s="5">
        <v>11</v>
      </c>
      <c r="N118" s="5">
        <v>1</v>
      </c>
      <c r="O118" s="5">
        <v>2</v>
      </c>
      <c r="P118" s="5">
        <v>1</v>
      </c>
      <c r="Q118" s="5">
        <v>1</v>
      </c>
      <c r="R118" s="5">
        <v>2</v>
      </c>
      <c r="S118" s="5">
        <v>2</v>
      </c>
      <c r="T118" s="5">
        <v>2</v>
      </c>
      <c r="U118" s="5">
        <v>2</v>
      </c>
      <c r="V118" s="5">
        <v>2</v>
      </c>
      <c r="W118" s="5" t="s">
        <v>283</v>
      </c>
      <c r="X118" s="5">
        <v>11.9</v>
      </c>
      <c r="Y118" s="5">
        <v>40</v>
      </c>
      <c r="Z118" s="5"/>
      <c r="AA118" s="5">
        <v>86.69</v>
      </c>
      <c r="AB118" s="5">
        <v>5.6</v>
      </c>
      <c r="AC118" s="5">
        <v>144</v>
      </c>
      <c r="AD118" s="5">
        <v>70.599999999999994</v>
      </c>
      <c r="AE118" s="5">
        <v>27</v>
      </c>
      <c r="AF118" s="5"/>
      <c r="AG118" s="5">
        <v>232</v>
      </c>
      <c r="AH118" s="5">
        <v>148</v>
      </c>
      <c r="AI118" s="5"/>
      <c r="AJ118" s="5"/>
      <c r="AK118" s="5" t="s">
        <v>284</v>
      </c>
      <c r="AL118" s="5" t="s">
        <v>285</v>
      </c>
      <c r="AM118" s="5"/>
      <c r="AN118" s="5">
        <v>10</v>
      </c>
      <c r="AO118" s="5">
        <v>1</v>
      </c>
      <c r="AP118" s="5">
        <v>3</v>
      </c>
      <c r="AQ118" s="5">
        <v>3</v>
      </c>
      <c r="AR118" s="5">
        <v>5</v>
      </c>
      <c r="AS118" s="5"/>
      <c r="AT118" s="5">
        <v>1</v>
      </c>
      <c r="AU118" s="5">
        <v>1</v>
      </c>
      <c r="AV118" s="5">
        <v>2</v>
      </c>
      <c r="AW118" s="5"/>
      <c r="AX118" s="5"/>
      <c r="AY118" s="5"/>
      <c r="AZ118" s="5"/>
      <c r="BA118" s="5">
        <v>0</v>
      </c>
      <c r="BB118" s="5">
        <v>1</v>
      </c>
      <c r="BC118" s="5">
        <v>100</v>
      </c>
      <c r="BD118" s="5">
        <v>1</v>
      </c>
      <c r="BE118" s="5">
        <v>2</v>
      </c>
      <c r="BF118" s="5">
        <v>2</v>
      </c>
      <c r="BG118" s="5">
        <v>2</v>
      </c>
      <c r="BH118" s="5">
        <v>1</v>
      </c>
      <c r="BI118" s="5">
        <v>1</v>
      </c>
      <c r="BJ118" s="5">
        <v>1</v>
      </c>
      <c r="BK118" s="5">
        <v>1</v>
      </c>
      <c r="BL118" s="5">
        <v>2</v>
      </c>
      <c r="BM118" s="5">
        <v>1</v>
      </c>
      <c r="BN118" s="5">
        <v>2</v>
      </c>
      <c r="BO118" s="5">
        <v>1</v>
      </c>
      <c r="BP118" s="5">
        <v>1</v>
      </c>
      <c r="BQ118" s="5">
        <v>1</v>
      </c>
      <c r="BR118" s="5">
        <v>19</v>
      </c>
      <c r="BS118" s="5">
        <v>0</v>
      </c>
      <c r="BT118" s="5">
        <v>1</v>
      </c>
      <c r="BU118" s="5" t="s">
        <v>286</v>
      </c>
    </row>
    <row r="119" spans="1:73" x14ac:dyDescent="0.25">
      <c r="A119" s="12" t="s">
        <v>287</v>
      </c>
      <c r="B119" s="5">
        <v>1</v>
      </c>
      <c r="C119" s="12">
        <v>24.080100000000002</v>
      </c>
      <c r="D119" s="13">
        <v>230000000000</v>
      </c>
      <c r="E119" s="12">
        <v>83</v>
      </c>
      <c r="F119" s="12">
        <v>1</v>
      </c>
      <c r="G119" s="14">
        <v>45196</v>
      </c>
      <c r="H119" s="16">
        <v>0.25</v>
      </c>
      <c r="I119" s="14">
        <v>45197</v>
      </c>
      <c r="J119" s="14">
        <v>45210</v>
      </c>
      <c r="K119" s="12">
        <v>7798907861</v>
      </c>
      <c r="L119" s="12"/>
      <c r="M119" s="12">
        <v>7</v>
      </c>
      <c r="N119" s="12">
        <v>2</v>
      </c>
      <c r="O119" s="12">
        <v>2</v>
      </c>
      <c r="P119" s="12">
        <v>2</v>
      </c>
      <c r="Q119" s="12">
        <v>2</v>
      </c>
      <c r="R119" s="12">
        <v>2</v>
      </c>
      <c r="S119" s="12">
        <v>2</v>
      </c>
      <c r="T119" s="12">
        <v>2</v>
      </c>
      <c r="U119" s="12">
        <v>2</v>
      </c>
      <c r="V119" s="12">
        <v>2</v>
      </c>
      <c r="W119" s="12" t="s">
        <v>288</v>
      </c>
      <c r="X119" s="12">
        <v>13.7</v>
      </c>
      <c r="Y119" s="12">
        <v>40.9</v>
      </c>
      <c r="Z119" s="12">
        <v>91.5</v>
      </c>
      <c r="AA119" s="12"/>
      <c r="AB119" s="12"/>
      <c r="AC119" s="12">
        <v>145</v>
      </c>
      <c r="AD119" s="12">
        <v>101.4</v>
      </c>
      <c r="AE119" s="12">
        <v>35</v>
      </c>
      <c r="AF119" s="12">
        <v>8.6</v>
      </c>
      <c r="AG119" s="12">
        <v>43</v>
      </c>
      <c r="AH119" s="12"/>
      <c r="AI119" s="12"/>
      <c r="AJ119" s="12"/>
      <c r="AK119" s="12" t="s">
        <v>289</v>
      </c>
      <c r="AL119" s="12" t="s">
        <v>290</v>
      </c>
      <c r="AM119" s="12"/>
      <c r="AN119" s="12">
        <v>7</v>
      </c>
      <c r="AO119" s="12">
        <v>1</v>
      </c>
      <c r="AP119" s="12">
        <v>5</v>
      </c>
      <c r="AQ119" s="12">
        <v>3</v>
      </c>
      <c r="AR119" s="12">
        <v>5</v>
      </c>
      <c r="AS119" s="12"/>
      <c r="AT119" s="12"/>
      <c r="AU119" s="12"/>
      <c r="AV119" s="12"/>
      <c r="AW119" s="12"/>
      <c r="AX119" s="12"/>
      <c r="AY119" s="12"/>
      <c r="AZ119" s="12"/>
      <c r="BA119" s="12">
        <v>0</v>
      </c>
      <c r="BB119" s="5">
        <v>1</v>
      </c>
      <c r="BC119" s="12">
        <v>100</v>
      </c>
      <c r="BD119" s="12">
        <v>1</v>
      </c>
      <c r="BE119" s="12">
        <v>2</v>
      </c>
      <c r="BF119" s="12">
        <v>2</v>
      </c>
      <c r="BG119" s="12">
        <v>2</v>
      </c>
      <c r="BH119" s="12">
        <v>1</v>
      </c>
      <c r="BI119" s="12">
        <v>1</v>
      </c>
      <c r="BJ119" s="12">
        <v>1</v>
      </c>
      <c r="BK119" s="12">
        <v>0</v>
      </c>
      <c r="BL119" s="12">
        <v>2</v>
      </c>
      <c r="BM119" s="12">
        <v>2</v>
      </c>
      <c r="BN119" s="12">
        <v>2</v>
      </c>
      <c r="BO119" s="12">
        <v>1</v>
      </c>
      <c r="BP119" s="12">
        <v>1</v>
      </c>
      <c r="BQ119" s="12">
        <v>1</v>
      </c>
      <c r="BR119" s="12">
        <v>19</v>
      </c>
      <c r="BS119" s="12">
        <v>1</v>
      </c>
      <c r="BT119" s="12">
        <v>1</v>
      </c>
      <c r="BU119" s="12" t="s">
        <v>291</v>
      </c>
    </row>
    <row r="120" spans="1:73" x14ac:dyDescent="0.25">
      <c r="A120" s="12" t="s">
        <v>94</v>
      </c>
      <c r="B120" s="5">
        <v>1</v>
      </c>
      <c r="C120" s="12">
        <v>24.2254</v>
      </c>
      <c r="D120" s="13"/>
      <c r="E120" s="12">
        <v>53</v>
      </c>
      <c r="F120" s="12">
        <v>1</v>
      </c>
      <c r="G120" s="14">
        <v>44953</v>
      </c>
      <c r="H120" s="12"/>
      <c r="I120" s="14">
        <v>44959</v>
      </c>
      <c r="J120" s="14">
        <v>44960</v>
      </c>
      <c r="K120" s="12">
        <v>7875077954</v>
      </c>
      <c r="L120" s="12"/>
      <c r="M120" s="12">
        <v>7</v>
      </c>
      <c r="N120" s="12">
        <v>2</v>
      </c>
      <c r="O120" s="12">
        <v>1</v>
      </c>
      <c r="P120" s="12">
        <v>2</v>
      </c>
      <c r="Q120" s="12">
        <v>2</v>
      </c>
      <c r="R120" s="12">
        <v>2</v>
      </c>
      <c r="S120" s="12">
        <v>2</v>
      </c>
      <c r="T120" s="12">
        <v>2</v>
      </c>
      <c r="U120" s="12">
        <v>2</v>
      </c>
      <c r="V120" s="12">
        <v>2</v>
      </c>
      <c r="W120" s="12"/>
      <c r="X120" s="12">
        <v>13</v>
      </c>
      <c r="Y120" s="12">
        <v>39.6</v>
      </c>
      <c r="Z120" s="12"/>
      <c r="AA120" s="12">
        <v>10.9</v>
      </c>
      <c r="AB120" s="12">
        <v>6.5</v>
      </c>
      <c r="AC120" s="12">
        <v>191</v>
      </c>
      <c r="AD120" s="12">
        <v>131.80000000000001</v>
      </c>
      <c r="AE120" s="12">
        <v>45</v>
      </c>
      <c r="AF120" s="12">
        <v>14.2</v>
      </c>
      <c r="AG120" s="12">
        <v>71</v>
      </c>
      <c r="AH120" s="12">
        <v>2000</v>
      </c>
      <c r="AI120" s="12" t="s">
        <v>95</v>
      </c>
      <c r="AJ120" s="12"/>
      <c r="AK120" s="12" t="s">
        <v>96</v>
      </c>
      <c r="AL120" s="12" t="s">
        <v>97</v>
      </c>
      <c r="AM120" s="12"/>
      <c r="AN120" s="12">
        <v>8</v>
      </c>
      <c r="AO120" s="12" t="s">
        <v>720</v>
      </c>
      <c r="AP120" s="12">
        <v>4</v>
      </c>
      <c r="AQ120" s="12">
        <v>2</v>
      </c>
      <c r="AR120" s="12">
        <v>5</v>
      </c>
      <c r="AS120" s="12"/>
      <c r="AT120" s="12">
        <v>1</v>
      </c>
      <c r="AU120" s="12">
        <v>2</v>
      </c>
      <c r="AV120" s="12">
        <v>1</v>
      </c>
      <c r="AW120" s="12">
        <v>1</v>
      </c>
      <c r="AX120" s="12"/>
      <c r="AY120" s="12"/>
      <c r="AZ120" s="12"/>
      <c r="BA120" s="12">
        <v>0</v>
      </c>
      <c r="BB120" s="5">
        <v>1</v>
      </c>
      <c r="BC120" s="12">
        <v>100</v>
      </c>
      <c r="BD120" s="12">
        <v>0</v>
      </c>
      <c r="BE120" s="12">
        <v>1</v>
      </c>
      <c r="BF120" s="12">
        <v>2</v>
      </c>
      <c r="BG120" s="12">
        <v>2</v>
      </c>
      <c r="BH120" s="12">
        <v>1</v>
      </c>
      <c r="BI120" s="12">
        <v>1</v>
      </c>
      <c r="BJ120" s="12">
        <v>1</v>
      </c>
      <c r="BK120" s="12">
        <v>0</v>
      </c>
      <c r="BL120" s="12">
        <v>1</v>
      </c>
      <c r="BM120" s="12">
        <v>0</v>
      </c>
      <c r="BN120" s="12">
        <v>2</v>
      </c>
      <c r="BO120" s="12">
        <v>1</v>
      </c>
      <c r="BP120" s="12">
        <v>1</v>
      </c>
      <c r="BQ120" s="12">
        <v>1</v>
      </c>
      <c r="BR120" s="12">
        <v>14</v>
      </c>
      <c r="BS120" s="12">
        <v>1</v>
      </c>
      <c r="BT120" s="12">
        <v>1</v>
      </c>
      <c r="BU120" s="12"/>
    </row>
    <row r="121" spans="1:73" x14ac:dyDescent="0.25">
      <c r="A121" s="8" t="s">
        <v>348</v>
      </c>
      <c r="B121" s="5">
        <v>1</v>
      </c>
      <c r="C121" s="8">
        <v>25.111699999999999</v>
      </c>
      <c r="D121" s="9">
        <f>VLOOKUP($A121,'[1]24-8-24 DATA ENTRY'!$A$1:$BR$258,3,FALSE)</f>
        <v>240000032171</v>
      </c>
      <c r="E121" s="9">
        <f>VLOOKUP($A121,'[1]24-8-24 DATA ENTRY'!$A$1:$BR$258,4,FALSE)</f>
        <v>75</v>
      </c>
      <c r="F121" s="9">
        <f>VLOOKUP($A121,'[1]24-8-24 DATA ENTRY'!$A$1:$BR$258,5,FALSE)</f>
        <v>1</v>
      </c>
      <c r="G121" s="10">
        <f>VLOOKUP($A121,'[1]24-8-24 DATA ENTRY'!$A$1:$BR$258,6,FALSE)</f>
        <v>45386</v>
      </c>
      <c r="H121" s="9">
        <f>VLOOKUP($A121,'[1]24-8-24 DATA ENTRY'!$A$1:$BR$258,7,FALSE)</f>
        <v>0.47916666666666669</v>
      </c>
      <c r="I121" s="10">
        <f>VLOOKUP($A121,'[1]24-8-24 DATA ENTRY'!$A$1:$BR$258,8,FALSE)</f>
        <v>45387</v>
      </c>
      <c r="J121" s="10">
        <f>VLOOKUP($A121,'[1]24-8-24 DATA ENTRY'!$A$1:$BR$258,9,FALSE)</f>
        <v>0</v>
      </c>
      <c r="K121" s="9">
        <f>VLOOKUP($A121,'[1]24-8-24 DATA ENTRY'!$A$1:$BR$258,10,FALSE)</f>
        <v>9923064112</v>
      </c>
      <c r="L121" s="9">
        <f>VLOOKUP($A121,'[1]24-8-24 DATA ENTRY'!$A$1:$BR$258,11,FALSE)</f>
        <v>7972930241</v>
      </c>
      <c r="M121" s="9">
        <f>VLOOKUP($A121,'[1]24-8-24 DATA ENTRY'!$A$1:$BR$258,12,FALSE)</f>
        <v>18</v>
      </c>
      <c r="N121" s="9">
        <f>VLOOKUP($A121,'[1]24-8-24 DATA ENTRY'!$A$1:$BR$258,13,FALSE)</f>
        <v>2</v>
      </c>
      <c r="O121" s="9">
        <f>VLOOKUP($A121,'[1]24-8-24 DATA ENTRY'!$A$1:$BR$258,14,FALSE)</f>
        <v>2</v>
      </c>
      <c r="P121" s="9">
        <f>VLOOKUP($A121,'[1]24-8-24 DATA ENTRY'!$A$1:$BR$258,15,FALSE)</f>
        <v>2</v>
      </c>
      <c r="Q121" s="9">
        <f>VLOOKUP($A121,'[1]24-8-24 DATA ENTRY'!$A$1:$BR$258,16,FALSE)</f>
        <v>2</v>
      </c>
      <c r="R121" s="9">
        <f>VLOOKUP($A121,'[1]24-8-24 DATA ENTRY'!$A$1:$BR$258,17,FALSE)</f>
        <v>2</v>
      </c>
      <c r="S121" s="9">
        <f>VLOOKUP($A121,'[1]24-8-24 DATA ENTRY'!$A$1:$BR$258,18,FALSE)</f>
        <v>2</v>
      </c>
      <c r="T121" s="9">
        <f>VLOOKUP($A121,'[1]24-8-24 DATA ENTRY'!$A$1:$BR$258,19,FALSE)</f>
        <v>2</v>
      </c>
      <c r="U121" s="9">
        <f>VLOOKUP($A121,'[1]24-8-24 DATA ENTRY'!$A$1:$BR$258,20,FALSE)</f>
        <v>2</v>
      </c>
      <c r="V121" s="9">
        <f>VLOOKUP($A121,'[1]24-8-24 DATA ENTRY'!$A$1:$BR$258,21,FALSE)</f>
        <v>2</v>
      </c>
      <c r="W121" s="9" t="str">
        <f>VLOOKUP($A121,'[1]24-8-24 DATA ENTRY'!$A$1:$BR$258,22,FALSE)</f>
        <v>Suspected peripheral vascular disease</v>
      </c>
      <c r="X121" s="9">
        <f>VLOOKUP($A121,'[1]24-8-24 DATA ENTRY'!$A$1:$BR$258,23,FALSE)</f>
        <v>6.7</v>
      </c>
      <c r="Y121" s="9">
        <f>VLOOKUP($A121,'[1]24-8-24 DATA ENTRY'!$A$1:$BR$258,24,FALSE)</f>
        <v>20.6</v>
      </c>
      <c r="Z121" s="9">
        <f>VLOOKUP($A121,'[1]24-8-24 DATA ENTRY'!$A$1:$BR$258,25,FALSE)</f>
        <v>83.4</v>
      </c>
      <c r="AA121" s="9">
        <f>VLOOKUP($A121,'[1]24-8-24 DATA ENTRY'!$A$1:$BR$258,26,FALSE)</f>
        <v>224.26</v>
      </c>
      <c r="AB121" s="9">
        <f>VLOOKUP($A121,'[1]24-8-24 DATA ENTRY'!$A$1:$BR$258,27,FALSE)</f>
        <v>0</v>
      </c>
      <c r="AC121" s="9">
        <f>VLOOKUP($A121,'[1]24-8-24 DATA ENTRY'!$A$1:$BR$258,28,FALSE)</f>
        <v>93</v>
      </c>
      <c r="AD121" s="9">
        <f>VLOOKUP($A121,'[1]24-8-24 DATA ENTRY'!$A$1:$BR$258,29,FALSE)</f>
        <v>33.799999999999997</v>
      </c>
      <c r="AE121" s="9">
        <f>VLOOKUP($A121,'[1]24-8-24 DATA ENTRY'!$A$1:$BR$258,30,FALSE)</f>
        <v>15</v>
      </c>
      <c r="AF121" s="9">
        <f>VLOOKUP($A121,'[1]24-8-24 DATA ENTRY'!$A$1:$BR$258,31,FALSE)</f>
        <v>44.2</v>
      </c>
      <c r="AG121" s="9">
        <f>VLOOKUP($A121,'[1]24-8-24 DATA ENTRY'!$A$1:$BR$258,32,FALSE)</f>
        <v>221</v>
      </c>
      <c r="AH121" s="9">
        <f>VLOOKUP($A121,'[1]24-8-24 DATA ENTRY'!$A$1:$BR$258,33,FALSE)</f>
        <v>148</v>
      </c>
      <c r="AI121" s="9">
        <f>VLOOKUP($A121,'[1]24-8-24 DATA ENTRY'!$A$1:$BR$258,34,FALSE)</f>
        <v>0</v>
      </c>
      <c r="AJ121" s="9">
        <f>VLOOKUP($A121,'[1]24-8-24 DATA ENTRY'!$A$1:$BR$258,35,FALSE)</f>
        <v>0</v>
      </c>
      <c r="AK121" s="9" t="str">
        <f>VLOOKUP($A121,'[1]24-8-24 DATA ENTRY'!$A$1:$BR$258,36,FALSE)</f>
        <v>Acute NHI in the rt fronto-parieto-temporal lobe, paucty of cortical segments of rt MCA with delayed emptying</v>
      </c>
      <c r="AL121" s="9" t="str">
        <f>VLOOKUP($A121,'[1]24-8-24 DATA ENTRY'!$A$1:$BR$258,37,FALSE)</f>
        <v>normal</v>
      </c>
      <c r="AM121" s="9">
        <f>VLOOKUP($A121,'[1]24-8-24 DATA ENTRY'!$A$1:$BR$258,38,FALSE)</f>
        <v>0</v>
      </c>
      <c r="AN121" s="9">
        <f>VLOOKUP($A121,'[1]24-8-24 DATA ENTRY'!$A$1:$BR$258,39,FALSE)</f>
        <v>8</v>
      </c>
      <c r="AO121" s="9">
        <f>VLOOKUP($A121,'[1]24-8-24 DATA ENTRY'!$A$1:$BR$258,40,FALSE)</f>
        <v>1</v>
      </c>
      <c r="AP121" s="9">
        <f>VLOOKUP($A121,'[1]24-8-24 DATA ENTRY'!$A$1:$BR$258,41,FALSE)</f>
        <v>3</v>
      </c>
      <c r="AQ121" s="9">
        <f>VLOOKUP($A121,'[1]24-8-24 DATA ENTRY'!$A$1:$BR$258,42,FALSE)</f>
        <v>3</v>
      </c>
      <c r="AR121" s="9">
        <f>VLOOKUP($A121,'[1]24-8-24 DATA ENTRY'!$A$1:$BR$258,43,FALSE)</f>
        <v>5</v>
      </c>
      <c r="AS121" s="9">
        <f>VLOOKUP($A121,'[1]24-8-24 DATA ENTRY'!$A$1:$BR$258,44,FALSE)</f>
        <v>0</v>
      </c>
      <c r="AT121" s="9">
        <f>VLOOKUP($A121,'[1]24-8-24 DATA ENTRY'!$A$1:$BR$258,45,FALSE)</f>
        <v>1</v>
      </c>
      <c r="AU121" s="9">
        <f>VLOOKUP($A121,'[1]24-8-24 DATA ENTRY'!$A$1:$BR$258,46,FALSE)</f>
        <v>1</v>
      </c>
      <c r="AV121" s="9">
        <f>VLOOKUP($A121,'[1]24-8-24 DATA ENTRY'!$A$1:$BR$258,47,FALSE)</f>
        <v>2</v>
      </c>
      <c r="AW121" s="9">
        <f>VLOOKUP($A121,'[1]24-8-24 DATA ENTRY'!$A$1:$BR$258,48,FALSE)</f>
        <v>0</v>
      </c>
      <c r="AX121" s="9">
        <f>VLOOKUP($A121,'[1]24-8-24 DATA ENTRY'!$A$1:$BR$258,49,FALSE)</f>
        <v>0</v>
      </c>
      <c r="AY121" s="9">
        <f>VLOOKUP($A121,'[1]24-8-24 DATA ENTRY'!$A$1:$BR$258,50,FALSE)</f>
        <v>0</v>
      </c>
      <c r="AZ121" s="9">
        <f>VLOOKUP($A121,'[1]24-8-24 DATA ENTRY'!$A$1:$BR$258,51,FALSE)</f>
        <v>0</v>
      </c>
      <c r="BA121" s="9">
        <f>VLOOKUP($A121,'[1]24-8-24 DATA ENTRY'!$A$1:$BR$258,52,FALSE)</f>
        <v>1</v>
      </c>
      <c r="BB121" s="5">
        <v>1</v>
      </c>
      <c r="BC121" s="9">
        <f>VLOOKUP($A121,'[1]24-8-24 DATA ENTRY'!$A$1:$BR$258,53,FALSE)</f>
        <v>70</v>
      </c>
      <c r="BD121" s="8">
        <v>0</v>
      </c>
      <c r="BE121" s="8">
        <v>2</v>
      </c>
      <c r="BF121" s="8">
        <v>2</v>
      </c>
      <c r="BG121" s="8">
        <v>2</v>
      </c>
      <c r="BH121" s="8">
        <v>1</v>
      </c>
      <c r="BI121" s="8">
        <v>1</v>
      </c>
      <c r="BJ121" s="8">
        <v>1</v>
      </c>
      <c r="BK121" s="8">
        <v>1</v>
      </c>
      <c r="BL121" s="8">
        <v>2</v>
      </c>
      <c r="BM121" s="8">
        <v>2</v>
      </c>
      <c r="BN121" s="8">
        <v>2</v>
      </c>
      <c r="BO121" s="8">
        <v>1</v>
      </c>
      <c r="BP121" s="8">
        <v>1</v>
      </c>
      <c r="BQ121" s="8">
        <v>1</v>
      </c>
      <c r="BR121" s="8">
        <v>19</v>
      </c>
      <c r="BS121" s="8">
        <v>1</v>
      </c>
      <c r="BT121" s="8">
        <v>1</v>
      </c>
      <c r="BU121" s="8"/>
    </row>
    <row r="122" spans="1:73" x14ac:dyDescent="0.25">
      <c r="A122" s="12" t="s">
        <v>168</v>
      </c>
      <c r="B122" s="5">
        <v>1</v>
      </c>
      <c r="C122" s="12">
        <v>25.1892</v>
      </c>
      <c r="D122" s="13">
        <v>230000000000</v>
      </c>
      <c r="E122" s="12">
        <v>58</v>
      </c>
      <c r="F122" s="12">
        <v>1</v>
      </c>
      <c r="G122" s="14">
        <v>45285</v>
      </c>
      <c r="H122" s="16">
        <v>0.41666666666666669</v>
      </c>
      <c r="I122" s="14">
        <v>45285</v>
      </c>
      <c r="J122" s="14">
        <v>45292</v>
      </c>
      <c r="K122" s="12">
        <v>8320542903</v>
      </c>
      <c r="L122" s="12"/>
      <c r="M122" s="12">
        <v>10</v>
      </c>
      <c r="N122" s="12">
        <v>2</v>
      </c>
      <c r="O122" s="12">
        <v>1</v>
      </c>
      <c r="P122" s="12">
        <v>2</v>
      </c>
      <c r="Q122" s="12">
        <v>2</v>
      </c>
      <c r="R122" s="12">
        <v>2</v>
      </c>
      <c r="S122" s="12">
        <v>2</v>
      </c>
      <c r="T122" s="12">
        <v>2</v>
      </c>
      <c r="U122" s="12">
        <v>1</v>
      </c>
      <c r="V122" s="12">
        <v>2</v>
      </c>
      <c r="W122" s="12" t="s">
        <v>169</v>
      </c>
      <c r="X122" s="12">
        <v>15.4</v>
      </c>
      <c r="Y122" s="12">
        <v>48.5</v>
      </c>
      <c r="Z122" s="12">
        <v>89.1</v>
      </c>
      <c r="AA122" s="12">
        <v>39.299999999999997</v>
      </c>
      <c r="AB122" s="12">
        <v>6.2</v>
      </c>
      <c r="AC122" s="12">
        <v>186</v>
      </c>
      <c r="AD122" s="12">
        <v>111</v>
      </c>
      <c r="AE122" s="12">
        <v>32</v>
      </c>
      <c r="AF122" s="12">
        <v>42</v>
      </c>
      <c r="AG122" s="12">
        <v>212</v>
      </c>
      <c r="AH122" s="12">
        <v>148</v>
      </c>
      <c r="AI122" s="12"/>
      <c r="AJ122" s="12"/>
      <c r="AK122" s="12" t="s">
        <v>170</v>
      </c>
      <c r="AL122" s="12"/>
      <c r="AM122" s="12"/>
      <c r="AN122" s="12">
        <v>10</v>
      </c>
      <c r="AO122" s="12">
        <v>1</v>
      </c>
      <c r="AP122" s="12">
        <v>3</v>
      </c>
      <c r="AQ122" s="12">
        <v>3</v>
      </c>
      <c r="AR122" s="12">
        <v>5</v>
      </c>
      <c r="AS122" s="12"/>
      <c r="AT122" s="12">
        <v>1</v>
      </c>
      <c r="AU122" s="12">
        <v>1</v>
      </c>
      <c r="AV122" s="12">
        <v>2</v>
      </c>
      <c r="AW122" s="12">
        <v>4</v>
      </c>
      <c r="AX122" s="12">
        <v>8</v>
      </c>
      <c r="AY122" s="12">
        <v>2</v>
      </c>
      <c r="AZ122" s="12">
        <v>2</v>
      </c>
      <c r="BA122" s="12">
        <v>0</v>
      </c>
      <c r="BB122" s="5">
        <v>1</v>
      </c>
      <c r="BC122" s="12">
        <v>100</v>
      </c>
      <c r="BD122" s="12">
        <v>0</v>
      </c>
      <c r="BE122" s="12">
        <v>2</v>
      </c>
      <c r="BF122" s="12">
        <v>2</v>
      </c>
      <c r="BG122" s="12">
        <v>2</v>
      </c>
      <c r="BH122" s="12">
        <v>1</v>
      </c>
      <c r="BI122" s="12">
        <v>1</v>
      </c>
      <c r="BJ122" s="12">
        <v>1</v>
      </c>
      <c r="BK122" s="12">
        <v>1</v>
      </c>
      <c r="BL122" s="12">
        <v>2</v>
      </c>
      <c r="BM122" s="12">
        <v>2</v>
      </c>
      <c r="BN122" s="12">
        <v>2</v>
      </c>
      <c r="BO122" s="12">
        <v>0</v>
      </c>
      <c r="BP122" s="12">
        <v>0</v>
      </c>
      <c r="BQ122" s="12">
        <v>1</v>
      </c>
      <c r="BR122" s="12">
        <v>17</v>
      </c>
      <c r="BS122" s="12">
        <v>0</v>
      </c>
      <c r="BT122" s="12">
        <v>0</v>
      </c>
      <c r="BU122" s="12"/>
    </row>
    <row r="123" spans="1:73" x14ac:dyDescent="0.25">
      <c r="A123" s="12" t="s">
        <v>209</v>
      </c>
      <c r="B123" s="5">
        <v>1</v>
      </c>
      <c r="C123" s="12">
        <v>27.6204</v>
      </c>
      <c r="D123" s="13"/>
      <c r="E123" s="12">
        <v>67</v>
      </c>
      <c r="F123" s="12">
        <v>1</v>
      </c>
      <c r="G123" s="14">
        <v>45044</v>
      </c>
      <c r="H123" s="12"/>
      <c r="I123" s="14">
        <v>45051</v>
      </c>
      <c r="J123" s="14">
        <v>45052</v>
      </c>
      <c r="K123" s="12">
        <v>9765047875</v>
      </c>
      <c r="L123" s="12"/>
      <c r="M123" s="12">
        <v>7</v>
      </c>
      <c r="N123" s="12">
        <v>1</v>
      </c>
      <c r="O123" s="12">
        <v>1</v>
      </c>
      <c r="P123" s="12">
        <v>2</v>
      </c>
      <c r="Q123" s="12">
        <v>2</v>
      </c>
      <c r="R123" s="12">
        <v>1</v>
      </c>
      <c r="S123" s="12">
        <v>2</v>
      </c>
      <c r="T123" s="12">
        <v>2</v>
      </c>
      <c r="U123" s="12">
        <v>2</v>
      </c>
      <c r="V123" s="12">
        <v>2</v>
      </c>
      <c r="W123" s="12" t="s">
        <v>210</v>
      </c>
      <c r="X123" s="12">
        <v>12.9</v>
      </c>
      <c r="Y123" s="12">
        <v>40.1</v>
      </c>
      <c r="Z123" s="12"/>
      <c r="AA123" s="12">
        <v>4.7699999999999996</v>
      </c>
      <c r="AB123" s="12">
        <v>10.4</v>
      </c>
      <c r="AC123" s="12">
        <v>202</v>
      </c>
      <c r="AD123" s="12">
        <v>111</v>
      </c>
      <c r="AE123" s="12">
        <v>32</v>
      </c>
      <c r="AF123" s="12">
        <v>58.8</v>
      </c>
      <c r="AG123" s="12">
        <v>294</v>
      </c>
      <c r="AH123" s="12">
        <v>770</v>
      </c>
      <c r="AI123" s="12" t="s">
        <v>211</v>
      </c>
      <c r="AJ123" s="12"/>
      <c r="AK123" s="12" t="s">
        <v>212</v>
      </c>
      <c r="AL123" s="12" t="s">
        <v>213</v>
      </c>
      <c r="AM123" s="12"/>
      <c r="AN123" s="12">
        <v>9</v>
      </c>
      <c r="AO123" s="12" t="s">
        <v>720</v>
      </c>
      <c r="AP123" s="12">
        <v>4</v>
      </c>
      <c r="AQ123" s="12">
        <v>2</v>
      </c>
      <c r="AR123" s="12">
        <v>5</v>
      </c>
      <c r="AS123" s="12"/>
      <c r="AT123" s="12">
        <v>1</v>
      </c>
      <c r="AU123" s="12">
        <v>2</v>
      </c>
      <c r="AV123" s="12">
        <v>2</v>
      </c>
      <c r="AW123" s="12"/>
      <c r="AX123" s="12"/>
      <c r="AY123" s="12"/>
      <c r="AZ123" s="12"/>
      <c r="BA123" s="12">
        <v>0</v>
      </c>
      <c r="BB123" s="5">
        <v>1</v>
      </c>
      <c r="BC123" s="12">
        <v>100</v>
      </c>
      <c r="BD123" s="12">
        <v>1</v>
      </c>
      <c r="BE123" s="12">
        <v>1</v>
      </c>
      <c r="BF123" s="12">
        <v>2</v>
      </c>
      <c r="BG123" s="12">
        <v>2</v>
      </c>
      <c r="BH123" s="12">
        <v>1</v>
      </c>
      <c r="BI123" s="12">
        <v>1</v>
      </c>
      <c r="BJ123" s="12">
        <v>1</v>
      </c>
      <c r="BK123" s="12">
        <v>0</v>
      </c>
      <c r="BL123" s="12">
        <v>2</v>
      </c>
      <c r="BM123" s="12">
        <v>2</v>
      </c>
      <c r="BN123" s="12">
        <v>2</v>
      </c>
      <c r="BO123" s="12">
        <v>1</v>
      </c>
      <c r="BP123" s="12">
        <v>1</v>
      </c>
      <c r="BQ123" s="12">
        <v>1</v>
      </c>
      <c r="BR123" s="12">
        <v>18</v>
      </c>
      <c r="BS123" s="12">
        <v>1</v>
      </c>
      <c r="BT123" s="12">
        <v>1</v>
      </c>
      <c r="BU123" s="12"/>
    </row>
    <row r="124" spans="1:73" x14ac:dyDescent="0.25">
      <c r="A124" s="12" t="s">
        <v>124</v>
      </c>
      <c r="B124" s="5">
        <v>1</v>
      </c>
      <c r="C124" s="12">
        <v>29.058800000000002</v>
      </c>
      <c r="D124" s="13">
        <v>230904245</v>
      </c>
      <c r="E124" s="12">
        <v>70</v>
      </c>
      <c r="F124" s="12">
        <v>1</v>
      </c>
      <c r="G124" s="14">
        <v>45197</v>
      </c>
      <c r="H124" s="16">
        <v>0.45833333333333331</v>
      </c>
      <c r="I124" s="14">
        <v>45198</v>
      </c>
      <c r="J124" s="14">
        <v>45199</v>
      </c>
      <c r="K124" s="12">
        <v>9168935500</v>
      </c>
      <c r="L124" s="12"/>
      <c r="M124" s="12">
        <v>7</v>
      </c>
      <c r="N124" s="12">
        <v>2</v>
      </c>
      <c r="O124" s="12">
        <v>1</v>
      </c>
      <c r="P124" s="12">
        <v>2</v>
      </c>
      <c r="Q124" s="12">
        <v>2</v>
      </c>
      <c r="R124" s="12">
        <v>1</v>
      </c>
      <c r="S124" s="12">
        <v>2</v>
      </c>
      <c r="T124" s="12">
        <v>2</v>
      </c>
      <c r="U124" s="12">
        <v>2</v>
      </c>
      <c r="V124" s="12">
        <v>2</v>
      </c>
      <c r="W124" s="12"/>
      <c r="X124" s="12">
        <v>12</v>
      </c>
      <c r="Y124" s="12">
        <v>30.2</v>
      </c>
      <c r="Z124" s="12">
        <v>78.2</v>
      </c>
      <c r="AA124" s="12">
        <v>37.22</v>
      </c>
      <c r="AB124" s="12">
        <v>11</v>
      </c>
      <c r="AC124" s="12">
        <v>137</v>
      </c>
      <c r="AD124" s="12">
        <v>82.4</v>
      </c>
      <c r="AE124" s="12">
        <v>40</v>
      </c>
      <c r="AF124" s="12">
        <v>14.6</v>
      </c>
      <c r="AG124" s="12">
        <v>73</v>
      </c>
      <c r="AH124" s="12">
        <v>2000</v>
      </c>
      <c r="AI124" s="12"/>
      <c r="AJ124" s="12"/>
      <c r="AK124" s="12" t="s">
        <v>125</v>
      </c>
      <c r="AL124" s="12" t="s">
        <v>126</v>
      </c>
      <c r="AM124" s="12"/>
      <c r="AN124" s="12">
        <v>3</v>
      </c>
      <c r="AO124" s="12">
        <v>1</v>
      </c>
      <c r="AP124" s="12">
        <v>1</v>
      </c>
      <c r="AQ124" s="12">
        <v>2</v>
      </c>
      <c r="AR124" s="12">
        <v>2</v>
      </c>
      <c r="AS124" s="12"/>
      <c r="AT124" s="12">
        <v>1</v>
      </c>
      <c r="AU124" s="12">
        <v>1</v>
      </c>
      <c r="AV124" s="12">
        <v>2</v>
      </c>
      <c r="AW124" s="12">
        <v>4</v>
      </c>
      <c r="AX124" s="12">
        <v>8</v>
      </c>
      <c r="AY124" s="12">
        <v>2</v>
      </c>
      <c r="AZ124" s="12">
        <v>2</v>
      </c>
      <c r="BA124" s="12">
        <v>0</v>
      </c>
      <c r="BB124" s="5">
        <v>1</v>
      </c>
      <c r="BC124" s="12">
        <v>100</v>
      </c>
      <c r="BD124" s="12">
        <v>1</v>
      </c>
      <c r="BE124" s="12">
        <v>2</v>
      </c>
      <c r="BF124" s="12">
        <v>2</v>
      </c>
      <c r="BG124" s="12">
        <v>2</v>
      </c>
      <c r="BH124" s="12">
        <v>1</v>
      </c>
      <c r="BI124" s="12">
        <v>1</v>
      </c>
      <c r="BJ124" s="12">
        <v>1</v>
      </c>
      <c r="BK124" s="12">
        <v>1</v>
      </c>
      <c r="BL124" s="12">
        <v>2</v>
      </c>
      <c r="BM124" s="12">
        <v>2</v>
      </c>
      <c r="BN124" s="12">
        <v>0</v>
      </c>
      <c r="BO124" s="12">
        <v>0</v>
      </c>
      <c r="BP124" s="12">
        <v>0</v>
      </c>
      <c r="BQ124" s="12">
        <v>1</v>
      </c>
      <c r="BR124" s="12">
        <v>16</v>
      </c>
      <c r="BS124" s="12">
        <v>1</v>
      </c>
      <c r="BT124" s="12">
        <v>1</v>
      </c>
      <c r="BU124" s="12"/>
    </row>
    <row r="125" spans="1:73" x14ac:dyDescent="0.25">
      <c r="A125" s="12" t="s">
        <v>127</v>
      </c>
      <c r="B125" s="5">
        <v>1</v>
      </c>
      <c r="C125" s="12">
        <v>29.489899999999999</v>
      </c>
      <c r="D125" s="13">
        <v>230902987</v>
      </c>
      <c r="E125" s="12">
        <v>70</v>
      </c>
      <c r="F125" s="12">
        <v>2</v>
      </c>
      <c r="G125" s="14">
        <v>45188</v>
      </c>
      <c r="H125" s="12"/>
      <c r="I125" s="14">
        <v>45188</v>
      </c>
      <c r="J125" s="14">
        <v>45195</v>
      </c>
      <c r="K125" s="12">
        <v>9765292299</v>
      </c>
      <c r="L125" s="12"/>
      <c r="M125" s="12">
        <v>19</v>
      </c>
      <c r="N125" s="12">
        <v>1</v>
      </c>
      <c r="O125" s="12">
        <v>2</v>
      </c>
      <c r="P125" s="12">
        <v>2</v>
      </c>
      <c r="Q125" s="12">
        <v>2</v>
      </c>
      <c r="R125" s="12">
        <v>2</v>
      </c>
      <c r="S125" s="12">
        <v>2</v>
      </c>
      <c r="T125" s="12">
        <v>2</v>
      </c>
      <c r="U125" s="12">
        <v>2</v>
      </c>
      <c r="V125" s="12">
        <v>2</v>
      </c>
      <c r="W125" s="12" t="s">
        <v>128</v>
      </c>
      <c r="X125" s="12">
        <v>9.8000000000000007</v>
      </c>
      <c r="Y125" s="12">
        <v>30.8</v>
      </c>
      <c r="Z125" s="12">
        <v>96.3</v>
      </c>
      <c r="AA125" s="12">
        <v>7.81</v>
      </c>
      <c r="AB125" s="12">
        <v>6.3</v>
      </c>
      <c r="AC125" s="12">
        <v>128</v>
      </c>
      <c r="AD125" s="12">
        <v>68.8</v>
      </c>
      <c r="AE125" s="12">
        <v>24</v>
      </c>
      <c r="AF125" s="12">
        <v>35.200000000000003</v>
      </c>
      <c r="AG125" s="12">
        <v>176</v>
      </c>
      <c r="AH125" s="12">
        <v>1539</v>
      </c>
      <c r="AI125" s="12"/>
      <c r="AJ125" s="12"/>
      <c r="AK125" s="12" t="s">
        <v>129</v>
      </c>
      <c r="AL125" s="12" t="s">
        <v>130</v>
      </c>
      <c r="AM125" s="12"/>
      <c r="AN125" s="12">
        <v>9</v>
      </c>
      <c r="AO125" s="12">
        <v>1</v>
      </c>
      <c r="AP125" s="12">
        <v>2</v>
      </c>
      <c r="AQ125" s="12">
        <v>1</v>
      </c>
      <c r="AR125" s="12">
        <v>4</v>
      </c>
      <c r="AS125" s="12"/>
      <c r="AT125" s="12">
        <v>1</v>
      </c>
      <c r="AU125" s="12">
        <v>1</v>
      </c>
      <c r="AV125" s="12">
        <v>2</v>
      </c>
      <c r="AW125" s="12"/>
      <c r="AX125" s="12"/>
      <c r="AY125" s="12"/>
      <c r="AZ125" s="12"/>
      <c r="BA125" s="12">
        <v>0</v>
      </c>
      <c r="BB125" s="5">
        <v>1</v>
      </c>
      <c r="BC125" s="12">
        <v>100</v>
      </c>
      <c r="BD125" s="12">
        <v>1</v>
      </c>
      <c r="BE125" s="12">
        <v>2</v>
      </c>
      <c r="BF125" s="12">
        <v>2</v>
      </c>
      <c r="BG125" s="12">
        <v>2</v>
      </c>
      <c r="BH125" s="12">
        <v>1</v>
      </c>
      <c r="BI125" s="12">
        <v>1</v>
      </c>
      <c r="BJ125" s="12">
        <v>1</v>
      </c>
      <c r="BK125" s="12">
        <v>1</v>
      </c>
      <c r="BL125" s="12">
        <v>2</v>
      </c>
      <c r="BM125" s="12">
        <v>2</v>
      </c>
      <c r="BN125" s="12">
        <v>0</v>
      </c>
      <c r="BO125" s="12">
        <v>0</v>
      </c>
      <c r="BP125" s="12">
        <v>0</v>
      </c>
      <c r="BQ125" s="12">
        <v>1</v>
      </c>
      <c r="BR125" s="12">
        <v>16</v>
      </c>
      <c r="BS125" s="12">
        <v>1</v>
      </c>
      <c r="BT125" s="12">
        <v>1</v>
      </c>
      <c r="BU125" s="12"/>
    </row>
    <row r="126" spans="1:73" x14ac:dyDescent="0.25">
      <c r="A126" s="5" t="s">
        <v>509</v>
      </c>
      <c r="B126" s="5">
        <v>0</v>
      </c>
      <c r="C126" s="5">
        <v>29.717500000000001</v>
      </c>
      <c r="D126" s="9">
        <f>VLOOKUP($A126,'[1]24-8-24 DATA ENTRY'!$A$1:$BR$303,3,FALSE)</f>
        <v>240000057513</v>
      </c>
      <c r="E126" s="9">
        <f>VLOOKUP($A126,'[1]24-8-24 DATA ENTRY'!$A$1:$BR$303,4,FALSE)</f>
        <v>24</v>
      </c>
      <c r="F126" s="9">
        <f>VLOOKUP($A126,'[1]24-8-24 DATA ENTRY'!$A$1:$BR$303,5,FALSE)</f>
        <v>2</v>
      </c>
      <c r="G126" s="10">
        <f>VLOOKUP($A126,'[1]24-8-24 DATA ENTRY'!$A$1:$BR$303,6,FALSE)</f>
        <v>45475</v>
      </c>
      <c r="H126" s="9">
        <f>VLOOKUP($A126,'[1]24-8-24 DATA ENTRY'!$A$1:$BR$303,7,FALSE)</f>
        <v>6.5972222222222224E-2</v>
      </c>
      <c r="I126" s="10">
        <f>VLOOKUP($A126,'[1]24-8-24 DATA ENTRY'!$A$1:$BR$303,8,FALSE)</f>
        <v>45475</v>
      </c>
      <c r="J126" s="10">
        <f>VLOOKUP($A126,'[1]24-8-24 DATA ENTRY'!$A$1:$BR$303,9,FALSE)</f>
        <v>45480</v>
      </c>
      <c r="K126" s="9">
        <f>VLOOKUP($A126,'[1]24-8-24 DATA ENTRY'!$A$1:$BR$303,10,FALSE)</f>
        <v>8855997524</v>
      </c>
      <c r="L126" s="9">
        <f>VLOOKUP($A126,'[1]24-8-24 DATA ENTRY'!$A$1:$BR$303,11,FALSE)</f>
        <v>0</v>
      </c>
      <c r="M126" s="9">
        <f>VLOOKUP($A126,'[1]24-8-24 DATA ENTRY'!$A$1:$BR$303,12,FALSE)</f>
        <v>5</v>
      </c>
      <c r="N126" s="9">
        <f>VLOOKUP($A126,'[1]24-8-24 DATA ENTRY'!$A$1:$BR$303,13,FALSE)</f>
        <v>1</v>
      </c>
      <c r="O126" s="9">
        <f>VLOOKUP($A126,'[1]24-8-24 DATA ENTRY'!$A$1:$BR$303,14,FALSE)</f>
        <v>2</v>
      </c>
      <c r="P126" s="9">
        <f>VLOOKUP($A126,'[1]24-8-24 DATA ENTRY'!$A$1:$BR$303,15,FALSE)</f>
        <v>2</v>
      </c>
      <c r="Q126" s="9">
        <f>VLOOKUP($A126,'[1]24-8-24 DATA ENTRY'!$A$1:$BR$303,16,FALSE)</f>
        <v>2</v>
      </c>
      <c r="R126" s="9">
        <f>VLOOKUP($A126,'[1]24-8-24 DATA ENTRY'!$A$1:$BR$303,17,FALSE)</f>
        <v>2</v>
      </c>
      <c r="S126" s="9">
        <f>VLOOKUP($A126,'[1]24-8-24 DATA ENTRY'!$A$1:$BR$303,18,FALSE)</f>
        <v>2</v>
      </c>
      <c r="T126" s="9">
        <f>VLOOKUP($A126,'[1]24-8-24 DATA ENTRY'!$A$1:$BR$303,19,FALSE)</f>
        <v>2</v>
      </c>
      <c r="U126" s="9" t="e">
        <f>VLOOKUP($A126,'[1]24-8-24 DATA ENTRY'!$A$1:$BR$278,20,FALSE)</f>
        <v>#N/A</v>
      </c>
      <c r="V126" s="9">
        <f>VLOOKUP($A126,'[1]24-8-24 DATA ENTRY'!$A$1:$BR$303,21,FALSE)</f>
        <v>2</v>
      </c>
      <c r="W126" s="9" t="str">
        <f>VLOOKUP($A126,'[1]24-8-24 DATA ENTRY'!$A$1:$BR$303,22,FALSE)</f>
        <v>old cva- rt pca mca infarct</v>
      </c>
      <c r="X126" s="9">
        <f>VLOOKUP($A126,'[1]24-8-24 DATA ENTRY'!$A$1:$BR$303,23,FALSE)</f>
        <v>14.4</v>
      </c>
      <c r="Y126" s="9">
        <f>VLOOKUP($A126,'[1]24-8-24 DATA ENTRY'!$A$1:$BR$303,24,FALSE)</f>
        <v>42.6</v>
      </c>
      <c r="Z126" s="9">
        <f>VLOOKUP($A126,'[1]24-8-24 DATA ENTRY'!$A$1:$BR$303,25,FALSE)</f>
        <v>89.9</v>
      </c>
      <c r="AA126" s="9">
        <f>VLOOKUP($A126,'[1]24-8-24 DATA ENTRY'!$A$1:$BR$303,26,FALSE)</f>
        <v>7.87</v>
      </c>
      <c r="AB126" s="9">
        <f>VLOOKUP($A126,'[1]24-8-24 DATA ENTRY'!$A$1:$BR$303,27,FALSE)</f>
        <v>5.2</v>
      </c>
      <c r="AC126" s="9">
        <f>VLOOKUP($A126,'[1]24-8-24 DATA ENTRY'!$A$1:$BR$303,28,FALSE)</f>
        <v>207</v>
      </c>
      <c r="AD126" s="9">
        <f>VLOOKUP($A126,'[1]24-8-24 DATA ENTRY'!$A$1:$BR$303,29,FALSE)</f>
        <v>126.8</v>
      </c>
      <c r="AE126" s="9">
        <f>VLOOKUP($A126,'[1]24-8-24 DATA ENTRY'!$A$1:$BR$2303,30,FALSE)</f>
        <v>39</v>
      </c>
      <c r="AF126" s="9">
        <f>VLOOKUP($A126,'[1]24-8-24 DATA ENTRY'!$A$1:$BR$303,31,FALSE)</f>
        <v>41.2</v>
      </c>
      <c r="AG126" s="9">
        <f>VLOOKUP($A126,'[1]24-8-24 DATA ENTRY'!$A$1:$BR$303,32,FALSE)</f>
        <v>206</v>
      </c>
      <c r="AH126" s="9">
        <f>VLOOKUP($A126,'[1]24-8-24 DATA ENTRY'!$A$1:$BR$303,33,FALSE)</f>
        <v>369</v>
      </c>
      <c r="AI126" s="9">
        <f>VLOOKUP($A126,'[1]24-8-24 DATA ENTRY'!$A$1:$BR$303,34,FALSE)</f>
        <v>0</v>
      </c>
      <c r="AJ126" s="9">
        <f>VLOOKUP($A126,'[1]24-8-24 DATA ENTRY'!$A$1:$BR$303,35,FALSE)</f>
        <v>0</v>
      </c>
      <c r="AK126" s="9" t="str">
        <f>VLOOKUP($A126,'[1]24-8-24 DATA ENTRY'!$A$1:$BR$303,36,FALSE)</f>
        <v>right mca infarct</v>
      </c>
      <c r="AL126" s="9" t="str">
        <f>VLOOKUP($A126,'[1]24-8-24 DATA ENTRY'!$A$1:$BR$303,37,FALSE)</f>
        <v>rt mca superior devision occlusion</v>
      </c>
      <c r="AM126" s="9">
        <f>VLOOKUP($A126,'[1]24-8-24 DATA ENTRY'!$A$1:$BR$303,38,FALSE)</f>
        <v>0</v>
      </c>
      <c r="AN126" s="9">
        <f>VLOOKUP($A126,'[1]24-8-24 DATA ENTRY'!$A$1:$BR$303,39,FALSE)</f>
        <v>8</v>
      </c>
      <c r="AO126" s="9">
        <f>VLOOKUP($A126,'[1]24-8-24 DATA ENTRY'!$A$1:$BR$303,40,FALSE)</f>
        <v>1</v>
      </c>
      <c r="AP126" s="9">
        <f>VLOOKUP($A126,'[1]24-8-24 DATA ENTRY'!$A$1:$BR$303,41,FALSE)</f>
        <v>4</v>
      </c>
      <c r="AQ126" s="9">
        <f>VLOOKUP($A126,'[1]24-8-24 DATA ENTRY'!$A$1:$BR$303,42,FALSE)</f>
        <v>3</v>
      </c>
      <c r="AR126" s="9">
        <f>VLOOKUP($A126,'[1]24-8-24 DATA ENTRY'!$A$1:$BR$303,43,FALSE)</f>
        <v>5</v>
      </c>
      <c r="AS126" s="9">
        <f>VLOOKUP($A126,'[1]24-8-24 DATA ENTRY'!$A$1:$BR$303,44,FALSE)</f>
        <v>0</v>
      </c>
      <c r="AT126" s="9">
        <f>VLOOKUP($A126,'[1]24-8-24 DATA ENTRY'!$A$1:$BR$303,45,FALSE)</f>
        <v>1</v>
      </c>
      <c r="AU126" s="9">
        <f>VLOOKUP($A126,'[1]24-8-24 DATA ENTRY'!$A$1:$BR$303,46,FALSE)</f>
        <v>1</v>
      </c>
      <c r="AV126" s="9">
        <f>VLOOKUP($A126,'[1]24-8-24 DATA ENTRY'!$A$1:$BR$303,47,FALSE)</f>
        <v>2</v>
      </c>
      <c r="AW126" s="9">
        <f>VLOOKUP($A126,'[1]24-8-24 DATA ENTRY'!$A$1:$BR$303,48,FALSE)</f>
        <v>0</v>
      </c>
      <c r="AX126" s="9">
        <f>VLOOKUP($A126,'[1]24-8-24 DATA ENTRY'!$A$1:$BR$303,49,FALSE)</f>
        <v>0</v>
      </c>
      <c r="AY126" s="9">
        <f>VLOOKUP($A126,'[1]24-8-24 DATA ENTRY'!$A$1:$BR$303,50,FALSE)</f>
        <v>0</v>
      </c>
      <c r="AZ126" s="9">
        <f>VLOOKUP($A126,'[1]24-8-24 DATA ENTRY'!$A$1:$BR$303,51,FALSE)</f>
        <v>0</v>
      </c>
      <c r="BA126" s="9">
        <f>VLOOKUP($A126,'[1]24-8-24 DATA ENTRY'!$A$1:$BR$303,52,FALSE)</f>
        <v>0</v>
      </c>
      <c r="BB126" s="5">
        <v>1</v>
      </c>
      <c r="BC126" s="9">
        <f>VLOOKUP($A126,'[1]24-8-24 DATA ENTRY'!$A$1:$BR$303,53,FALSE)</f>
        <v>100</v>
      </c>
      <c r="BD126" s="5">
        <v>1</v>
      </c>
      <c r="BE126" s="5">
        <v>2</v>
      </c>
      <c r="BF126" s="5">
        <v>2</v>
      </c>
      <c r="BG126" s="5">
        <v>2</v>
      </c>
      <c r="BH126" s="5">
        <v>0</v>
      </c>
      <c r="BI126" s="5">
        <v>1</v>
      </c>
      <c r="BJ126" s="5">
        <v>1</v>
      </c>
      <c r="BK126" s="5">
        <v>1</v>
      </c>
      <c r="BL126" s="5">
        <v>2</v>
      </c>
      <c r="BM126" s="5">
        <v>2</v>
      </c>
      <c r="BN126" s="5">
        <v>2</v>
      </c>
      <c r="BO126" s="5">
        <v>1</v>
      </c>
      <c r="BP126" s="5">
        <v>1</v>
      </c>
      <c r="BQ126" s="5">
        <v>1</v>
      </c>
      <c r="BR126" s="5">
        <v>19</v>
      </c>
      <c r="BS126" s="5">
        <v>1</v>
      </c>
      <c r="BT126" s="5">
        <v>1</v>
      </c>
      <c r="BU126" s="5"/>
    </row>
    <row r="127" spans="1:73" x14ac:dyDescent="0.25">
      <c r="A127" s="5" t="s">
        <v>510</v>
      </c>
      <c r="B127" s="5">
        <v>0</v>
      </c>
      <c r="C127" s="5">
        <v>30.046800000000001</v>
      </c>
      <c r="D127" s="9">
        <f>VLOOKUP($A127,'[1]24-8-24 DATA ENTRY'!$A$1:$BR$303,3,FALSE)</f>
        <v>240000051745</v>
      </c>
      <c r="E127" s="9">
        <f>VLOOKUP($A127,'[1]24-8-24 DATA ENTRY'!$A$1:$BR$303,4,FALSE)</f>
        <v>45</v>
      </c>
      <c r="F127" s="9">
        <f>VLOOKUP($A127,'[1]24-8-24 DATA ENTRY'!$A$1:$BR$303,5,FALSE)</f>
        <v>1</v>
      </c>
      <c r="G127" s="10">
        <f>VLOOKUP($A127,'[1]24-8-24 DATA ENTRY'!$A$1:$BR$303,6,FALSE)</f>
        <v>45455</v>
      </c>
      <c r="H127" s="9">
        <f>VLOOKUP($A127,'[1]24-8-24 DATA ENTRY'!$A$1:$BR$303,7,FALSE)</f>
        <v>0.87152777777777779</v>
      </c>
      <c r="I127" s="10">
        <f>VLOOKUP($A127,'[1]24-8-24 DATA ENTRY'!$A$1:$BR$303,8,FALSE)</f>
        <v>45455</v>
      </c>
      <c r="J127" s="10">
        <f>VLOOKUP($A127,'[1]24-8-24 DATA ENTRY'!$A$1:$BR$303,9,FALSE)</f>
        <v>45472</v>
      </c>
      <c r="K127" s="9">
        <f>VLOOKUP($A127,'[1]24-8-24 DATA ENTRY'!$A$1:$BR$303,10,FALSE)</f>
        <v>9764436141</v>
      </c>
      <c r="L127" s="9">
        <f>VLOOKUP($A127,'[1]24-8-24 DATA ENTRY'!$A$1:$BR$303,11,FALSE)</f>
        <v>9960874913</v>
      </c>
      <c r="M127" s="9">
        <f>VLOOKUP($A127,'[1]24-8-24 DATA ENTRY'!$A$1:$BR$303,12,FALSE)</f>
        <v>20</v>
      </c>
      <c r="N127" s="9">
        <f>VLOOKUP($A127,'[1]24-8-24 DATA ENTRY'!$A$1:$BR$303,13,FALSE)</f>
        <v>1</v>
      </c>
      <c r="O127" s="9">
        <f>VLOOKUP($A127,'[1]24-8-24 DATA ENTRY'!$A$1:$BR$303,14,FALSE)</f>
        <v>1</v>
      </c>
      <c r="P127" s="9">
        <f>VLOOKUP($A127,'[1]24-8-24 DATA ENTRY'!$A$1:$BR$303,15,FALSE)</f>
        <v>2</v>
      </c>
      <c r="Q127" s="9">
        <f>VLOOKUP($A127,'[1]24-8-24 DATA ENTRY'!$A$1:$BR$303,16,FALSE)</f>
        <v>2</v>
      </c>
      <c r="R127" s="9">
        <f>VLOOKUP($A127,'[1]24-8-24 DATA ENTRY'!$A$1:$BR$303,17,FALSE)</f>
        <v>2</v>
      </c>
      <c r="S127" s="9">
        <f>VLOOKUP($A127,'[1]24-8-24 DATA ENTRY'!$A$1:$BR$303,18,FALSE)</f>
        <v>2</v>
      </c>
      <c r="T127" s="9">
        <f>VLOOKUP($A127,'[1]24-8-24 DATA ENTRY'!$A$1:$BR$303,19,FALSE)</f>
        <v>2</v>
      </c>
      <c r="U127" s="9" t="e">
        <f>VLOOKUP($A127,'[1]24-8-24 DATA ENTRY'!$A$1:$BR$278,20,FALSE)</f>
        <v>#N/A</v>
      </c>
      <c r="V127" s="9">
        <f>VLOOKUP($A127,'[1]24-8-24 DATA ENTRY'!$A$1:$BR$303,21,FALSE)</f>
        <v>2</v>
      </c>
      <c r="W127" s="9" t="str">
        <f>VLOOKUP($A127,'[1]24-8-24 DATA ENTRY'!$A$1:$BR$303,22,FALSE)</f>
        <v>rentinitis pigmentosa, B/L cataract, B/L SNHL since 10-12 yrs, Ushers syndrome, Farhs disease</v>
      </c>
      <c r="X127" s="9">
        <f>VLOOKUP($A127,'[1]24-8-24 DATA ENTRY'!$A$1:$BR$303,23,FALSE)</f>
        <v>13.9</v>
      </c>
      <c r="Y127" s="9">
        <f>VLOOKUP($A127,'[1]24-8-24 DATA ENTRY'!$A$1:$BR$303,24,FALSE)</f>
        <v>43.1</v>
      </c>
      <c r="Z127" s="9">
        <f>VLOOKUP($A127,'[1]24-8-24 DATA ENTRY'!$A$1:$BR$303,25,FALSE)</f>
        <v>91.6</v>
      </c>
      <c r="AA127" s="9">
        <f>VLOOKUP($A127,'[1]24-8-24 DATA ENTRY'!$A$1:$BR$303,26,FALSE)</f>
        <v>12.63</v>
      </c>
      <c r="AB127" s="9">
        <f>VLOOKUP($A127,'[1]24-8-24 DATA ENTRY'!$A$1:$BR$303,27,FALSE)</f>
        <v>13</v>
      </c>
      <c r="AC127" s="9">
        <f>VLOOKUP($A127,'[1]24-8-24 DATA ENTRY'!$A$1:$BR$303,28,FALSE)</f>
        <v>193</v>
      </c>
      <c r="AD127" s="9">
        <f>VLOOKUP($A127,'[1]24-8-24 DATA ENTRY'!$A$1:$BR$303,29,FALSE)</f>
        <v>124.6</v>
      </c>
      <c r="AE127" s="9">
        <f>VLOOKUP($A127,'[1]24-8-24 DATA ENTRY'!$A$1:$BR$2303,30,FALSE)</f>
        <v>39</v>
      </c>
      <c r="AF127" s="9">
        <f>VLOOKUP($A127,'[1]24-8-24 DATA ENTRY'!$A$1:$BR$303,31,FALSE)</f>
        <v>29.4</v>
      </c>
      <c r="AG127" s="9">
        <f>VLOOKUP($A127,'[1]24-8-24 DATA ENTRY'!$A$1:$BR$303,32,FALSE)</f>
        <v>147</v>
      </c>
      <c r="AH127" s="9">
        <f>VLOOKUP($A127,'[1]24-8-24 DATA ENTRY'!$A$1:$BR$303,33,FALSE)</f>
        <v>192</v>
      </c>
      <c r="AI127" s="9">
        <f>VLOOKUP($A127,'[1]24-8-24 DATA ENTRY'!$A$1:$BR$303,34,FALSE)</f>
        <v>0</v>
      </c>
      <c r="AJ127" s="9">
        <f>VLOOKUP($A127,'[1]24-8-24 DATA ENTRY'!$A$1:$BR$303,35,FALSE)</f>
        <v>0</v>
      </c>
      <c r="AK127" s="9" t="str">
        <f>VLOOKUP($A127,'[1]24-8-24 DATA ENTRY'!$A$1:$BR$303,36,FALSE)</f>
        <v>Right MCA infarct</v>
      </c>
      <c r="AL127" s="9" t="str">
        <f>VLOOKUP($A127,'[1]24-8-24 DATA ENTRY'!$A$1:$BR$303,37,FALSE)</f>
        <v>Right M3 thrombus, Occlusion distal M1 segment of the right MCA</v>
      </c>
      <c r="AM127" s="9">
        <f>VLOOKUP($A127,'[1]24-8-24 DATA ENTRY'!$A$1:$BR$303,38,FALSE)</f>
        <v>0</v>
      </c>
      <c r="AN127" s="9">
        <f>VLOOKUP($A127,'[1]24-8-24 DATA ENTRY'!$A$1:$BR$303,39,FALSE)</f>
        <v>9</v>
      </c>
      <c r="AO127" s="9">
        <f>VLOOKUP($A127,'[1]24-8-24 DATA ENTRY'!$A$1:$BR$303,40,FALSE)</f>
        <v>1</v>
      </c>
      <c r="AP127" s="9">
        <f>VLOOKUP($A127,'[1]24-8-24 DATA ENTRY'!$A$1:$BR$303,41,FALSE)</f>
        <v>2</v>
      </c>
      <c r="AQ127" s="9">
        <f>VLOOKUP($A127,'[1]24-8-24 DATA ENTRY'!$A$1:$BR$303,42,FALSE)</f>
        <v>3</v>
      </c>
      <c r="AR127" s="9">
        <f>VLOOKUP($A127,'[1]24-8-24 DATA ENTRY'!$A$1:$BR$303,43,FALSE)</f>
        <v>5</v>
      </c>
      <c r="AS127" s="9">
        <f>VLOOKUP($A127,'[1]24-8-24 DATA ENTRY'!$A$1:$BR$303,44,FALSE)</f>
        <v>0</v>
      </c>
      <c r="AT127" s="9">
        <f>VLOOKUP($A127,'[1]24-8-24 DATA ENTRY'!$A$1:$BR$303,45,FALSE)</f>
        <v>1</v>
      </c>
      <c r="AU127" s="9">
        <f>VLOOKUP($A127,'[1]24-8-24 DATA ENTRY'!$A$1:$BR$303,46,FALSE)</f>
        <v>2</v>
      </c>
      <c r="AV127" s="9">
        <f>VLOOKUP($A127,'[1]24-8-24 DATA ENTRY'!$A$1:$BR$303,47,FALSE)</f>
        <v>1</v>
      </c>
      <c r="AW127" s="9">
        <f>VLOOKUP($A127,'[1]24-8-24 DATA ENTRY'!$A$1:$BR$303,48,FALSE)</f>
        <v>1</v>
      </c>
      <c r="AX127" s="9">
        <f>VLOOKUP($A127,'[1]24-8-24 DATA ENTRY'!$A$1:$BR$303,49,FALSE)</f>
        <v>0</v>
      </c>
      <c r="AY127" s="9">
        <f>VLOOKUP($A127,'[1]24-8-24 DATA ENTRY'!$A$1:$BR$303,50,FALSE)</f>
        <v>0</v>
      </c>
      <c r="AZ127" s="9">
        <f>VLOOKUP($A127,'[1]24-8-24 DATA ENTRY'!$A$1:$BR$303,51,FALSE)</f>
        <v>0</v>
      </c>
      <c r="BA127" s="9">
        <f>VLOOKUP($A127,'[1]24-8-24 DATA ENTRY'!$A$1:$BR$303,52,FALSE)</f>
        <v>0</v>
      </c>
      <c r="BB127" s="5">
        <v>1</v>
      </c>
      <c r="BC127" s="9">
        <f>VLOOKUP($A127,'[1]24-8-24 DATA ENTRY'!$A$1:$BR$303,53,FALSE)</f>
        <v>100</v>
      </c>
      <c r="BD127" s="5">
        <v>1</v>
      </c>
      <c r="BE127" s="5">
        <v>2</v>
      </c>
      <c r="BF127" s="5">
        <v>2</v>
      </c>
      <c r="BG127" s="5">
        <v>0</v>
      </c>
      <c r="BH127" s="5">
        <v>1</v>
      </c>
      <c r="BI127" s="5">
        <v>1</v>
      </c>
      <c r="BJ127" s="5">
        <v>1</v>
      </c>
      <c r="BK127" s="5">
        <v>1</v>
      </c>
      <c r="BL127" s="5">
        <v>2</v>
      </c>
      <c r="BM127" s="5">
        <v>2</v>
      </c>
      <c r="BN127" s="5">
        <v>2</v>
      </c>
      <c r="BO127" s="5">
        <v>1</v>
      </c>
      <c r="BP127" s="5">
        <v>1</v>
      </c>
      <c r="BQ127" s="5">
        <v>1</v>
      </c>
      <c r="BR127" s="5">
        <v>18</v>
      </c>
      <c r="BS127" s="5">
        <v>1</v>
      </c>
      <c r="BT127" s="5">
        <v>1</v>
      </c>
      <c r="BU127" s="5"/>
    </row>
    <row r="128" spans="1:73" x14ac:dyDescent="0.25">
      <c r="A128" s="12" t="s">
        <v>292</v>
      </c>
      <c r="B128" s="5">
        <v>1</v>
      </c>
      <c r="C128" s="12">
        <v>31.741900000000001</v>
      </c>
      <c r="D128" s="13">
        <v>230903211</v>
      </c>
      <c r="E128" s="12">
        <v>57</v>
      </c>
      <c r="F128" s="12">
        <v>1</v>
      </c>
      <c r="G128" s="14">
        <v>45189</v>
      </c>
      <c r="H128" s="16">
        <v>0.41666666666666669</v>
      </c>
      <c r="I128" s="14">
        <v>45189</v>
      </c>
      <c r="J128" s="14">
        <v>45198</v>
      </c>
      <c r="K128" s="12"/>
      <c r="L128" s="12"/>
      <c r="M128" s="12">
        <v>1</v>
      </c>
      <c r="N128" s="12">
        <v>1</v>
      </c>
      <c r="O128" s="12">
        <v>1</v>
      </c>
      <c r="P128" s="12">
        <v>2</v>
      </c>
      <c r="Q128" s="12">
        <v>2</v>
      </c>
      <c r="R128" s="12">
        <v>2</v>
      </c>
      <c r="S128" s="12">
        <v>2</v>
      </c>
      <c r="T128" s="12">
        <v>2</v>
      </c>
      <c r="U128" s="12">
        <v>2</v>
      </c>
      <c r="V128" s="12">
        <v>2</v>
      </c>
      <c r="W128" s="12"/>
      <c r="X128" s="12">
        <v>12.3</v>
      </c>
      <c r="Y128" s="12"/>
      <c r="Z128" s="12"/>
      <c r="AA128" s="12">
        <v>77.17</v>
      </c>
      <c r="AB128" s="12">
        <v>8.6</v>
      </c>
      <c r="AC128" s="12">
        <v>180</v>
      </c>
      <c r="AD128" s="12">
        <v>64.8</v>
      </c>
      <c r="AE128" s="12">
        <v>25</v>
      </c>
      <c r="AF128" s="12">
        <v>90.2</v>
      </c>
      <c r="AG128" s="12">
        <v>451</v>
      </c>
      <c r="AH128" s="12"/>
      <c r="AI128" s="12"/>
      <c r="AJ128" s="12"/>
      <c r="AK128" s="12" t="s">
        <v>293</v>
      </c>
      <c r="AL128" s="12" t="s">
        <v>294</v>
      </c>
      <c r="AM128" s="12"/>
      <c r="AN128" s="12">
        <v>10</v>
      </c>
      <c r="AO128" s="12">
        <v>1</v>
      </c>
      <c r="AP128" s="12">
        <v>4</v>
      </c>
      <c r="AQ128" s="12">
        <v>3</v>
      </c>
      <c r="AR128" s="12">
        <v>5</v>
      </c>
      <c r="AS128" s="12"/>
      <c r="AT128" s="12">
        <v>1</v>
      </c>
      <c r="AU128" s="12">
        <v>2</v>
      </c>
      <c r="AV128" s="12">
        <v>1</v>
      </c>
      <c r="AW128" s="12">
        <v>2</v>
      </c>
      <c r="AX128" s="12"/>
      <c r="AY128" s="12"/>
      <c r="AZ128" s="12"/>
      <c r="BA128" s="12">
        <v>0</v>
      </c>
      <c r="BB128" s="5">
        <v>1</v>
      </c>
      <c r="BC128" s="12">
        <v>100</v>
      </c>
      <c r="BD128" s="12">
        <v>1</v>
      </c>
      <c r="BE128" s="12">
        <v>2</v>
      </c>
      <c r="BF128" s="12">
        <v>2</v>
      </c>
      <c r="BG128" s="12">
        <v>2</v>
      </c>
      <c r="BH128" s="12">
        <v>1</v>
      </c>
      <c r="BI128" s="12">
        <v>1</v>
      </c>
      <c r="BJ128" s="12">
        <v>1</v>
      </c>
      <c r="BK128" s="12">
        <v>1</v>
      </c>
      <c r="BL128" s="12">
        <v>2</v>
      </c>
      <c r="BM128" s="12">
        <v>1</v>
      </c>
      <c r="BN128" s="12">
        <v>2</v>
      </c>
      <c r="BO128" s="12">
        <v>1</v>
      </c>
      <c r="BP128" s="12">
        <v>1</v>
      </c>
      <c r="BQ128" s="12">
        <v>1</v>
      </c>
      <c r="BR128" s="12">
        <v>19</v>
      </c>
      <c r="BS128" s="12">
        <v>1</v>
      </c>
      <c r="BT128" s="12">
        <v>1</v>
      </c>
      <c r="BU128" s="12" t="s">
        <v>295</v>
      </c>
    </row>
    <row r="129" spans="1:73" x14ac:dyDescent="0.25">
      <c r="A129" s="12" t="s">
        <v>140</v>
      </c>
      <c r="B129" s="5">
        <v>1</v>
      </c>
      <c r="C129" s="12">
        <v>31.8582</v>
      </c>
      <c r="D129" s="9">
        <f>VLOOKUP($A129,'[1]24-8-24 DATA ENTRY'!$A$1:$BR$278,3,FALSE)</f>
        <v>240000030601</v>
      </c>
      <c r="E129" s="9">
        <f>VLOOKUP($A129,'[1]24-8-24 DATA ENTRY'!$A$1:$BR$278,4,FALSE)</f>
        <v>70</v>
      </c>
      <c r="F129" s="9">
        <f>VLOOKUP($A129,'[1]24-8-24 DATA ENTRY'!$A$1:$BR$278,5,FALSE)</f>
        <v>1</v>
      </c>
      <c r="G129" s="10">
        <f>VLOOKUP($A129,'[1]24-8-24 DATA ENTRY'!$A$1:$BR$278,6,FALSE)</f>
        <v>45380</v>
      </c>
      <c r="H129" s="9">
        <f>VLOOKUP($A129,'[1]24-8-24 DATA ENTRY'!$A$1:$BR$278,7,FALSE)</f>
        <v>0.875</v>
      </c>
      <c r="I129" s="10">
        <f>VLOOKUP($A129,'[1]24-8-24 DATA ENTRY'!$A$1:$BR$278,8,FALSE)</f>
        <v>45381</v>
      </c>
      <c r="J129" s="10">
        <f>VLOOKUP($A129,'[1]24-8-24 DATA ENTRY'!$A$1:$BR$278,9,FALSE)</f>
        <v>0</v>
      </c>
      <c r="K129" s="9">
        <f>VLOOKUP($A129,'[1]24-8-24 DATA ENTRY'!$A$1:$BR$278,10,FALSE)</f>
        <v>0</v>
      </c>
      <c r="L129" s="9">
        <f>VLOOKUP($A129,'[1]24-8-24 DATA ENTRY'!$A$1:$BR$278,11,FALSE)</f>
        <v>0</v>
      </c>
      <c r="M129" s="9">
        <f>VLOOKUP($A129,'[1]24-8-24 DATA ENTRY'!$A$1:$BR$278,12,FALSE)</f>
        <v>14</v>
      </c>
      <c r="N129" s="9">
        <f>VLOOKUP($A129,'[1]24-8-24 DATA ENTRY'!$A$1:$BR$278,13,FALSE)</f>
        <v>2</v>
      </c>
      <c r="O129" s="9">
        <f>VLOOKUP($A129,'[1]24-8-24 DATA ENTRY'!$A$1:$BR$278,14,FALSE)</f>
        <v>2</v>
      </c>
      <c r="P129" s="9">
        <f>VLOOKUP($A129,'[1]24-8-24 DATA ENTRY'!$A$1:$BR$278,15,FALSE)</f>
        <v>1</v>
      </c>
      <c r="Q129" s="9">
        <f>VLOOKUP($A129,'[1]24-8-24 DATA ENTRY'!$A$1:$BR$278,16,FALSE)</f>
        <v>1</v>
      </c>
      <c r="R129" s="9">
        <f>VLOOKUP($A129,'[1]24-8-24 DATA ENTRY'!$A$1:$BR$278,17,FALSE)</f>
        <v>2</v>
      </c>
      <c r="S129" s="9">
        <f>VLOOKUP($A129,'[1]24-8-24 DATA ENTRY'!$A$1:$BR$278,18,FALSE)</f>
        <v>2</v>
      </c>
      <c r="T129" s="9">
        <f>VLOOKUP($A129,'[1]24-8-24 DATA ENTRY'!$A$1:$BR$278,19,FALSE)</f>
        <v>2</v>
      </c>
      <c r="U129" s="9">
        <f>VLOOKUP($A129,'[1]24-8-24 DATA ENTRY'!$A$1:$BR$278,20,FALSE)</f>
        <v>2</v>
      </c>
      <c r="V129" s="9">
        <f>VLOOKUP($A129,'[1]24-8-24 DATA ENTRY'!$A$1:$BR$278,21,FALSE)</f>
        <v>2</v>
      </c>
      <c r="W129" s="9">
        <f>VLOOKUP($A129,'[1]24-8-24 DATA ENTRY'!$A$1:$BR$278,22,FALSE)</f>
        <v>0</v>
      </c>
      <c r="X129" s="9">
        <f>VLOOKUP($A129,'[1]24-8-24 DATA ENTRY'!$A$1:$BR$278,23,FALSE)</f>
        <v>13.5</v>
      </c>
      <c r="Y129" s="9">
        <f>VLOOKUP($A129,'[1]24-8-24 DATA ENTRY'!$A$1:$BR$278,24,FALSE)</f>
        <v>41.4</v>
      </c>
      <c r="Z129" s="9">
        <f>VLOOKUP($A129,'[1]24-8-24 DATA ENTRY'!$A$1:$BR$278,25,FALSE)</f>
        <v>87.6</v>
      </c>
      <c r="AA129" s="9">
        <f>VLOOKUP($A129,'[1]24-8-24 DATA ENTRY'!$A$1:$BR$278,26,FALSE)</f>
        <v>41.69</v>
      </c>
      <c r="AB129" s="9">
        <f>VLOOKUP($A129,'[1]24-8-24 DATA ENTRY'!$A$1:$BR$278,27,FALSE)</f>
        <v>6.9</v>
      </c>
      <c r="AC129" s="9">
        <f>VLOOKUP($A129,'[1]24-8-24 DATA ENTRY'!$A$1:$BR$278,28,FALSE)</f>
        <v>195</v>
      </c>
      <c r="AD129" s="9">
        <f>VLOOKUP($A129,'[1]24-8-24 DATA ENTRY'!$A$1:$BR$278,29,FALSE)</f>
        <v>125.2</v>
      </c>
      <c r="AE129" s="9">
        <f>VLOOKUP($A129,'[1]24-8-24 DATA ENTRY'!$A$1:$BR$278,30,FALSE)</f>
        <v>50</v>
      </c>
      <c r="AF129" s="9">
        <f>VLOOKUP($A129,'[1]24-8-24 DATA ENTRY'!$A$1:$BR$278,31,FALSE)</f>
        <v>19.8</v>
      </c>
      <c r="AG129" s="9">
        <f>VLOOKUP($A129,'[1]24-8-24 DATA ENTRY'!$A$1:$BR$278,32,FALSE)</f>
        <v>99</v>
      </c>
      <c r="AH129" s="9">
        <f>VLOOKUP($A129,'[1]24-8-24 DATA ENTRY'!$A$1:$BR$278,33,FALSE)</f>
        <v>0</v>
      </c>
      <c r="AI129" s="9">
        <f>VLOOKUP($A129,'[1]24-8-24 DATA ENTRY'!$A$1:$BR$278,34,FALSE)</f>
        <v>0</v>
      </c>
      <c r="AJ129" s="9">
        <f>VLOOKUP($A129,'[1]24-8-24 DATA ENTRY'!$A$1:$BR$278,35,FALSE)</f>
        <v>0</v>
      </c>
      <c r="AK129" s="9" t="str">
        <f>VLOOKUP($A129,'[1]24-8-24 DATA ENTRY'!$A$1:$BR$278,36,FALSE)</f>
        <v>rt PCA-MCA watershed and Rt territory watershed infarct</v>
      </c>
      <c r="AL129" s="9" t="str">
        <f>VLOOKUP($A129,'[1]24-8-24 DATA ENTRY'!$A$1:$BR$278,37,FALSE)</f>
        <v>rt M1 thrombosis, ? Rt ICA stenosis</v>
      </c>
      <c r="AM129" s="9">
        <f>VLOOKUP($A129,'[1]24-8-24 DATA ENTRY'!$A$1:$BR$278,38,FALSE)</f>
        <v>0</v>
      </c>
      <c r="AN129" s="9">
        <f>VLOOKUP($A129,'[1]24-8-24 DATA ENTRY'!$A$1:$BR$278,39,FALSE)</f>
        <v>8</v>
      </c>
      <c r="AO129" s="9">
        <f>VLOOKUP($A129,'[1]24-8-24 DATA ENTRY'!$A$1:$BR$278,40,FALSE)</f>
        <v>2</v>
      </c>
      <c r="AP129" s="9">
        <f>VLOOKUP($A129,'[1]24-8-24 DATA ENTRY'!$A$1:$BR$278,41,FALSE)</f>
        <v>2</v>
      </c>
      <c r="AQ129" s="9">
        <f>VLOOKUP($A129,'[1]24-8-24 DATA ENTRY'!$A$1:$BR$278,42,FALSE)</f>
        <v>3</v>
      </c>
      <c r="AR129" s="9">
        <f>VLOOKUP($A129,'[1]24-8-24 DATA ENTRY'!$A$1:$BR$278,43,FALSE)</f>
        <v>4</v>
      </c>
      <c r="AS129" s="9">
        <f>VLOOKUP($A129,'[1]24-8-24 DATA ENTRY'!$A$1:$BR$278,44,FALSE)</f>
        <v>0</v>
      </c>
      <c r="AT129" s="9">
        <f>VLOOKUP($A129,'[1]24-8-24 DATA ENTRY'!$A$1:$BR$278,45,FALSE)</f>
        <v>1</v>
      </c>
      <c r="AU129" s="9">
        <f>VLOOKUP($A129,'[1]24-8-24 DATA ENTRY'!$A$1:$BR$278,46,FALSE)</f>
        <v>2</v>
      </c>
      <c r="AV129" s="9">
        <f>VLOOKUP($A129,'[1]24-8-24 DATA ENTRY'!$A$1:$BR$278,47,FALSE)</f>
        <v>2</v>
      </c>
      <c r="AW129" s="9">
        <f>VLOOKUP($A129,'[1]24-8-24 DATA ENTRY'!$A$1:$BR$278,48,FALSE)</f>
        <v>0</v>
      </c>
      <c r="AX129" s="9">
        <f>VLOOKUP($A129,'[1]24-8-24 DATA ENTRY'!$A$1:$BR$278,49,FALSE)</f>
        <v>0</v>
      </c>
      <c r="AY129" s="9">
        <f>VLOOKUP($A129,'[1]24-8-24 DATA ENTRY'!$A$1:$BR$278,50,FALSE)</f>
        <v>0</v>
      </c>
      <c r="AZ129" s="9">
        <f>VLOOKUP($A129,'[1]24-8-24 DATA ENTRY'!$A$1:$BR$278,51,FALSE)</f>
        <v>0</v>
      </c>
      <c r="BA129" s="9">
        <f>VLOOKUP($A129,'[1]24-8-24 DATA ENTRY'!$A$1:$BR$278,52,FALSE)</f>
        <v>1</v>
      </c>
      <c r="BB129" s="5">
        <v>1</v>
      </c>
      <c r="BC129" s="9">
        <f>VLOOKUP($A129,'[1]24-8-24 DATA ENTRY'!$A$1:$BR$278,53,FALSE)</f>
        <v>80</v>
      </c>
      <c r="BD129" s="12">
        <v>0</v>
      </c>
      <c r="BE129" s="12">
        <v>2</v>
      </c>
      <c r="BF129" s="12">
        <v>2</v>
      </c>
      <c r="BG129" s="12">
        <v>0</v>
      </c>
      <c r="BH129" s="12">
        <v>1</v>
      </c>
      <c r="BI129" s="12">
        <v>1</v>
      </c>
      <c r="BJ129" s="12">
        <v>1</v>
      </c>
      <c r="BK129" s="12">
        <v>0</v>
      </c>
      <c r="BL129" s="12">
        <v>2</v>
      </c>
      <c r="BM129" s="12">
        <v>2</v>
      </c>
      <c r="BN129" s="12">
        <v>2</v>
      </c>
      <c r="BO129" s="12">
        <v>1</v>
      </c>
      <c r="BP129" s="12">
        <v>1</v>
      </c>
      <c r="BQ129" s="12">
        <v>1</v>
      </c>
      <c r="BR129" s="12">
        <v>16</v>
      </c>
      <c r="BS129" s="12">
        <v>1</v>
      </c>
      <c r="BT129" s="12">
        <v>1</v>
      </c>
      <c r="BU129" s="12"/>
    </row>
    <row r="130" spans="1:73" x14ac:dyDescent="0.25">
      <c r="A130" s="12" t="s">
        <v>141</v>
      </c>
      <c r="B130" s="5">
        <v>1</v>
      </c>
      <c r="C130" s="12">
        <v>32.695999999999998</v>
      </c>
      <c r="D130" s="13">
        <v>231000030</v>
      </c>
      <c r="E130" s="12">
        <v>40</v>
      </c>
      <c r="F130" s="12">
        <v>1</v>
      </c>
      <c r="G130" s="14">
        <v>45200</v>
      </c>
      <c r="H130" s="16">
        <v>0.36458333333333331</v>
      </c>
      <c r="I130" s="14">
        <v>45200</v>
      </c>
      <c r="J130" s="14">
        <v>45204</v>
      </c>
      <c r="K130" s="12">
        <v>9623021212</v>
      </c>
      <c r="L130" s="12"/>
      <c r="M130" s="12">
        <v>10</v>
      </c>
      <c r="N130" s="12">
        <v>2</v>
      </c>
      <c r="O130" s="12">
        <v>2</v>
      </c>
      <c r="P130" s="12">
        <v>2</v>
      </c>
      <c r="Q130" s="12">
        <v>2</v>
      </c>
      <c r="R130" s="12">
        <v>2</v>
      </c>
      <c r="S130" s="12">
        <v>2</v>
      </c>
      <c r="T130" s="12">
        <v>2</v>
      </c>
      <c r="U130" s="12">
        <v>2</v>
      </c>
      <c r="V130" s="12">
        <v>2</v>
      </c>
      <c r="W130" s="12"/>
      <c r="X130" s="12">
        <v>15.2</v>
      </c>
      <c r="Y130" s="12">
        <v>46</v>
      </c>
      <c r="Z130" s="12">
        <v>96</v>
      </c>
      <c r="AA130" s="12">
        <v>14.32</v>
      </c>
      <c r="AB130" s="12">
        <v>5.5</v>
      </c>
      <c r="AC130" s="12">
        <v>175</v>
      </c>
      <c r="AD130" s="12">
        <v>120</v>
      </c>
      <c r="AE130" s="12">
        <v>29</v>
      </c>
      <c r="AF130" s="12">
        <v>25</v>
      </c>
      <c r="AG130" s="12">
        <v>126</v>
      </c>
      <c r="AH130" s="12">
        <v>148</v>
      </c>
      <c r="AI130" s="12"/>
      <c r="AJ130" s="12"/>
      <c r="AK130" s="12" t="s">
        <v>142</v>
      </c>
      <c r="AL130" s="12" t="s">
        <v>143</v>
      </c>
      <c r="AM130" s="12"/>
      <c r="AN130" s="12">
        <v>10</v>
      </c>
      <c r="AO130" s="12">
        <v>1</v>
      </c>
      <c r="AP130" s="12">
        <v>5</v>
      </c>
      <c r="AQ130" s="12">
        <v>3</v>
      </c>
      <c r="AR130" s="12">
        <v>5</v>
      </c>
      <c r="AS130" s="12"/>
      <c r="AT130" s="12"/>
      <c r="AU130" s="12"/>
      <c r="AV130" s="12"/>
      <c r="AW130" s="12"/>
      <c r="AX130" s="12"/>
      <c r="AY130" s="12"/>
      <c r="AZ130" s="12"/>
      <c r="BA130" s="12">
        <v>1</v>
      </c>
      <c r="BB130" s="5">
        <v>1</v>
      </c>
      <c r="BC130" s="12">
        <v>100</v>
      </c>
      <c r="BD130" s="12">
        <v>1</v>
      </c>
      <c r="BE130" s="12">
        <v>2</v>
      </c>
      <c r="BF130" s="12">
        <v>2</v>
      </c>
      <c r="BG130" s="12">
        <v>0</v>
      </c>
      <c r="BH130" s="12">
        <v>0</v>
      </c>
      <c r="BI130" s="12">
        <v>0</v>
      </c>
      <c r="BJ130" s="12">
        <v>1</v>
      </c>
      <c r="BK130" s="12">
        <v>1</v>
      </c>
      <c r="BL130" s="12">
        <v>2</v>
      </c>
      <c r="BM130" s="12">
        <v>2</v>
      </c>
      <c r="BN130" s="12">
        <v>2</v>
      </c>
      <c r="BO130" s="12">
        <v>1</v>
      </c>
      <c r="BP130" s="12">
        <v>1</v>
      </c>
      <c r="BQ130" s="12">
        <v>1</v>
      </c>
      <c r="BR130" s="12">
        <v>16</v>
      </c>
      <c r="BS130" s="12">
        <v>1</v>
      </c>
      <c r="BT130" s="12">
        <v>1</v>
      </c>
      <c r="BU130" s="12"/>
    </row>
    <row r="131" spans="1:73" x14ac:dyDescent="0.25">
      <c r="A131" s="12" t="s">
        <v>296</v>
      </c>
      <c r="B131" s="5">
        <v>1</v>
      </c>
      <c r="C131" s="12">
        <v>32.797699999999999</v>
      </c>
      <c r="D131" s="13">
        <v>230104302</v>
      </c>
      <c r="E131" s="12">
        <v>52</v>
      </c>
      <c r="F131" s="12">
        <v>1</v>
      </c>
      <c r="G131" s="14"/>
      <c r="H131" s="12"/>
      <c r="I131" s="14">
        <v>44949</v>
      </c>
      <c r="J131" s="14">
        <v>44950</v>
      </c>
      <c r="K131" s="12">
        <v>9545062949</v>
      </c>
      <c r="L131" s="12"/>
      <c r="M131" s="12">
        <v>6</v>
      </c>
      <c r="N131" s="12">
        <v>1</v>
      </c>
      <c r="O131" s="12">
        <v>2</v>
      </c>
      <c r="P131" s="12">
        <v>2</v>
      </c>
      <c r="Q131" s="12">
        <v>2</v>
      </c>
      <c r="R131" s="12">
        <v>2</v>
      </c>
      <c r="S131" s="12">
        <v>2</v>
      </c>
      <c r="T131" s="12">
        <v>2</v>
      </c>
      <c r="U131" s="12">
        <v>2</v>
      </c>
      <c r="V131" s="12">
        <v>2</v>
      </c>
      <c r="W131" s="12" t="s">
        <v>297</v>
      </c>
      <c r="X131" s="12">
        <v>13.4</v>
      </c>
      <c r="Y131" s="12">
        <v>41.5</v>
      </c>
      <c r="Z131" s="12"/>
      <c r="AA131" s="12">
        <v>40.700000000000003</v>
      </c>
      <c r="AB131" s="12"/>
      <c r="AC131" s="12"/>
      <c r="AD131" s="12"/>
      <c r="AE131" s="12"/>
      <c r="AF131" s="12"/>
      <c r="AG131" s="12"/>
      <c r="AH131" s="12">
        <v>241</v>
      </c>
      <c r="AI131" s="12"/>
      <c r="AJ131" s="12"/>
      <c r="AK131" s="12" t="s">
        <v>298</v>
      </c>
      <c r="AL131" s="12" t="s">
        <v>299</v>
      </c>
      <c r="AM131" s="12"/>
      <c r="AN131" s="12">
        <v>8</v>
      </c>
      <c r="AO131" s="12">
        <v>1</v>
      </c>
      <c r="AP131" s="12">
        <v>3</v>
      </c>
      <c r="AQ131" s="12">
        <v>3</v>
      </c>
      <c r="AR131" s="12">
        <v>5</v>
      </c>
      <c r="AS131" s="12"/>
      <c r="AT131" s="12">
        <v>1</v>
      </c>
      <c r="AU131" s="12">
        <v>1</v>
      </c>
      <c r="AV131" s="12">
        <v>2</v>
      </c>
      <c r="AW131" s="12"/>
      <c r="AX131" s="12"/>
      <c r="AY131" s="12"/>
      <c r="AZ131" s="12"/>
      <c r="BA131" s="12">
        <v>0</v>
      </c>
      <c r="BB131" s="5">
        <v>1</v>
      </c>
      <c r="BC131" s="12">
        <v>100</v>
      </c>
      <c r="BD131" s="12">
        <v>1</v>
      </c>
      <c r="BE131" s="12">
        <v>2</v>
      </c>
      <c r="BF131" s="12">
        <v>2</v>
      </c>
      <c r="BG131" s="12">
        <v>2</v>
      </c>
      <c r="BH131" s="12">
        <v>1</v>
      </c>
      <c r="BI131" s="12">
        <v>1</v>
      </c>
      <c r="BJ131" s="12">
        <v>1</v>
      </c>
      <c r="BK131" s="12">
        <v>1</v>
      </c>
      <c r="BL131" s="12">
        <v>2</v>
      </c>
      <c r="BM131" s="12">
        <v>2</v>
      </c>
      <c r="BN131" s="12">
        <v>2</v>
      </c>
      <c r="BO131" s="12">
        <v>1</v>
      </c>
      <c r="BP131" s="12">
        <v>0</v>
      </c>
      <c r="BQ131" s="12">
        <v>1</v>
      </c>
      <c r="BR131" s="12">
        <v>19</v>
      </c>
      <c r="BS131" s="12">
        <v>1</v>
      </c>
      <c r="BT131" s="12">
        <v>1</v>
      </c>
      <c r="BU131" s="12"/>
    </row>
    <row r="132" spans="1:73" x14ac:dyDescent="0.25">
      <c r="A132" s="5" t="s">
        <v>171</v>
      </c>
      <c r="B132" s="5">
        <v>1</v>
      </c>
      <c r="C132" s="5">
        <v>33.3934</v>
      </c>
      <c r="D132" s="6">
        <v>230205341</v>
      </c>
      <c r="E132" s="5">
        <v>58</v>
      </c>
      <c r="F132" s="5">
        <v>1</v>
      </c>
      <c r="G132" s="7">
        <v>44980</v>
      </c>
      <c r="H132" s="5"/>
      <c r="I132" s="7">
        <v>44984</v>
      </c>
      <c r="J132" s="7">
        <v>44988</v>
      </c>
      <c r="K132" s="5">
        <v>9673959376</v>
      </c>
      <c r="L132" s="5"/>
      <c r="M132" s="5">
        <v>7</v>
      </c>
      <c r="N132" s="5">
        <v>2</v>
      </c>
      <c r="O132" s="5">
        <v>2</v>
      </c>
      <c r="P132" s="5">
        <v>1</v>
      </c>
      <c r="Q132" s="5">
        <v>2</v>
      </c>
      <c r="R132" s="5">
        <v>2</v>
      </c>
      <c r="S132" s="5">
        <v>2</v>
      </c>
      <c r="T132" s="5">
        <v>2</v>
      </c>
      <c r="U132" s="5">
        <v>2</v>
      </c>
      <c r="V132" s="5">
        <v>2</v>
      </c>
      <c r="W132" s="5"/>
      <c r="X132" s="5">
        <v>15.4</v>
      </c>
      <c r="Y132" s="5">
        <v>45.8</v>
      </c>
      <c r="Z132" s="5"/>
      <c r="AA132" s="5">
        <v>15.67</v>
      </c>
      <c r="AB132" s="5">
        <v>5.6</v>
      </c>
      <c r="AC132" s="5"/>
      <c r="AD132" s="5"/>
      <c r="AE132" s="5"/>
      <c r="AF132" s="5"/>
      <c r="AG132" s="5"/>
      <c r="AH132" s="5">
        <v>2000</v>
      </c>
      <c r="AI132" s="5" t="s">
        <v>172</v>
      </c>
      <c r="AJ132" s="5"/>
      <c r="AK132" s="5" t="s">
        <v>173</v>
      </c>
      <c r="AL132" s="5" t="s">
        <v>174</v>
      </c>
      <c r="AM132" s="5"/>
      <c r="AN132" s="5">
        <v>8</v>
      </c>
      <c r="AO132" s="5" t="s">
        <v>720</v>
      </c>
      <c r="AP132" s="5">
        <v>3</v>
      </c>
      <c r="AQ132" s="5">
        <v>2</v>
      </c>
      <c r="AR132" s="5">
        <v>5</v>
      </c>
      <c r="AS132" s="5"/>
      <c r="AT132" s="5">
        <v>1</v>
      </c>
      <c r="AU132" s="5">
        <v>1</v>
      </c>
      <c r="AV132" s="5">
        <v>2</v>
      </c>
      <c r="AW132" s="5">
        <v>4</v>
      </c>
      <c r="AX132" s="5">
        <v>8</v>
      </c>
      <c r="AY132" s="5">
        <v>2</v>
      </c>
      <c r="AZ132" s="5">
        <v>2</v>
      </c>
      <c r="BA132" s="5">
        <v>0</v>
      </c>
      <c r="BB132" s="5">
        <v>1</v>
      </c>
      <c r="BC132" s="5">
        <v>100</v>
      </c>
      <c r="BD132" s="5">
        <v>0</v>
      </c>
      <c r="BE132" s="5">
        <v>2</v>
      </c>
      <c r="BF132" s="5">
        <v>1</v>
      </c>
      <c r="BG132" s="5">
        <v>2</v>
      </c>
      <c r="BH132" s="5">
        <v>1</v>
      </c>
      <c r="BI132" s="5">
        <v>1</v>
      </c>
      <c r="BJ132" s="5">
        <v>1</v>
      </c>
      <c r="BK132" s="5">
        <v>0</v>
      </c>
      <c r="BL132" s="5">
        <v>2</v>
      </c>
      <c r="BM132" s="5">
        <v>2</v>
      </c>
      <c r="BN132" s="5">
        <v>2</v>
      </c>
      <c r="BO132" s="5">
        <v>1</v>
      </c>
      <c r="BP132" s="5">
        <v>1</v>
      </c>
      <c r="BQ132" s="5">
        <v>1</v>
      </c>
      <c r="BR132" s="5">
        <v>17</v>
      </c>
      <c r="BS132" s="5">
        <v>1</v>
      </c>
      <c r="BT132" s="5">
        <v>1</v>
      </c>
      <c r="BU132" s="5"/>
    </row>
    <row r="133" spans="1:73" x14ac:dyDescent="0.25">
      <c r="A133" s="5" t="s">
        <v>214</v>
      </c>
      <c r="B133" s="5">
        <v>1</v>
      </c>
      <c r="C133" s="5">
        <v>34.250700000000002</v>
      </c>
      <c r="D133" s="6">
        <v>240000000000</v>
      </c>
      <c r="E133" s="5">
        <v>62</v>
      </c>
      <c r="F133" s="5">
        <v>1</v>
      </c>
      <c r="G133" s="7">
        <v>45301</v>
      </c>
      <c r="H133" s="11">
        <v>0.875</v>
      </c>
      <c r="I133" s="7">
        <v>45302</v>
      </c>
      <c r="J133" s="7">
        <v>45307</v>
      </c>
      <c r="K133" s="5">
        <v>8208224545</v>
      </c>
      <c r="L133" s="5">
        <v>7744911292</v>
      </c>
      <c r="M133" s="5">
        <v>5</v>
      </c>
      <c r="N133" s="5">
        <v>2</v>
      </c>
      <c r="O133" s="5">
        <v>1</v>
      </c>
      <c r="P133" s="5">
        <v>2</v>
      </c>
      <c r="Q133" s="5">
        <v>1</v>
      </c>
      <c r="R133" s="5">
        <v>2</v>
      </c>
      <c r="S133" s="5">
        <v>2</v>
      </c>
      <c r="T133" s="5">
        <v>2</v>
      </c>
      <c r="U133" s="5">
        <v>2</v>
      </c>
      <c r="V133" s="5">
        <v>2</v>
      </c>
      <c r="W133" s="5" t="s">
        <v>215</v>
      </c>
      <c r="X133" s="5">
        <v>13.4</v>
      </c>
      <c r="Y133" s="5">
        <v>39.799999999999997</v>
      </c>
      <c r="Z133" s="5">
        <v>90.5</v>
      </c>
      <c r="AA133" s="5">
        <v>10.59</v>
      </c>
      <c r="AB133" s="5"/>
      <c r="AC133" s="5">
        <v>209</v>
      </c>
      <c r="AD133" s="5">
        <v>135.4</v>
      </c>
      <c r="AE133" s="5">
        <v>29</v>
      </c>
      <c r="AF133" s="5">
        <v>44.6</v>
      </c>
      <c r="AG133" s="5">
        <v>223</v>
      </c>
      <c r="AH133" s="5">
        <v>217</v>
      </c>
      <c r="AI133" s="5"/>
      <c r="AJ133" s="5"/>
      <c r="AK133" s="5" t="s">
        <v>216</v>
      </c>
      <c r="AL133" s="5" t="s">
        <v>217</v>
      </c>
      <c r="AM133" s="5"/>
      <c r="AN133" s="5">
        <v>9</v>
      </c>
      <c r="AO133" s="5">
        <v>1</v>
      </c>
      <c r="AP133" s="5">
        <v>3</v>
      </c>
      <c r="AQ133" s="5">
        <v>3</v>
      </c>
      <c r="AR133" s="5">
        <v>5</v>
      </c>
      <c r="AS133" s="5"/>
      <c r="AT133" s="5">
        <v>1</v>
      </c>
      <c r="AU133" s="5">
        <v>1</v>
      </c>
      <c r="AV133" s="5">
        <v>2</v>
      </c>
      <c r="AW133" s="5">
        <v>4</v>
      </c>
      <c r="AX133" s="5"/>
      <c r="AY133" s="5"/>
      <c r="AZ133" s="5"/>
      <c r="BA133" s="5">
        <v>0</v>
      </c>
      <c r="BB133" s="5">
        <v>1</v>
      </c>
      <c r="BC133" s="5">
        <v>100</v>
      </c>
      <c r="BD133" s="5">
        <v>0</v>
      </c>
      <c r="BE133" s="5">
        <v>2</v>
      </c>
      <c r="BF133" s="5">
        <v>2</v>
      </c>
      <c r="BG133" s="5">
        <v>2</v>
      </c>
      <c r="BH133" s="5">
        <v>1</v>
      </c>
      <c r="BI133" s="5">
        <v>0</v>
      </c>
      <c r="BJ133" s="5">
        <v>1</v>
      </c>
      <c r="BK133" s="5">
        <v>1</v>
      </c>
      <c r="BL133" s="5">
        <v>2</v>
      </c>
      <c r="BM133" s="5">
        <v>2</v>
      </c>
      <c r="BN133" s="5">
        <v>2</v>
      </c>
      <c r="BO133" s="5">
        <v>1</v>
      </c>
      <c r="BP133" s="5">
        <v>1</v>
      </c>
      <c r="BQ133" s="5">
        <v>1</v>
      </c>
      <c r="BR133" s="5">
        <v>18</v>
      </c>
      <c r="BS133" s="5">
        <v>1</v>
      </c>
      <c r="BT133" s="5">
        <v>1</v>
      </c>
      <c r="BU133" s="5"/>
    </row>
    <row r="134" spans="1:73" x14ac:dyDescent="0.25">
      <c r="A134" s="5" t="s">
        <v>144</v>
      </c>
      <c r="B134" s="5">
        <v>1</v>
      </c>
      <c r="C134" s="5">
        <v>35.122500000000002</v>
      </c>
      <c r="D134" s="6"/>
      <c r="E134" s="5">
        <v>32</v>
      </c>
      <c r="F134" s="5">
        <v>1</v>
      </c>
      <c r="G134" s="7">
        <v>44981</v>
      </c>
      <c r="H134" s="11">
        <v>0.375</v>
      </c>
      <c r="I134" s="7">
        <v>44981</v>
      </c>
      <c r="J134" s="7">
        <v>44988</v>
      </c>
      <c r="K134" s="5">
        <v>9822008662</v>
      </c>
      <c r="L134" s="5"/>
      <c r="M134" s="5">
        <v>10</v>
      </c>
      <c r="N134" s="5">
        <v>2</v>
      </c>
      <c r="O134" s="5">
        <v>2</v>
      </c>
      <c r="P134" s="5">
        <v>2</v>
      </c>
      <c r="Q134" s="5">
        <v>2</v>
      </c>
      <c r="R134" s="5">
        <v>2</v>
      </c>
      <c r="S134" s="5">
        <v>2</v>
      </c>
      <c r="T134" s="5">
        <v>2</v>
      </c>
      <c r="U134" s="5">
        <v>2</v>
      </c>
      <c r="V134" s="5">
        <v>1</v>
      </c>
      <c r="W134" s="5"/>
      <c r="X134" s="5">
        <v>14.5</v>
      </c>
      <c r="Y134" s="5">
        <v>44.6</v>
      </c>
      <c r="Z134" s="5"/>
      <c r="AA134" s="5">
        <v>11.6</v>
      </c>
      <c r="AB134" s="5"/>
      <c r="AC134" s="5">
        <v>138</v>
      </c>
      <c r="AD134" s="5">
        <v>81</v>
      </c>
      <c r="AE134" s="5">
        <v>34</v>
      </c>
      <c r="AF134" s="5">
        <v>23</v>
      </c>
      <c r="AG134" s="5">
        <v>115</v>
      </c>
      <c r="AH134" s="5">
        <v>313</v>
      </c>
      <c r="AI134" s="5" t="s">
        <v>145</v>
      </c>
      <c r="AJ134" s="5"/>
      <c r="AK134" s="5" t="s">
        <v>146</v>
      </c>
      <c r="AL134" s="5" t="s">
        <v>147</v>
      </c>
      <c r="AM134" s="5"/>
      <c r="AN134" s="5">
        <v>10</v>
      </c>
      <c r="AO134" s="5" t="s">
        <v>720</v>
      </c>
      <c r="AP134" s="5">
        <v>3</v>
      </c>
      <c r="AQ134" s="5">
        <v>2</v>
      </c>
      <c r="AR134" s="5">
        <v>5</v>
      </c>
      <c r="AS134" s="5"/>
      <c r="AT134" s="5">
        <v>1</v>
      </c>
      <c r="AU134" s="5">
        <v>1</v>
      </c>
      <c r="AV134" s="5">
        <v>2</v>
      </c>
      <c r="AW134" s="5"/>
      <c r="AX134" s="5">
        <v>1</v>
      </c>
      <c r="AY134" s="5"/>
      <c r="AZ134" s="5"/>
      <c r="BA134" s="5">
        <v>1</v>
      </c>
      <c r="BB134" s="5">
        <v>1</v>
      </c>
      <c r="BC134" s="5">
        <v>100</v>
      </c>
      <c r="BD134" s="5">
        <v>1</v>
      </c>
      <c r="BE134" s="5">
        <v>2</v>
      </c>
      <c r="BF134" s="5">
        <v>2</v>
      </c>
      <c r="BG134" s="5">
        <v>2</v>
      </c>
      <c r="BH134" s="5">
        <v>1</v>
      </c>
      <c r="BI134" s="5">
        <v>1</v>
      </c>
      <c r="BJ134" s="5">
        <v>1</v>
      </c>
      <c r="BK134" s="5">
        <v>1</v>
      </c>
      <c r="BL134" s="5">
        <v>2</v>
      </c>
      <c r="BM134" s="5">
        <v>0</v>
      </c>
      <c r="BN134" s="5">
        <v>0</v>
      </c>
      <c r="BO134" s="5">
        <v>1</v>
      </c>
      <c r="BP134" s="5">
        <v>1</v>
      </c>
      <c r="BQ134" s="5">
        <v>1</v>
      </c>
      <c r="BR134" s="5">
        <v>16</v>
      </c>
      <c r="BS134" s="5">
        <v>1</v>
      </c>
      <c r="BT134" s="5">
        <v>1</v>
      </c>
      <c r="BU134" s="5"/>
    </row>
    <row r="135" spans="1:73" x14ac:dyDescent="0.25">
      <c r="A135" s="5" t="s">
        <v>300</v>
      </c>
      <c r="B135" s="5">
        <v>1</v>
      </c>
      <c r="C135" s="5">
        <v>35.335500000000003</v>
      </c>
      <c r="D135" s="6">
        <v>230000000000</v>
      </c>
      <c r="E135" s="5">
        <v>61</v>
      </c>
      <c r="F135" s="5">
        <v>1</v>
      </c>
      <c r="G135" s="7">
        <v>45255</v>
      </c>
      <c r="H135" s="11">
        <v>0.58333333333333337</v>
      </c>
      <c r="I135" s="7">
        <v>45256</v>
      </c>
      <c r="J135" s="7">
        <v>45265</v>
      </c>
      <c r="K135" s="5">
        <v>9767010121</v>
      </c>
      <c r="L135" s="5"/>
      <c r="M135" s="5">
        <v>20</v>
      </c>
      <c r="N135" s="5">
        <v>2</v>
      </c>
      <c r="O135" s="5">
        <v>2</v>
      </c>
      <c r="P135" s="5">
        <v>2</v>
      </c>
      <c r="Q135" s="5">
        <v>2</v>
      </c>
      <c r="R135" s="5">
        <v>2</v>
      </c>
      <c r="S135" s="5">
        <v>2</v>
      </c>
      <c r="T135" s="5">
        <v>2</v>
      </c>
      <c r="U135" s="5">
        <v>1</v>
      </c>
      <c r="V135" s="5">
        <v>2</v>
      </c>
      <c r="W135" s="5"/>
      <c r="X135" s="5">
        <v>12.5</v>
      </c>
      <c r="Y135" s="5">
        <v>37.1</v>
      </c>
      <c r="Z135" s="5">
        <v>93.6</v>
      </c>
      <c r="AA135" s="5">
        <v>51</v>
      </c>
      <c r="AB135" s="5">
        <v>7.6</v>
      </c>
      <c r="AC135" s="5">
        <v>128</v>
      </c>
      <c r="AD135" s="5">
        <v>87</v>
      </c>
      <c r="AE135" s="5">
        <v>24</v>
      </c>
      <c r="AF135" s="5">
        <v>16.2</v>
      </c>
      <c r="AG135" s="5">
        <v>81</v>
      </c>
      <c r="AH135" s="5">
        <v>2000</v>
      </c>
      <c r="AI135" s="5"/>
      <c r="AJ135" s="5"/>
      <c r="AK135" s="5" t="s">
        <v>301</v>
      </c>
      <c r="AL135" s="5" t="s">
        <v>302</v>
      </c>
      <c r="AM135" s="5"/>
      <c r="AN135" s="5">
        <v>8</v>
      </c>
      <c r="AO135" s="5">
        <v>1</v>
      </c>
      <c r="AP135" s="5">
        <v>5</v>
      </c>
      <c r="AQ135" s="5">
        <v>3</v>
      </c>
      <c r="AR135" s="5">
        <v>5</v>
      </c>
      <c r="AS135" s="5"/>
      <c r="AT135" s="5">
        <v>1</v>
      </c>
      <c r="AU135" s="5"/>
      <c r="AV135" s="5">
        <v>1</v>
      </c>
      <c r="AW135" s="5">
        <v>1</v>
      </c>
      <c r="AX135" s="5">
        <v>1</v>
      </c>
      <c r="AY135" s="5">
        <v>2</v>
      </c>
      <c r="AZ135" s="5">
        <v>2</v>
      </c>
      <c r="BA135" s="5">
        <v>0</v>
      </c>
      <c r="BB135" s="5">
        <v>1</v>
      </c>
      <c r="BC135" s="5">
        <v>100</v>
      </c>
      <c r="BD135" s="5">
        <v>1</v>
      </c>
      <c r="BE135" s="5">
        <v>2</v>
      </c>
      <c r="BF135" s="5">
        <v>2</v>
      </c>
      <c r="BG135" s="5">
        <v>2</v>
      </c>
      <c r="BH135" s="5">
        <v>1</v>
      </c>
      <c r="BI135" s="5">
        <v>1</v>
      </c>
      <c r="BJ135" s="5">
        <v>1</v>
      </c>
      <c r="BK135" s="5">
        <v>1</v>
      </c>
      <c r="BL135" s="5">
        <v>2</v>
      </c>
      <c r="BM135" s="5">
        <v>2</v>
      </c>
      <c r="BN135" s="5">
        <v>2</v>
      </c>
      <c r="BO135" s="5">
        <v>1</v>
      </c>
      <c r="BP135" s="5">
        <v>0</v>
      </c>
      <c r="BQ135" s="5">
        <v>1</v>
      </c>
      <c r="BR135" s="5">
        <v>19</v>
      </c>
      <c r="BS135" s="5">
        <v>1</v>
      </c>
      <c r="BT135" s="5">
        <v>1</v>
      </c>
      <c r="BU135" s="5"/>
    </row>
    <row r="136" spans="1:73" x14ac:dyDescent="0.25">
      <c r="A136" s="5" t="s">
        <v>303</v>
      </c>
      <c r="B136" s="5">
        <v>1</v>
      </c>
      <c r="C136" s="5">
        <v>35.994199999999999</v>
      </c>
      <c r="D136" s="6">
        <v>230102485</v>
      </c>
      <c r="E136" s="5">
        <v>47</v>
      </c>
      <c r="F136" s="5">
        <v>1</v>
      </c>
      <c r="G136" s="7"/>
      <c r="H136" s="5"/>
      <c r="I136" s="7">
        <v>44939</v>
      </c>
      <c r="J136" s="7">
        <v>44943</v>
      </c>
      <c r="K136" s="5"/>
      <c r="L136" s="5"/>
      <c r="M136" s="5">
        <v>6</v>
      </c>
      <c r="N136" s="5">
        <v>2</v>
      </c>
      <c r="O136" s="5">
        <v>1</v>
      </c>
      <c r="P136" s="5">
        <v>1</v>
      </c>
      <c r="Q136" s="5">
        <v>2</v>
      </c>
      <c r="R136" s="5">
        <v>1</v>
      </c>
      <c r="S136" s="5">
        <v>2</v>
      </c>
      <c r="T136" s="5">
        <v>2</v>
      </c>
      <c r="U136" s="5">
        <v>2</v>
      </c>
      <c r="V136" s="5">
        <v>2</v>
      </c>
      <c r="W136" s="5" t="s">
        <v>304</v>
      </c>
      <c r="X136" s="5">
        <v>17.100000000000001</v>
      </c>
      <c r="Y136" s="5">
        <v>50</v>
      </c>
      <c r="Z136" s="5"/>
      <c r="AA136" s="5">
        <v>81</v>
      </c>
      <c r="AB136" s="5">
        <v>8.1999999999999993</v>
      </c>
      <c r="AC136" s="5"/>
      <c r="AD136" s="5"/>
      <c r="AE136" s="5"/>
      <c r="AF136" s="5"/>
      <c r="AG136" s="5"/>
      <c r="AH136" s="5">
        <v>195</v>
      </c>
      <c r="AI136" s="5" t="s">
        <v>305</v>
      </c>
      <c r="AJ136" s="5"/>
      <c r="AK136" s="5" t="s">
        <v>306</v>
      </c>
      <c r="AL136" s="5" t="s">
        <v>307</v>
      </c>
      <c r="AM136" s="5"/>
      <c r="AN136" s="5">
        <v>8</v>
      </c>
      <c r="AO136" s="5">
        <v>1</v>
      </c>
      <c r="AP136" s="5">
        <v>4</v>
      </c>
      <c r="AQ136" s="5">
        <v>3</v>
      </c>
      <c r="AR136" s="5">
        <v>5</v>
      </c>
      <c r="AS136" s="5"/>
      <c r="AT136" s="5">
        <v>1</v>
      </c>
      <c r="AU136" s="5">
        <v>1</v>
      </c>
      <c r="AV136" s="5">
        <v>2</v>
      </c>
      <c r="AW136" s="5"/>
      <c r="AX136" s="5"/>
      <c r="AY136" s="5"/>
      <c r="AZ136" s="5"/>
      <c r="BA136" s="5">
        <v>0</v>
      </c>
      <c r="BB136" s="5">
        <v>1</v>
      </c>
      <c r="BC136" s="5">
        <v>100</v>
      </c>
      <c r="BD136" s="5">
        <v>1</v>
      </c>
      <c r="BE136" s="5">
        <v>2</v>
      </c>
      <c r="BF136" s="5">
        <v>2</v>
      </c>
      <c r="BG136" s="5">
        <v>2</v>
      </c>
      <c r="BH136" s="5">
        <v>1</v>
      </c>
      <c r="BI136" s="5">
        <v>1</v>
      </c>
      <c r="BJ136" s="5">
        <v>1</v>
      </c>
      <c r="BK136" s="5">
        <v>0</v>
      </c>
      <c r="BL136" s="5">
        <v>2</v>
      </c>
      <c r="BM136" s="5">
        <v>2</v>
      </c>
      <c r="BN136" s="5">
        <v>2</v>
      </c>
      <c r="BO136" s="5">
        <v>1</v>
      </c>
      <c r="BP136" s="5">
        <v>1</v>
      </c>
      <c r="BQ136" s="5">
        <v>1</v>
      </c>
      <c r="BR136" s="5">
        <v>19</v>
      </c>
      <c r="BS136" s="5">
        <v>0</v>
      </c>
      <c r="BT136" s="5">
        <v>1</v>
      </c>
      <c r="BU136" s="5"/>
    </row>
    <row r="137" spans="1:73" x14ac:dyDescent="0.25">
      <c r="A137" s="5" t="s">
        <v>349</v>
      </c>
      <c r="B137" s="5">
        <v>1</v>
      </c>
      <c r="C137" s="5">
        <v>36.410600000000002</v>
      </c>
      <c r="D137" s="6">
        <v>230008777</v>
      </c>
      <c r="E137" s="5">
        <v>71</v>
      </c>
      <c r="F137" s="5">
        <v>2</v>
      </c>
      <c r="G137" s="7">
        <v>45253</v>
      </c>
      <c r="H137" s="11">
        <v>0.95833333333333337</v>
      </c>
      <c r="I137" s="7">
        <v>45254</v>
      </c>
      <c r="J137" s="7"/>
      <c r="K137" s="5">
        <v>8087680269</v>
      </c>
      <c r="L137" s="5">
        <v>9850997793</v>
      </c>
      <c r="M137" s="5">
        <v>10</v>
      </c>
      <c r="N137" s="5">
        <v>2</v>
      </c>
      <c r="O137" s="5">
        <v>2</v>
      </c>
      <c r="P137" s="5">
        <v>2</v>
      </c>
      <c r="Q137" s="5">
        <v>2</v>
      </c>
      <c r="R137" s="5">
        <v>2</v>
      </c>
      <c r="S137" s="5">
        <v>2</v>
      </c>
      <c r="T137" s="5">
        <v>2</v>
      </c>
      <c r="U137" s="5">
        <v>2</v>
      </c>
      <c r="V137" s="5">
        <v>2</v>
      </c>
      <c r="W137" s="5" t="s">
        <v>350</v>
      </c>
      <c r="X137" s="5">
        <v>11.4</v>
      </c>
      <c r="Y137" s="5">
        <v>35</v>
      </c>
      <c r="Z137" s="5"/>
      <c r="AA137" s="5">
        <v>25.59</v>
      </c>
      <c r="AB137" s="5">
        <v>5.5</v>
      </c>
      <c r="AC137" s="5">
        <v>160</v>
      </c>
      <c r="AD137" s="5">
        <v>83.2</v>
      </c>
      <c r="AE137" s="5">
        <v>37</v>
      </c>
      <c r="AF137" s="5">
        <v>39.799999999999997</v>
      </c>
      <c r="AG137" s="5">
        <v>199</v>
      </c>
      <c r="AH137" s="5"/>
      <c r="AI137" s="5"/>
      <c r="AJ137" s="5"/>
      <c r="AK137" s="5" t="s">
        <v>351</v>
      </c>
      <c r="AL137" s="5" t="s">
        <v>122</v>
      </c>
      <c r="AM137" s="5"/>
      <c r="AN137" s="5">
        <v>9</v>
      </c>
      <c r="AO137" s="5" t="s">
        <v>721</v>
      </c>
      <c r="AP137" s="5">
        <v>1</v>
      </c>
      <c r="AQ137" s="5">
        <v>1</v>
      </c>
      <c r="AR137" s="5">
        <v>3</v>
      </c>
      <c r="AS137" s="5"/>
      <c r="AT137" s="5">
        <v>1</v>
      </c>
      <c r="AU137" s="5">
        <v>2</v>
      </c>
      <c r="AV137" s="5">
        <v>1</v>
      </c>
      <c r="AW137" s="5">
        <v>1</v>
      </c>
      <c r="AX137" s="5">
        <v>8</v>
      </c>
      <c r="AY137" s="5">
        <v>1</v>
      </c>
      <c r="AZ137" s="5">
        <v>2</v>
      </c>
      <c r="BA137" s="5">
        <v>1</v>
      </c>
      <c r="BB137" s="5">
        <v>1</v>
      </c>
      <c r="BC137" s="5">
        <v>100</v>
      </c>
      <c r="BD137" s="5">
        <v>1</v>
      </c>
      <c r="BE137" s="5">
        <v>2</v>
      </c>
      <c r="BF137" s="5">
        <v>1</v>
      </c>
      <c r="BG137" s="5">
        <v>2</v>
      </c>
      <c r="BH137" s="5">
        <v>1</v>
      </c>
      <c r="BI137" s="5">
        <v>1</v>
      </c>
      <c r="BJ137" s="5">
        <v>1</v>
      </c>
      <c r="BK137" s="5">
        <v>1</v>
      </c>
      <c r="BL137" s="5">
        <v>2</v>
      </c>
      <c r="BM137" s="5">
        <v>2</v>
      </c>
      <c r="BN137" s="5">
        <v>2</v>
      </c>
      <c r="BO137" s="5">
        <v>1</v>
      </c>
      <c r="BP137" s="5">
        <v>1</v>
      </c>
      <c r="BQ137" s="5">
        <v>1</v>
      </c>
      <c r="BR137" s="5">
        <v>19</v>
      </c>
      <c r="BS137" s="5">
        <v>1</v>
      </c>
      <c r="BT137" s="5">
        <v>0</v>
      </c>
      <c r="BU137" s="5"/>
    </row>
    <row r="138" spans="1:73" x14ac:dyDescent="0.25">
      <c r="A138" s="5" t="s">
        <v>308</v>
      </c>
      <c r="B138" s="5">
        <v>1</v>
      </c>
      <c r="C138" s="5">
        <v>39.500599999999999</v>
      </c>
      <c r="D138" s="6">
        <v>230804009</v>
      </c>
      <c r="E138" s="5">
        <v>45</v>
      </c>
      <c r="F138" s="5">
        <v>2</v>
      </c>
      <c r="G138" s="7">
        <v>45163</v>
      </c>
      <c r="H138" s="11">
        <v>0.41666666666666669</v>
      </c>
      <c r="I138" s="7">
        <v>45163</v>
      </c>
      <c r="J138" s="7">
        <v>45166</v>
      </c>
      <c r="K138" s="5">
        <v>9850715056</v>
      </c>
      <c r="L138" s="5"/>
      <c r="M138" s="5">
        <v>11</v>
      </c>
      <c r="N138" s="5">
        <v>1</v>
      </c>
      <c r="O138" s="5">
        <v>2</v>
      </c>
      <c r="P138" s="5">
        <v>2</v>
      </c>
      <c r="Q138" s="5">
        <v>2</v>
      </c>
      <c r="R138" s="5">
        <v>2</v>
      </c>
      <c r="S138" s="5">
        <v>2</v>
      </c>
      <c r="T138" s="5">
        <v>2</v>
      </c>
      <c r="U138" s="5">
        <v>2</v>
      </c>
      <c r="V138" s="5">
        <v>2</v>
      </c>
      <c r="W138" s="5" t="s">
        <v>309</v>
      </c>
      <c r="X138" s="5">
        <v>13.1</v>
      </c>
      <c r="Y138" s="5">
        <v>43.3</v>
      </c>
      <c r="Z138" s="5">
        <v>70.3</v>
      </c>
      <c r="AA138" s="5">
        <v>22.79</v>
      </c>
      <c r="AB138" s="5"/>
      <c r="AC138" s="5">
        <v>186</v>
      </c>
      <c r="AD138" s="5">
        <v>129.19999999999999</v>
      </c>
      <c r="AE138" s="5">
        <v>40</v>
      </c>
      <c r="AF138" s="5">
        <v>129.19999999999999</v>
      </c>
      <c r="AG138" s="5">
        <v>84</v>
      </c>
      <c r="AH138" s="5">
        <v>174</v>
      </c>
      <c r="AI138" s="5"/>
      <c r="AJ138" s="5"/>
      <c r="AK138" s="5" t="s">
        <v>310</v>
      </c>
      <c r="AL138" s="5" t="s">
        <v>311</v>
      </c>
      <c r="AM138" s="5"/>
      <c r="AN138" s="5">
        <v>7</v>
      </c>
      <c r="AO138" s="5" t="s">
        <v>720</v>
      </c>
      <c r="AP138" s="5">
        <v>3</v>
      </c>
      <c r="AQ138" s="5">
        <v>2</v>
      </c>
      <c r="AR138" s="5">
        <v>5</v>
      </c>
      <c r="AS138" s="5"/>
      <c r="AT138" s="5">
        <v>1</v>
      </c>
      <c r="AU138" s="5">
        <v>2</v>
      </c>
      <c r="AV138" s="5">
        <v>1</v>
      </c>
      <c r="AW138" s="5">
        <v>1</v>
      </c>
      <c r="AX138" s="5">
        <v>8</v>
      </c>
      <c r="AY138" s="5">
        <v>2</v>
      </c>
      <c r="AZ138" s="5">
        <v>2</v>
      </c>
      <c r="BA138" s="5">
        <v>0</v>
      </c>
      <c r="BB138" s="5">
        <v>1</v>
      </c>
      <c r="BC138" s="5">
        <v>100</v>
      </c>
      <c r="BD138" s="5">
        <v>1</v>
      </c>
      <c r="BE138" s="5">
        <v>2</v>
      </c>
      <c r="BF138" s="5">
        <v>2</v>
      </c>
      <c r="BG138" s="5">
        <v>2</v>
      </c>
      <c r="BH138" s="5">
        <v>1</v>
      </c>
      <c r="BI138" s="5">
        <v>1</v>
      </c>
      <c r="BJ138" s="5">
        <v>0</v>
      </c>
      <c r="BK138" s="5">
        <v>1</v>
      </c>
      <c r="BL138" s="5">
        <v>2</v>
      </c>
      <c r="BM138" s="5">
        <v>2</v>
      </c>
      <c r="BN138" s="5">
        <v>2</v>
      </c>
      <c r="BO138" s="5">
        <v>1</v>
      </c>
      <c r="BP138" s="5">
        <v>1</v>
      </c>
      <c r="BQ138" s="5">
        <v>1</v>
      </c>
      <c r="BR138" s="5">
        <v>19</v>
      </c>
      <c r="BS138" s="5">
        <v>1</v>
      </c>
      <c r="BT138" s="5">
        <v>1</v>
      </c>
      <c r="BU138" s="5"/>
    </row>
    <row r="139" spans="1:73" x14ac:dyDescent="0.25">
      <c r="A139" s="12" t="s">
        <v>312</v>
      </c>
      <c r="B139" s="5"/>
      <c r="C139" s="5">
        <v>41.854399999999998</v>
      </c>
      <c r="D139" s="9">
        <f>VLOOKUP($A139,'[1]24-8-24 DATA ENTRY'!$A$1:$BR$303,3,FALSE)</f>
        <v>240000040622</v>
      </c>
      <c r="E139" s="9">
        <f>VLOOKUP($A139,'[1]24-8-24 DATA ENTRY'!$A$1:$BR$303,4,FALSE)</f>
        <v>33</v>
      </c>
      <c r="F139" s="9">
        <f>VLOOKUP($A139,'[1]24-8-24 DATA ENTRY'!$A$1:$BR$303,5,FALSE)</f>
        <v>1</v>
      </c>
      <c r="G139" s="10">
        <f>VLOOKUP($A139,'[1]24-8-24 DATA ENTRY'!$A$1:$BR$303,6,FALSE)</f>
        <v>45422</v>
      </c>
      <c r="H139" s="9">
        <f>VLOOKUP($A139,'[1]24-8-24 DATA ENTRY'!$A$1:$BR$303,7,FALSE)</f>
        <v>0.33333333333333331</v>
      </c>
      <c r="I139" s="10">
        <f>VLOOKUP($A139,'[1]24-8-24 DATA ENTRY'!$A$1:$BR$303,8,FALSE)</f>
        <v>45422</v>
      </c>
      <c r="J139" s="10">
        <f>VLOOKUP($A139,'[1]24-8-24 DATA ENTRY'!$A$1:$BR$303,9,FALSE)</f>
        <v>45427</v>
      </c>
      <c r="K139" s="9">
        <f>VLOOKUP($A139,'[1]24-8-24 DATA ENTRY'!$A$1:$BR$303,10,FALSE)</f>
        <v>7387900224</v>
      </c>
      <c r="L139" s="9">
        <f>VLOOKUP($A139,'[1]24-8-24 DATA ENTRY'!$A$1:$BR$303,11,FALSE)</f>
        <v>0</v>
      </c>
      <c r="M139" s="9">
        <f>VLOOKUP($A139,'[1]24-8-24 DATA ENTRY'!$A$1:$BR$303,12,FALSE)</f>
        <v>2</v>
      </c>
      <c r="N139" s="9">
        <f>VLOOKUP($A139,'[1]24-8-24 DATA ENTRY'!$A$1:$BR$303,13,FALSE)</f>
        <v>2</v>
      </c>
      <c r="O139" s="9">
        <f>VLOOKUP($A139,'[1]24-8-24 DATA ENTRY'!$A$1:$BR$303,14,FALSE)</f>
        <v>2</v>
      </c>
      <c r="P139" s="9">
        <f>VLOOKUP($A139,'[1]24-8-24 DATA ENTRY'!$A$1:$BR$303,15,FALSE)</f>
        <v>1</v>
      </c>
      <c r="Q139" s="9">
        <f>VLOOKUP($A139,'[1]24-8-24 DATA ENTRY'!$A$1:$BR$303,16,FALSE)</f>
        <v>1</v>
      </c>
      <c r="R139" s="9">
        <f>VLOOKUP($A139,'[1]24-8-24 DATA ENTRY'!$A$1:$BR$303,17,FALSE)</f>
        <v>2</v>
      </c>
      <c r="S139" s="9">
        <f>VLOOKUP($A139,'[1]24-8-24 DATA ENTRY'!$A$1:$BR$303,18,FALSE)</f>
        <v>2</v>
      </c>
      <c r="T139" s="9">
        <f>VLOOKUP($A139,'[1]24-8-24 DATA ENTRY'!$A$1:$BR$303,19,FALSE)</f>
        <v>2</v>
      </c>
      <c r="U139" s="9">
        <f>VLOOKUP($A139,'[1]24-8-24 DATA ENTRY'!$A$1:$BR$278,20,FALSE)</f>
        <v>2</v>
      </c>
      <c r="V139" s="9">
        <f>VLOOKUP($A139,'[1]24-8-24 DATA ENTRY'!$A$1:$BR$303,21,FALSE)</f>
        <v>2</v>
      </c>
      <c r="W139" s="9" t="str">
        <f>VLOOKUP($A139,'[1]24-8-24 DATA ENTRY'!$A$1:$BR$303,22,FALSE)</f>
        <v>PAST H/O OF STRKE 1 WEEK AGO WITH ICA FLOOTING THROMBUS</v>
      </c>
      <c r="X139" s="9">
        <f>VLOOKUP($A139,'[1]24-8-24 DATA ENTRY'!$A$1:$BR$303,23,FALSE)</f>
        <v>12.6</v>
      </c>
      <c r="Y139" s="9">
        <f>VLOOKUP($A139,'[1]24-8-24 DATA ENTRY'!$A$1:$BR$303,24,FALSE)</f>
        <v>37.299999999999997</v>
      </c>
      <c r="Z139" s="9">
        <f>VLOOKUP($A139,'[1]24-8-24 DATA ENTRY'!$A$1:$BR$303,25,FALSE)</f>
        <v>107.2</v>
      </c>
      <c r="AA139" s="9">
        <f>VLOOKUP($A139,'[1]24-8-24 DATA ENTRY'!$A$1:$BR$303,26,FALSE)</f>
        <v>0</v>
      </c>
      <c r="AB139" s="9">
        <f>VLOOKUP($A139,'[1]24-8-24 DATA ENTRY'!$A$1:$BR$303,27,FALSE)</f>
        <v>0</v>
      </c>
      <c r="AC139" s="9">
        <f>VLOOKUP($A139,'[1]24-8-24 DATA ENTRY'!$A$1:$BR$303,28,FALSE)</f>
        <v>0</v>
      </c>
      <c r="AD139" s="9">
        <f>VLOOKUP($A139,'[1]24-8-24 DATA ENTRY'!$A$1:$BR$303,29,FALSE)</f>
        <v>0</v>
      </c>
      <c r="AE139" s="9">
        <f>VLOOKUP($A139,'[1]24-8-24 DATA ENTRY'!$A$1:$BR$2303,30,FALSE)</f>
        <v>0</v>
      </c>
      <c r="AF139" s="9">
        <f>VLOOKUP($A139,'[1]24-8-24 DATA ENTRY'!$A$1:$BR$303,31,FALSE)</f>
        <v>0</v>
      </c>
      <c r="AG139" s="9">
        <f>VLOOKUP($A139,'[1]24-8-24 DATA ENTRY'!$A$1:$BR$303,32,FALSE)</f>
        <v>0</v>
      </c>
      <c r="AH139" s="9">
        <f>VLOOKUP($A139,'[1]24-8-24 DATA ENTRY'!$A$1:$BR$303,33,FALSE)</f>
        <v>0</v>
      </c>
      <c r="AI139" s="9">
        <f>VLOOKUP($A139,'[1]24-8-24 DATA ENTRY'!$A$1:$BR$303,34,FALSE)</f>
        <v>0</v>
      </c>
      <c r="AJ139" s="9">
        <f>VLOOKUP($A139,'[1]24-8-24 DATA ENTRY'!$A$1:$BR$303,35,FALSE)</f>
        <v>0</v>
      </c>
      <c r="AK139" s="9" t="str">
        <f>VLOOKUP($A139,'[1]24-8-24 DATA ENTRY'!$A$1:$BR$303,36,FALSE)</f>
        <v>LEFT MCA INFERIOR DIVISION INFARCT</v>
      </c>
      <c r="AL139" s="9" t="str">
        <f>VLOOKUP($A139,'[1]24-8-24 DATA ENTRY'!$A$1:$BR$303,37,FALSE)</f>
        <v xml:space="preserve">LEFT MCA M3 OCCLUSION DUE TO THROMBUS. FLOATING THROMBUS HAS DISAPPERED. LEFT ICA SMALL PLAQUE &lt; 30% CAUSING OCCLUSION </v>
      </c>
      <c r="AM139" s="9">
        <f>VLOOKUP($A139,'[1]24-8-24 DATA ENTRY'!$A$1:$BR$303,38,FALSE)</f>
        <v>0</v>
      </c>
      <c r="AN139" s="9">
        <f>VLOOKUP($A139,'[1]24-8-24 DATA ENTRY'!$A$1:$BR$303,39,FALSE)</f>
        <v>9</v>
      </c>
      <c r="AO139" s="9">
        <f>VLOOKUP($A139,'[1]24-8-24 DATA ENTRY'!$A$1:$BR$303,40,FALSE)</f>
        <v>1</v>
      </c>
      <c r="AP139" s="9">
        <f>VLOOKUP($A139,'[1]24-8-24 DATA ENTRY'!$A$1:$BR$303,41,FALSE)</f>
        <v>5</v>
      </c>
      <c r="AQ139" s="9">
        <f>VLOOKUP($A139,'[1]24-8-24 DATA ENTRY'!$A$1:$BR$303,42,FALSE)</f>
        <v>3</v>
      </c>
      <c r="AR139" s="9">
        <f>VLOOKUP($A139,'[1]24-8-24 DATA ENTRY'!$A$1:$BR$303,43,FALSE)</f>
        <v>5</v>
      </c>
      <c r="AS139" s="9">
        <f>VLOOKUP($A139,'[1]24-8-24 DATA ENTRY'!$A$1:$BR$303,44,FALSE)</f>
        <v>0</v>
      </c>
      <c r="AT139" s="9">
        <f>VLOOKUP($A139,'[1]24-8-24 DATA ENTRY'!$A$1:$BR$303,45,FALSE)</f>
        <v>1</v>
      </c>
      <c r="AU139" s="9">
        <f>VLOOKUP($A139,'[1]24-8-24 DATA ENTRY'!$A$1:$BR$303,46,FALSE)</f>
        <v>2</v>
      </c>
      <c r="AV139" s="9">
        <f>VLOOKUP($A139,'[1]24-8-24 DATA ENTRY'!$A$1:$BR$303,47,FALSE)</f>
        <v>1</v>
      </c>
      <c r="AW139" s="9">
        <f>VLOOKUP($A139,'[1]24-8-24 DATA ENTRY'!$A$1:$BR$303,48,FALSE)</f>
        <v>1</v>
      </c>
      <c r="AX139" s="9">
        <f>VLOOKUP($A139,'[1]24-8-24 DATA ENTRY'!$A$1:$BR$303,49,FALSE)</f>
        <v>0</v>
      </c>
      <c r="AY139" s="9">
        <f>VLOOKUP($A139,'[1]24-8-24 DATA ENTRY'!$A$1:$BR$303,50,FALSE)</f>
        <v>0</v>
      </c>
      <c r="AZ139" s="9">
        <f>VLOOKUP($A139,'[1]24-8-24 DATA ENTRY'!$A$1:$BR$303,51,FALSE)</f>
        <v>0</v>
      </c>
      <c r="BA139" s="9">
        <f>VLOOKUP($A139,'[1]24-8-24 DATA ENTRY'!$A$1:$BR$303,52,FALSE)</f>
        <v>0</v>
      </c>
      <c r="BB139" s="5">
        <v>1</v>
      </c>
      <c r="BC139" s="9">
        <f>VLOOKUP($A139,'[1]24-8-24 DATA ENTRY'!$A$1:$BR$303,53,FALSE)</f>
        <v>100</v>
      </c>
      <c r="BD139" s="12">
        <v>1</v>
      </c>
      <c r="BE139" s="12">
        <v>2</v>
      </c>
      <c r="BF139" s="12">
        <v>2</v>
      </c>
      <c r="BG139" s="12">
        <v>2</v>
      </c>
      <c r="BH139" s="5">
        <v>1</v>
      </c>
      <c r="BI139" s="12">
        <v>1</v>
      </c>
      <c r="BJ139" s="12">
        <v>1</v>
      </c>
      <c r="BK139" s="12">
        <v>1</v>
      </c>
      <c r="BL139" s="12">
        <v>2</v>
      </c>
      <c r="BM139" s="12">
        <v>2</v>
      </c>
      <c r="BN139" s="12">
        <v>2</v>
      </c>
      <c r="BO139" s="12">
        <v>1</v>
      </c>
      <c r="BP139" s="12">
        <v>0</v>
      </c>
      <c r="BQ139" s="12">
        <v>1</v>
      </c>
      <c r="BR139" s="12">
        <v>19</v>
      </c>
      <c r="BS139" s="12">
        <v>0</v>
      </c>
      <c r="BT139" s="12">
        <v>1</v>
      </c>
      <c r="BU139" s="5"/>
    </row>
    <row r="140" spans="1:73" x14ac:dyDescent="0.25">
      <c r="A140" s="5" t="s">
        <v>313</v>
      </c>
      <c r="B140" s="5">
        <v>1</v>
      </c>
      <c r="C140" s="5">
        <v>43.568899999999999</v>
      </c>
      <c r="D140" s="6">
        <v>230802551</v>
      </c>
      <c r="E140" s="5">
        <v>75</v>
      </c>
      <c r="F140" s="5">
        <v>2</v>
      </c>
      <c r="G140" s="7">
        <v>45153</v>
      </c>
      <c r="H140" s="11">
        <v>0.375</v>
      </c>
      <c r="I140" s="7">
        <v>45155</v>
      </c>
      <c r="J140" s="7">
        <v>45163</v>
      </c>
      <c r="K140" s="5">
        <v>9604718659</v>
      </c>
      <c r="L140" s="5"/>
      <c r="M140" s="5">
        <v>9</v>
      </c>
      <c r="N140" s="5">
        <v>1</v>
      </c>
      <c r="O140" s="5">
        <v>1</v>
      </c>
      <c r="P140" s="5">
        <v>2</v>
      </c>
      <c r="Q140" s="5">
        <v>2</v>
      </c>
      <c r="R140" s="5">
        <v>1</v>
      </c>
      <c r="S140" s="5">
        <v>2</v>
      </c>
      <c r="T140" s="5">
        <v>2</v>
      </c>
      <c r="U140" s="5">
        <v>2</v>
      </c>
      <c r="V140" s="5">
        <v>2</v>
      </c>
      <c r="W140" s="5"/>
      <c r="X140" s="5">
        <v>9</v>
      </c>
      <c r="Y140" s="5"/>
      <c r="Z140" s="5"/>
      <c r="AA140" s="5">
        <v>9.5299999999999994</v>
      </c>
      <c r="AB140" s="5">
        <v>10.1</v>
      </c>
      <c r="AC140" s="5">
        <v>171</v>
      </c>
      <c r="AD140" s="5">
        <v>102</v>
      </c>
      <c r="AE140" s="5">
        <v>39</v>
      </c>
      <c r="AF140" s="5">
        <v>22.6</v>
      </c>
      <c r="AG140" s="5">
        <v>113</v>
      </c>
      <c r="AH140" s="5">
        <v>2000</v>
      </c>
      <c r="AI140" s="5" t="s">
        <v>314</v>
      </c>
      <c r="AJ140" s="5"/>
      <c r="AK140" s="5" t="s">
        <v>315</v>
      </c>
      <c r="AL140" s="5"/>
      <c r="AM140" s="5"/>
      <c r="AN140" s="5">
        <v>7</v>
      </c>
      <c r="AO140" s="5" t="s">
        <v>720</v>
      </c>
      <c r="AP140" s="5">
        <v>3</v>
      </c>
      <c r="AQ140" s="5">
        <v>2</v>
      </c>
      <c r="AR140" s="5">
        <v>5</v>
      </c>
      <c r="AS140" s="5"/>
      <c r="AT140" s="5">
        <v>1</v>
      </c>
      <c r="AU140" s="5">
        <v>1</v>
      </c>
      <c r="AV140" s="5">
        <v>2</v>
      </c>
      <c r="AW140" s="5"/>
      <c r="AX140" s="5"/>
      <c r="AY140" s="5"/>
      <c r="AZ140" s="5"/>
      <c r="BA140" s="5">
        <v>0</v>
      </c>
      <c r="BB140" s="5">
        <v>1</v>
      </c>
      <c r="BC140" s="5">
        <v>100</v>
      </c>
      <c r="BD140" s="5">
        <v>1</v>
      </c>
      <c r="BE140" s="5">
        <v>2</v>
      </c>
      <c r="BF140" s="5">
        <v>2</v>
      </c>
      <c r="BG140" s="5">
        <v>1</v>
      </c>
      <c r="BH140" s="5">
        <v>1</v>
      </c>
      <c r="BI140" s="5">
        <v>1</v>
      </c>
      <c r="BJ140" s="5">
        <v>1</v>
      </c>
      <c r="BK140" s="5">
        <v>1</v>
      </c>
      <c r="BL140" s="5">
        <v>2</v>
      </c>
      <c r="BM140" s="5">
        <v>2</v>
      </c>
      <c r="BN140" s="5">
        <v>2</v>
      </c>
      <c r="BO140" s="5">
        <v>1</v>
      </c>
      <c r="BP140" s="5">
        <v>1</v>
      </c>
      <c r="BQ140" s="5">
        <v>1</v>
      </c>
      <c r="BR140" s="5">
        <v>19</v>
      </c>
      <c r="BS140" s="5">
        <v>1</v>
      </c>
      <c r="BT140" s="5">
        <v>1</v>
      </c>
      <c r="BU140" s="5" t="s">
        <v>316</v>
      </c>
    </row>
    <row r="141" spans="1:73" x14ac:dyDescent="0.25">
      <c r="A141" s="5" t="s">
        <v>391</v>
      </c>
      <c r="B141" s="5">
        <v>1</v>
      </c>
      <c r="C141" s="5">
        <v>43.631900000000002</v>
      </c>
      <c r="D141" s="6">
        <v>230000000000</v>
      </c>
      <c r="E141" s="5">
        <v>75</v>
      </c>
      <c r="F141" s="5">
        <v>1</v>
      </c>
      <c r="G141" s="7">
        <v>45269</v>
      </c>
      <c r="H141" s="11">
        <v>0.625</v>
      </c>
      <c r="I141" s="7">
        <v>45269</v>
      </c>
      <c r="J141" s="7">
        <v>45270</v>
      </c>
      <c r="K141" s="5">
        <v>9604558802</v>
      </c>
      <c r="L141" s="5"/>
      <c r="M141" s="5">
        <v>20</v>
      </c>
      <c r="N141" s="5">
        <v>2</v>
      </c>
      <c r="O141" s="5">
        <v>2</v>
      </c>
      <c r="P141" s="5">
        <v>2</v>
      </c>
      <c r="Q141" s="5">
        <v>2</v>
      </c>
      <c r="R141" s="5">
        <v>2</v>
      </c>
      <c r="S141" s="5">
        <v>2</v>
      </c>
      <c r="T141" s="5">
        <v>2</v>
      </c>
      <c r="U141" s="5">
        <v>2</v>
      </c>
      <c r="V141" s="5">
        <v>2</v>
      </c>
      <c r="W141" s="5"/>
      <c r="X141" s="5">
        <v>13.9</v>
      </c>
      <c r="Y141" s="5">
        <v>43.1</v>
      </c>
      <c r="Z141" s="5">
        <v>88.6</v>
      </c>
      <c r="AA141" s="5">
        <v>14.73</v>
      </c>
      <c r="AB141" s="5">
        <v>6.4</v>
      </c>
      <c r="AC141" s="5">
        <v>220</v>
      </c>
      <c r="AD141" s="5">
        <v>146</v>
      </c>
      <c r="AE141" s="5">
        <v>58</v>
      </c>
      <c r="AF141" s="5">
        <v>16</v>
      </c>
      <c r="AG141" s="5">
        <v>80</v>
      </c>
      <c r="AH141" s="5">
        <v>1613</v>
      </c>
      <c r="AI141" s="5"/>
      <c r="AJ141" s="5"/>
      <c r="AK141" s="5" t="s">
        <v>392</v>
      </c>
      <c r="AL141" s="5" t="s">
        <v>393</v>
      </c>
      <c r="AM141" s="5"/>
      <c r="AN141" s="5"/>
      <c r="AO141" s="5"/>
      <c r="AP141" s="5"/>
      <c r="AQ141" s="5"/>
      <c r="AR141" s="5"/>
      <c r="AS141" s="5"/>
      <c r="AT141" s="5">
        <v>1</v>
      </c>
      <c r="AU141" s="5">
        <v>1</v>
      </c>
      <c r="AV141" s="5">
        <v>2</v>
      </c>
      <c r="AW141" s="5"/>
      <c r="AX141" s="5"/>
      <c r="AY141" s="5"/>
      <c r="AZ141" s="5"/>
      <c r="BA141" s="5">
        <v>0</v>
      </c>
      <c r="BB141" s="5">
        <v>1</v>
      </c>
      <c r="BC141" s="5">
        <v>100</v>
      </c>
      <c r="BD141" s="5">
        <v>1</v>
      </c>
      <c r="BE141" s="5">
        <v>2</v>
      </c>
      <c r="BF141" s="5">
        <v>2</v>
      </c>
      <c r="BG141" s="5">
        <v>2</v>
      </c>
      <c r="BH141" s="5">
        <v>1</v>
      </c>
      <c r="BI141" s="5">
        <v>1</v>
      </c>
      <c r="BJ141" s="5">
        <v>1</v>
      </c>
      <c r="BK141" s="5">
        <v>1</v>
      </c>
      <c r="BL141" s="5">
        <v>2</v>
      </c>
      <c r="BM141" s="5">
        <v>2</v>
      </c>
      <c r="BN141" s="5">
        <v>2</v>
      </c>
      <c r="BO141" s="5">
        <v>1</v>
      </c>
      <c r="BP141" s="5">
        <v>1</v>
      </c>
      <c r="BQ141" s="5">
        <v>1</v>
      </c>
      <c r="BR141" s="5">
        <v>20</v>
      </c>
      <c r="BS141" s="5">
        <v>1</v>
      </c>
      <c r="BT141" s="5">
        <v>1</v>
      </c>
      <c r="BU141" s="5" t="s">
        <v>316</v>
      </c>
    </row>
    <row r="142" spans="1:73" x14ac:dyDescent="0.25">
      <c r="A142" s="5" t="s">
        <v>520</v>
      </c>
      <c r="B142" s="5">
        <v>0</v>
      </c>
      <c r="C142" s="5">
        <v>44.072499999999998</v>
      </c>
      <c r="D142" s="6">
        <v>240000000000</v>
      </c>
      <c r="E142" s="5">
        <v>68</v>
      </c>
      <c r="F142" s="5">
        <v>1</v>
      </c>
      <c r="G142" s="7">
        <v>45299</v>
      </c>
      <c r="H142" s="11">
        <v>0.97916666666666663</v>
      </c>
      <c r="I142" s="7">
        <v>45300</v>
      </c>
      <c r="J142" s="7">
        <v>45306</v>
      </c>
      <c r="K142" s="5">
        <v>9960374392</v>
      </c>
      <c r="L142" s="5"/>
      <c r="M142" s="5">
        <v>7</v>
      </c>
      <c r="N142" s="5">
        <v>1</v>
      </c>
      <c r="O142" s="5">
        <v>2</v>
      </c>
      <c r="P142" s="5">
        <v>2</v>
      </c>
      <c r="Q142" s="5">
        <v>2</v>
      </c>
      <c r="R142" s="5">
        <v>2</v>
      </c>
      <c r="S142" s="5">
        <v>2</v>
      </c>
      <c r="T142" s="5">
        <v>1</v>
      </c>
      <c r="U142" s="5">
        <v>2</v>
      </c>
      <c r="V142" s="5">
        <v>2</v>
      </c>
      <c r="W142" s="5" t="s">
        <v>521</v>
      </c>
      <c r="X142" s="5">
        <v>12.4</v>
      </c>
      <c r="Y142" s="5">
        <v>36.5</v>
      </c>
      <c r="Z142" s="5">
        <v>92.2</v>
      </c>
      <c r="AA142" s="5">
        <v>20.73</v>
      </c>
      <c r="AB142" s="5">
        <v>5.5</v>
      </c>
      <c r="AC142" s="5">
        <v>203</v>
      </c>
      <c r="AD142" s="5">
        <v>136.4</v>
      </c>
      <c r="AE142" s="5">
        <v>36</v>
      </c>
      <c r="AF142" s="5">
        <v>30.6</v>
      </c>
      <c r="AG142" s="5">
        <v>153</v>
      </c>
      <c r="AH142" s="5">
        <v>400</v>
      </c>
      <c r="AI142" s="5"/>
      <c r="AJ142" s="5"/>
      <c r="AK142" s="5" t="s">
        <v>273</v>
      </c>
      <c r="AL142" s="5" t="s">
        <v>522</v>
      </c>
      <c r="AM142" s="5" t="s">
        <v>523</v>
      </c>
      <c r="AN142" s="5">
        <v>7</v>
      </c>
      <c r="AO142" s="5">
        <v>1</v>
      </c>
      <c r="AP142" s="5">
        <v>3</v>
      </c>
      <c r="AQ142" s="5">
        <v>3</v>
      </c>
      <c r="AR142" s="5">
        <v>5</v>
      </c>
      <c r="AS142" s="5"/>
      <c r="AT142" s="5">
        <v>1</v>
      </c>
      <c r="AU142" s="5">
        <v>1</v>
      </c>
      <c r="AV142" s="5">
        <v>2</v>
      </c>
      <c r="AW142" s="5"/>
      <c r="AX142" s="5"/>
      <c r="AY142" s="5"/>
      <c r="AZ142" s="5"/>
      <c r="BA142" s="5">
        <v>1</v>
      </c>
      <c r="BB142" s="5">
        <v>1</v>
      </c>
      <c r="BC142" s="5">
        <v>100</v>
      </c>
      <c r="BD142" s="5">
        <v>1</v>
      </c>
      <c r="BE142" s="5">
        <v>2</v>
      </c>
      <c r="BF142" s="5">
        <v>2</v>
      </c>
      <c r="BG142" s="5">
        <v>2</v>
      </c>
      <c r="BH142" s="5">
        <v>1</v>
      </c>
      <c r="BI142" s="5">
        <v>1</v>
      </c>
      <c r="BJ142" s="5">
        <v>1</v>
      </c>
      <c r="BK142" s="5">
        <v>1</v>
      </c>
      <c r="BL142" s="5">
        <v>2</v>
      </c>
      <c r="BM142" s="5">
        <v>1</v>
      </c>
      <c r="BN142" s="5">
        <v>2</v>
      </c>
      <c r="BO142" s="5">
        <v>1</v>
      </c>
      <c r="BP142" s="5">
        <v>1</v>
      </c>
      <c r="BQ142" s="5">
        <v>1</v>
      </c>
      <c r="BR142" s="5">
        <v>19</v>
      </c>
      <c r="BS142" s="5">
        <v>1</v>
      </c>
      <c r="BT142" s="5">
        <v>1</v>
      </c>
      <c r="BU142" s="5"/>
    </row>
    <row r="143" spans="1:73" x14ac:dyDescent="0.25">
      <c r="A143" s="5" t="s">
        <v>218</v>
      </c>
      <c r="B143" s="5">
        <v>1</v>
      </c>
      <c r="C143" s="5">
        <v>46.1357</v>
      </c>
      <c r="D143" s="6">
        <v>200400466</v>
      </c>
      <c r="E143" s="5">
        <v>54</v>
      </c>
      <c r="F143" s="5">
        <v>1</v>
      </c>
      <c r="G143" s="7">
        <v>44980</v>
      </c>
      <c r="H143" s="5"/>
      <c r="I143" s="7">
        <v>45008</v>
      </c>
      <c r="J143" s="7">
        <v>45033</v>
      </c>
      <c r="K143" s="5">
        <v>8087047741</v>
      </c>
      <c r="L143" s="5"/>
      <c r="M143" s="5">
        <v>4</v>
      </c>
      <c r="N143" s="5">
        <v>1</v>
      </c>
      <c r="O143" s="5">
        <v>1</v>
      </c>
      <c r="P143" s="5">
        <v>2</v>
      </c>
      <c r="Q143" s="5">
        <v>2</v>
      </c>
      <c r="R143" s="5">
        <v>2</v>
      </c>
      <c r="S143" s="5">
        <v>2</v>
      </c>
      <c r="T143" s="5">
        <v>2</v>
      </c>
      <c r="U143" s="5">
        <v>1</v>
      </c>
      <c r="V143" s="5">
        <v>1</v>
      </c>
      <c r="W143" s="5" t="s">
        <v>219</v>
      </c>
      <c r="X143" s="5">
        <v>13.9</v>
      </c>
      <c r="Y143" s="5">
        <v>43.1</v>
      </c>
      <c r="Z143" s="5"/>
      <c r="AA143" s="5">
        <v>26</v>
      </c>
      <c r="AB143" s="5">
        <v>6.3</v>
      </c>
      <c r="AC143" s="5"/>
      <c r="AD143" s="5"/>
      <c r="AE143" s="5"/>
      <c r="AF143" s="5"/>
      <c r="AG143" s="5"/>
      <c r="AH143" s="5">
        <v>236</v>
      </c>
      <c r="AI143" s="5" t="s">
        <v>220</v>
      </c>
      <c r="AJ143" s="5"/>
      <c r="AK143" s="5" t="s">
        <v>221</v>
      </c>
      <c r="AL143" s="5" t="s">
        <v>222</v>
      </c>
      <c r="AM143" s="5"/>
      <c r="AN143" s="5">
        <v>7</v>
      </c>
      <c r="AO143" s="5" t="s">
        <v>720</v>
      </c>
      <c r="AP143" s="5">
        <v>4</v>
      </c>
      <c r="AQ143" s="5">
        <v>2</v>
      </c>
      <c r="AR143" s="5">
        <v>5</v>
      </c>
      <c r="AS143" s="5"/>
      <c r="AT143" s="5">
        <v>1</v>
      </c>
      <c r="AU143" s="5">
        <v>1</v>
      </c>
      <c r="AV143" s="5">
        <v>2</v>
      </c>
      <c r="AW143" s="5">
        <v>4</v>
      </c>
      <c r="AX143" s="5">
        <v>8</v>
      </c>
      <c r="AY143" s="5">
        <v>2</v>
      </c>
      <c r="AZ143" s="5">
        <v>2</v>
      </c>
      <c r="BA143" s="5">
        <v>0</v>
      </c>
      <c r="BB143" s="5">
        <v>1</v>
      </c>
      <c r="BC143" s="5">
        <v>100</v>
      </c>
      <c r="BD143" s="5">
        <v>0</v>
      </c>
      <c r="BE143" s="5">
        <v>2</v>
      </c>
      <c r="BF143" s="5">
        <v>2</v>
      </c>
      <c r="BG143" s="5">
        <v>2</v>
      </c>
      <c r="BH143" s="5">
        <v>1</v>
      </c>
      <c r="BI143" s="5">
        <v>1</v>
      </c>
      <c r="BJ143" s="5">
        <v>1</v>
      </c>
      <c r="BK143" s="5">
        <v>0</v>
      </c>
      <c r="BL143" s="5">
        <v>2</v>
      </c>
      <c r="BM143" s="5">
        <v>2</v>
      </c>
      <c r="BN143" s="5">
        <v>2</v>
      </c>
      <c r="BO143" s="5">
        <v>1</v>
      </c>
      <c r="BP143" s="5">
        <v>1</v>
      </c>
      <c r="BQ143" s="5">
        <v>1</v>
      </c>
      <c r="BR143" s="5">
        <v>18</v>
      </c>
      <c r="BS143" s="5">
        <v>0</v>
      </c>
      <c r="BT143" s="5">
        <v>1</v>
      </c>
      <c r="BU143" s="5"/>
    </row>
    <row r="144" spans="1:73" x14ac:dyDescent="0.25">
      <c r="A144" s="5" t="s">
        <v>131</v>
      </c>
      <c r="B144" s="5">
        <v>1</v>
      </c>
      <c r="C144" s="5">
        <v>48.421700000000001</v>
      </c>
      <c r="D144" s="6">
        <v>110103214</v>
      </c>
      <c r="E144" s="5">
        <v>90</v>
      </c>
      <c r="F144" s="5">
        <v>1</v>
      </c>
      <c r="G144" s="7">
        <v>45103</v>
      </c>
      <c r="H144" s="11">
        <v>0.81944444444444453</v>
      </c>
      <c r="I144" s="7">
        <v>45103</v>
      </c>
      <c r="J144" s="7">
        <v>45104</v>
      </c>
      <c r="K144" s="5">
        <v>9552409447</v>
      </c>
      <c r="L144" s="5"/>
      <c r="M144" s="5">
        <v>24</v>
      </c>
      <c r="N144" s="5">
        <v>1</v>
      </c>
      <c r="O144" s="5">
        <v>1</v>
      </c>
      <c r="P144" s="5">
        <v>2</v>
      </c>
      <c r="Q144" s="5">
        <v>2</v>
      </c>
      <c r="R144" s="5">
        <v>2</v>
      </c>
      <c r="S144" s="5">
        <v>2</v>
      </c>
      <c r="T144" s="5">
        <v>2</v>
      </c>
      <c r="U144" s="5">
        <v>2</v>
      </c>
      <c r="V144" s="5">
        <v>2</v>
      </c>
      <c r="W144" s="5"/>
      <c r="X144" s="5">
        <v>8.6999999999999993</v>
      </c>
      <c r="Y144" s="5">
        <v>27.7</v>
      </c>
      <c r="Z144" s="5">
        <v>64.2</v>
      </c>
      <c r="AA144" s="5">
        <v>5.0599999999999996</v>
      </c>
      <c r="AB144" s="5">
        <v>5.8</v>
      </c>
      <c r="AC144" s="5">
        <v>98</v>
      </c>
      <c r="AD144" s="5">
        <v>49.6</v>
      </c>
      <c r="AE144" s="5">
        <v>25</v>
      </c>
      <c r="AF144" s="5">
        <v>23.4</v>
      </c>
      <c r="AG144" s="5">
        <v>117</v>
      </c>
      <c r="AH144" s="5">
        <v>2000</v>
      </c>
      <c r="AI144" s="5"/>
      <c r="AJ144" s="5"/>
      <c r="AK144" s="5" t="s">
        <v>132</v>
      </c>
      <c r="AL144" s="5" t="s">
        <v>133</v>
      </c>
      <c r="AM144" s="5"/>
      <c r="AN144" s="12">
        <v>9</v>
      </c>
      <c r="AO144" s="5" t="s">
        <v>720</v>
      </c>
      <c r="AP144" s="5">
        <v>2</v>
      </c>
      <c r="AQ144" s="5">
        <v>1</v>
      </c>
      <c r="AR144" s="5">
        <v>5</v>
      </c>
      <c r="AS144" s="5"/>
      <c r="AT144" s="5">
        <v>1</v>
      </c>
      <c r="AU144" s="5"/>
      <c r="AV144" s="5">
        <v>2</v>
      </c>
      <c r="AW144" s="5"/>
      <c r="AX144" s="5"/>
      <c r="AY144" s="5"/>
      <c r="AZ144" s="5"/>
      <c r="BA144" s="5">
        <v>0</v>
      </c>
      <c r="BB144" s="5">
        <v>1</v>
      </c>
      <c r="BC144" s="5">
        <v>100</v>
      </c>
      <c r="BD144" s="5">
        <v>0</v>
      </c>
      <c r="BE144" s="5">
        <v>1</v>
      </c>
      <c r="BF144" s="5">
        <v>2</v>
      </c>
      <c r="BG144" s="5">
        <v>2</v>
      </c>
      <c r="BH144" s="5">
        <v>1</v>
      </c>
      <c r="BI144" s="5">
        <v>1</v>
      </c>
      <c r="BJ144" s="5">
        <v>1</v>
      </c>
      <c r="BK144" s="5">
        <v>0</v>
      </c>
      <c r="BL144" s="5">
        <v>1</v>
      </c>
      <c r="BM144" s="5">
        <v>2</v>
      </c>
      <c r="BN144" s="5">
        <v>2</v>
      </c>
      <c r="BO144" s="5">
        <v>1</v>
      </c>
      <c r="BP144" s="5">
        <v>1</v>
      </c>
      <c r="BQ144" s="5">
        <v>1</v>
      </c>
      <c r="BR144" s="5">
        <v>16</v>
      </c>
      <c r="BS144" s="5">
        <v>0</v>
      </c>
      <c r="BT144" s="5">
        <v>1</v>
      </c>
      <c r="BU144" s="5"/>
    </row>
    <row r="145" spans="1:73" x14ac:dyDescent="0.25">
      <c r="A145" s="5" t="s">
        <v>175</v>
      </c>
      <c r="B145" s="5">
        <v>1</v>
      </c>
      <c r="C145" s="5">
        <v>50.776800000000001</v>
      </c>
      <c r="D145" s="6">
        <v>220902571</v>
      </c>
      <c r="E145" s="5">
        <v>43</v>
      </c>
      <c r="F145" s="5">
        <v>1</v>
      </c>
      <c r="G145" s="7"/>
      <c r="H145" s="5"/>
      <c r="I145" s="7">
        <v>44819</v>
      </c>
      <c r="J145" s="7">
        <v>44846</v>
      </c>
      <c r="K145" s="5">
        <v>8421096277</v>
      </c>
      <c r="L145" s="5"/>
      <c r="M145" s="5">
        <v>4</v>
      </c>
      <c r="N145" s="5">
        <v>1</v>
      </c>
      <c r="O145" s="5">
        <v>1</v>
      </c>
      <c r="P145" s="5">
        <v>1</v>
      </c>
      <c r="Q145" s="5">
        <v>2</v>
      </c>
      <c r="R145" s="5">
        <v>1</v>
      </c>
      <c r="S145" s="5">
        <v>2</v>
      </c>
      <c r="T145" s="5">
        <v>2</v>
      </c>
      <c r="U145" s="5">
        <v>2</v>
      </c>
      <c r="V145" s="5">
        <v>2</v>
      </c>
      <c r="W145" s="5"/>
      <c r="X145" s="5">
        <v>15.2</v>
      </c>
      <c r="Y145" s="5">
        <v>45.1</v>
      </c>
      <c r="Z145" s="5"/>
      <c r="AA145" s="5">
        <v>35.75</v>
      </c>
      <c r="AB145" s="5">
        <v>13.1</v>
      </c>
      <c r="AC145" s="5"/>
      <c r="AD145" s="5"/>
      <c r="AE145" s="5"/>
      <c r="AF145" s="5"/>
      <c r="AG145" s="5"/>
      <c r="AH145" s="5"/>
      <c r="AI145" s="5" t="s">
        <v>176</v>
      </c>
      <c r="AJ145" s="5"/>
      <c r="AK145" s="5"/>
      <c r="AL145" s="5" t="s">
        <v>177</v>
      </c>
      <c r="AM145" s="5"/>
      <c r="AN145" s="5">
        <v>9</v>
      </c>
      <c r="AO145" s="5">
        <v>1</v>
      </c>
      <c r="AP145" s="5">
        <v>3</v>
      </c>
      <c r="AQ145" s="5">
        <v>3</v>
      </c>
      <c r="AR145" s="5">
        <v>5</v>
      </c>
      <c r="AS145" s="5"/>
      <c r="AT145" s="5">
        <v>1</v>
      </c>
      <c r="AU145" s="5">
        <v>1</v>
      </c>
      <c r="AV145" s="5">
        <v>2</v>
      </c>
      <c r="AW145" s="5"/>
      <c r="AX145" s="5"/>
      <c r="AY145" s="5"/>
      <c r="AZ145" s="5"/>
      <c r="BA145" s="5">
        <v>0</v>
      </c>
      <c r="BB145" s="5">
        <v>1</v>
      </c>
      <c r="BC145" s="5">
        <v>100</v>
      </c>
      <c r="BD145" s="5">
        <v>1</v>
      </c>
      <c r="BE145" s="5">
        <v>2</v>
      </c>
      <c r="BF145" s="5">
        <v>2</v>
      </c>
      <c r="BG145" s="5">
        <v>2</v>
      </c>
      <c r="BH145" s="5">
        <v>1</v>
      </c>
      <c r="BI145" s="5">
        <v>1</v>
      </c>
      <c r="BJ145" s="5">
        <v>1</v>
      </c>
      <c r="BK145" s="5">
        <v>0</v>
      </c>
      <c r="BL145" s="5">
        <v>1</v>
      </c>
      <c r="BM145" s="5">
        <v>2</v>
      </c>
      <c r="BN145" s="5">
        <v>2</v>
      </c>
      <c r="BO145" s="5">
        <v>1</v>
      </c>
      <c r="BP145" s="5">
        <v>0</v>
      </c>
      <c r="BQ145" s="5">
        <v>1</v>
      </c>
      <c r="BR145" s="5">
        <v>17</v>
      </c>
      <c r="BS145" s="5">
        <v>1</v>
      </c>
      <c r="BT145" s="5">
        <v>1</v>
      </c>
      <c r="BU145" s="5"/>
    </row>
    <row r="146" spans="1:73" x14ac:dyDescent="0.25">
      <c r="A146" s="5" t="s">
        <v>76</v>
      </c>
      <c r="B146" s="5">
        <v>1</v>
      </c>
      <c r="C146" s="5">
        <v>53.894500000000001</v>
      </c>
      <c r="D146" s="6">
        <v>240000000000</v>
      </c>
      <c r="E146" s="5">
        <v>50</v>
      </c>
      <c r="F146" s="5">
        <v>1</v>
      </c>
      <c r="G146" s="7">
        <v>45294</v>
      </c>
      <c r="H146" s="11">
        <v>0.76041666666666663</v>
      </c>
      <c r="I146" s="7">
        <v>45294</v>
      </c>
      <c r="J146" s="7">
        <v>45306</v>
      </c>
      <c r="K146" s="5">
        <v>7822843581</v>
      </c>
      <c r="L146" s="5"/>
      <c r="M146" s="5">
        <v>24</v>
      </c>
      <c r="N146" s="5">
        <v>1</v>
      </c>
      <c r="O146" s="5">
        <v>2</v>
      </c>
      <c r="P146" s="5">
        <v>2</v>
      </c>
      <c r="Q146" s="5">
        <v>1</v>
      </c>
      <c r="R146" s="5">
        <v>1</v>
      </c>
      <c r="S146" s="5">
        <v>2</v>
      </c>
      <c r="T146" s="5">
        <v>2</v>
      </c>
      <c r="U146" s="5">
        <v>2</v>
      </c>
      <c r="V146" s="5">
        <v>2</v>
      </c>
      <c r="W146" s="5" t="s">
        <v>77</v>
      </c>
      <c r="X146" s="5">
        <v>13.5</v>
      </c>
      <c r="Y146" s="5">
        <v>41</v>
      </c>
      <c r="Z146" s="5">
        <v>97.2</v>
      </c>
      <c r="AA146" s="5">
        <v>33.42</v>
      </c>
      <c r="AB146" s="5">
        <v>5.6</v>
      </c>
      <c r="AC146" s="5">
        <v>115</v>
      </c>
      <c r="AD146" s="5">
        <v>64.400000000000006</v>
      </c>
      <c r="AE146" s="5">
        <v>31</v>
      </c>
      <c r="AF146" s="5">
        <v>19.600000000000001</v>
      </c>
      <c r="AG146" s="5">
        <v>98</v>
      </c>
      <c r="AH146" s="5">
        <v>156</v>
      </c>
      <c r="AI146" s="5"/>
      <c r="AJ146" s="5"/>
      <c r="AK146" s="5" t="s">
        <v>78</v>
      </c>
      <c r="AL146" s="5" t="s">
        <v>79</v>
      </c>
      <c r="AM146" s="5"/>
      <c r="AN146" s="5">
        <v>8</v>
      </c>
      <c r="AO146" s="5">
        <v>2</v>
      </c>
      <c r="AP146" s="5">
        <v>2</v>
      </c>
      <c r="AQ146" s="5">
        <v>1</v>
      </c>
      <c r="AR146" s="5">
        <v>3</v>
      </c>
      <c r="AS146" s="5"/>
      <c r="AT146" s="5">
        <v>1</v>
      </c>
      <c r="AU146" s="5">
        <v>1</v>
      </c>
      <c r="AV146" s="5">
        <v>2</v>
      </c>
      <c r="AW146" s="5">
        <v>4</v>
      </c>
      <c r="AX146" s="5">
        <v>8</v>
      </c>
      <c r="AY146" s="5">
        <v>2</v>
      </c>
      <c r="AZ146" s="5">
        <v>2</v>
      </c>
      <c r="BA146" s="5">
        <v>0</v>
      </c>
      <c r="BB146" s="5">
        <v>1</v>
      </c>
      <c r="BC146" s="5">
        <v>100</v>
      </c>
      <c r="BD146" s="5">
        <v>1</v>
      </c>
      <c r="BE146" s="5">
        <v>2</v>
      </c>
      <c r="BF146" s="5">
        <v>2</v>
      </c>
      <c r="BG146" s="5">
        <v>2</v>
      </c>
      <c r="BH146" s="5">
        <v>1</v>
      </c>
      <c r="BI146" s="5">
        <v>1</v>
      </c>
      <c r="BJ146" s="5">
        <v>1</v>
      </c>
      <c r="BK146" s="5">
        <v>0</v>
      </c>
      <c r="BL146" s="5">
        <v>0</v>
      </c>
      <c r="BM146" s="5">
        <v>0</v>
      </c>
      <c r="BN146" s="5">
        <v>0</v>
      </c>
      <c r="BO146" s="5">
        <v>0</v>
      </c>
      <c r="BP146" s="5">
        <v>0</v>
      </c>
      <c r="BQ146" s="5">
        <v>1</v>
      </c>
      <c r="BR146" s="5">
        <v>11</v>
      </c>
      <c r="BS146" s="5">
        <v>0</v>
      </c>
      <c r="BT146" s="5">
        <v>1</v>
      </c>
      <c r="BU146" s="5"/>
    </row>
    <row r="147" spans="1:73" x14ac:dyDescent="0.25">
      <c r="A147" s="5" t="s">
        <v>538</v>
      </c>
      <c r="B147" s="5">
        <v>0</v>
      </c>
      <c r="C147" s="5">
        <v>56.451599999999999</v>
      </c>
      <c r="D147" s="6">
        <v>240000013172</v>
      </c>
      <c r="E147" s="5">
        <v>85</v>
      </c>
      <c r="F147" s="5">
        <v>2</v>
      </c>
      <c r="G147" s="7" t="s">
        <v>539</v>
      </c>
      <c r="H147" s="20">
        <v>0.72916666666666663</v>
      </c>
      <c r="I147" s="7" t="s">
        <v>539</v>
      </c>
      <c r="J147" s="7" t="s">
        <v>540</v>
      </c>
      <c r="K147" s="5">
        <v>7058983347</v>
      </c>
      <c r="L147" s="5"/>
      <c r="M147" s="5">
        <v>21</v>
      </c>
      <c r="N147" s="5">
        <v>1</v>
      </c>
      <c r="O147" s="5">
        <v>2</v>
      </c>
      <c r="P147" s="5">
        <v>2</v>
      </c>
      <c r="Q147" s="5">
        <v>2</v>
      </c>
      <c r="R147" s="5">
        <v>2</v>
      </c>
      <c r="S147" s="5">
        <v>2</v>
      </c>
      <c r="T147" s="5">
        <v>2</v>
      </c>
      <c r="U147" s="5">
        <v>2</v>
      </c>
      <c r="V147" s="5">
        <v>2</v>
      </c>
      <c r="W147" s="5"/>
      <c r="X147" s="5"/>
      <c r="Y147" s="5"/>
      <c r="Z147" s="5"/>
      <c r="AA147" s="5"/>
      <c r="AB147" s="5"/>
      <c r="AC147" s="5"/>
      <c r="AD147" s="5"/>
      <c r="AE147" s="5"/>
      <c r="AF147" s="5"/>
      <c r="AG147" s="5"/>
      <c r="AH147" s="5"/>
      <c r="AI147" s="5"/>
      <c r="AJ147" s="5"/>
      <c r="AK147" s="5" t="s">
        <v>541</v>
      </c>
      <c r="AL147" s="5"/>
      <c r="AM147" s="5"/>
      <c r="AN147" s="5">
        <v>7</v>
      </c>
      <c r="AO147" s="5">
        <v>1</v>
      </c>
      <c r="AP147" s="5">
        <v>2</v>
      </c>
      <c r="AQ147" s="5">
        <v>1</v>
      </c>
      <c r="AR147" s="5">
        <v>3</v>
      </c>
      <c r="AS147" s="5"/>
      <c r="AT147" s="5">
        <v>1</v>
      </c>
      <c r="AU147" s="5">
        <v>2</v>
      </c>
      <c r="AV147" s="5">
        <v>1</v>
      </c>
      <c r="AW147" s="5">
        <v>1</v>
      </c>
      <c r="AX147" s="5">
        <v>8</v>
      </c>
      <c r="AY147" s="5">
        <v>2</v>
      </c>
      <c r="AZ147" s="5">
        <v>2</v>
      </c>
      <c r="BA147" s="5">
        <v>6</v>
      </c>
      <c r="BB147" s="5">
        <v>2</v>
      </c>
      <c r="BC147" s="5">
        <v>0</v>
      </c>
      <c r="BD147" s="5">
        <v>1</v>
      </c>
      <c r="BE147" s="5">
        <v>2</v>
      </c>
      <c r="BF147" s="5">
        <v>2</v>
      </c>
      <c r="BG147" s="5">
        <v>2</v>
      </c>
      <c r="BH147" s="5">
        <v>1</v>
      </c>
      <c r="BI147" s="5">
        <v>1</v>
      </c>
      <c r="BJ147" s="5">
        <v>1</v>
      </c>
      <c r="BK147" s="5">
        <v>1</v>
      </c>
      <c r="BL147" s="5">
        <v>2</v>
      </c>
      <c r="BM147" s="5">
        <v>0</v>
      </c>
      <c r="BN147" s="5">
        <v>0</v>
      </c>
      <c r="BO147" s="5">
        <v>0</v>
      </c>
      <c r="BP147" s="5">
        <v>0</v>
      </c>
      <c r="BQ147" s="5">
        <v>1</v>
      </c>
      <c r="BR147" s="5">
        <v>14</v>
      </c>
      <c r="BS147" s="5">
        <v>1</v>
      </c>
      <c r="BT147" s="5">
        <v>1</v>
      </c>
      <c r="BU147" s="5" t="s">
        <v>373</v>
      </c>
    </row>
    <row r="148" spans="1:73" x14ac:dyDescent="0.25">
      <c r="A148" s="5" t="s">
        <v>317</v>
      </c>
      <c r="B148" s="5">
        <v>1</v>
      </c>
      <c r="C148" s="5">
        <v>60.287399999999998</v>
      </c>
      <c r="D148" s="6">
        <v>230200233</v>
      </c>
      <c r="E148" s="5">
        <v>57</v>
      </c>
      <c r="F148" s="5">
        <v>2</v>
      </c>
      <c r="G148" s="7">
        <v>44958</v>
      </c>
      <c r="H148" s="11">
        <v>0.67708333333333337</v>
      </c>
      <c r="I148" s="7">
        <v>44958</v>
      </c>
      <c r="J148" s="7">
        <v>44966</v>
      </c>
      <c r="K148" s="5">
        <v>8698424544</v>
      </c>
      <c r="L148" s="5"/>
      <c r="M148" s="5">
        <v>14</v>
      </c>
      <c r="N148" s="5">
        <v>2</v>
      </c>
      <c r="O148" s="5">
        <v>2</v>
      </c>
      <c r="P148" s="5">
        <v>2</v>
      </c>
      <c r="Q148" s="5">
        <v>2</v>
      </c>
      <c r="R148" s="5">
        <v>2</v>
      </c>
      <c r="S148" s="5">
        <v>2</v>
      </c>
      <c r="T148" s="5">
        <v>2</v>
      </c>
      <c r="U148" s="5">
        <v>2</v>
      </c>
      <c r="V148" s="5">
        <v>2</v>
      </c>
      <c r="W148" s="5" t="s">
        <v>318</v>
      </c>
      <c r="X148" s="5">
        <v>11.7</v>
      </c>
      <c r="Y148" s="5">
        <v>33.6</v>
      </c>
      <c r="Z148" s="5"/>
      <c r="AA148" s="5">
        <v>81.62</v>
      </c>
      <c r="AB148" s="5"/>
      <c r="AC148" s="5"/>
      <c r="AD148" s="5"/>
      <c r="AE148" s="5"/>
      <c r="AF148" s="5"/>
      <c r="AG148" s="5"/>
      <c r="AH148" s="5">
        <v>219</v>
      </c>
      <c r="AI148" s="5" t="s">
        <v>319</v>
      </c>
      <c r="AJ148" s="5"/>
      <c r="AK148" s="5" t="s">
        <v>320</v>
      </c>
      <c r="AL148" s="5" t="s">
        <v>321</v>
      </c>
      <c r="AM148" s="5" t="s">
        <v>322</v>
      </c>
      <c r="AN148" s="5">
        <v>8</v>
      </c>
      <c r="AO148" s="5" t="s">
        <v>720</v>
      </c>
      <c r="AP148" s="5">
        <v>3</v>
      </c>
      <c r="AQ148" s="5">
        <v>2</v>
      </c>
      <c r="AR148" s="5">
        <v>5</v>
      </c>
      <c r="AS148" s="5"/>
      <c r="AT148" s="5">
        <v>1</v>
      </c>
      <c r="AU148" s="5">
        <v>1</v>
      </c>
      <c r="AV148" s="5">
        <v>2</v>
      </c>
      <c r="AW148" s="5">
        <v>4</v>
      </c>
      <c r="AX148" s="5">
        <v>8</v>
      </c>
      <c r="AY148" s="5">
        <v>2</v>
      </c>
      <c r="AZ148" s="5">
        <v>2</v>
      </c>
      <c r="BA148" s="5">
        <v>0</v>
      </c>
      <c r="BB148" s="5">
        <v>1</v>
      </c>
      <c r="BC148" s="5">
        <v>100</v>
      </c>
      <c r="BD148" s="5">
        <v>1</v>
      </c>
      <c r="BE148" s="5">
        <v>2</v>
      </c>
      <c r="BF148" s="5">
        <v>2</v>
      </c>
      <c r="BG148" s="5">
        <v>1</v>
      </c>
      <c r="BH148" s="5">
        <v>1</v>
      </c>
      <c r="BI148" s="5">
        <v>1</v>
      </c>
      <c r="BJ148" s="5">
        <v>1</v>
      </c>
      <c r="BK148" s="5">
        <v>1</v>
      </c>
      <c r="BL148" s="5">
        <v>2</v>
      </c>
      <c r="BM148" s="5">
        <v>2</v>
      </c>
      <c r="BN148" s="5">
        <v>2</v>
      </c>
      <c r="BO148" s="5">
        <v>1</v>
      </c>
      <c r="BP148" s="5">
        <v>1</v>
      </c>
      <c r="BQ148" s="5">
        <v>1</v>
      </c>
      <c r="BR148" s="5">
        <v>19</v>
      </c>
      <c r="BS148" s="5">
        <v>1</v>
      </c>
      <c r="BT148" s="5">
        <v>0</v>
      </c>
      <c r="BU148" s="5"/>
    </row>
    <row r="149" spans="1:73" x14ac:dyDescent="0.25">
      <c r="A149" s="5" t="s">
        <v>223</v>
      </c>
      <c r="B149" s="5">
        <v>1</v>
      </c>
      <c r="C149" s="5">
        <v>60.874600000000001</v>
      </c>
      <c r="D149" s="6">
        <v>220904362</v>
      </c>
      <c r="E149" s="5">
        <v>65</v>
      </c>
      <c r="F149" s="5">
        <v>2</v>
      </c>
      <c r="G149" s="7"/>
      <c r="H149" s="5"/>
      <c r="I149" s="7">
        <v>44827</v>
      </c>
      <c r="J149" s="7">
        <v>44829</v>
      </c>
      <c r="K149" s="5">
        <v>9657788822</v>
      </c>
      <c r="L149" s="5">
        <v>9112318022</v>
      </c>
      <c r="M149" s="5">
        <v>24</v>
      </c>
      <c r="N149" s="5">
        <v>1</v>
      </c>
      <c r="O149" s="5">
        <v>2</v>
      </c>
      <c r="P149" s="5">
        <v>2</v>
      </c>
      <c r="Q149" s="5">
        <v>2</v>
      </c>
      <c r="R149" s="5">
        <v>2</v>
      </c>
      <c r="S149" s="5">
        <v>2</v>
      </c>
      <c r="T149" s="5">
        <v>2</v>
      </c>
      <c r="U149" s="5">
        <v>2</v>
      </c>
      <c r="V149" s="5">
        <v>2</v>
      </c>
      <c r="W149" s="5" t="s">
        <v>224</v>
      </c>
      <c r="X149" s="5">
        <v>12</v>
      </c>
      <c r="Y149" s="5">
        <v>38.9</v>
      </c>
      <c r="Z149" s="5"/>
      <c r="AA149" s="5">
        <v>8</v>
      </c>
      <c r="AB149" s="5"/>
      <c r="AC149" s="5"/>
      <c r="AD149" s="5"/>
      <c r="AE149" s="5"/>
      <c r="AF149" s="5"/>
      <c r="AG149" s="5"/>
      <c r="AH149" s="5">
        <v>732</v>
      </c>
      <c r="AI149" s="5" t="s">
        <v>225</v>
      </c>
      <c r="AJ149" s="5"/>
      <c r="AK149" s="5" t="s">
        <v>226</v>
      </c>
      <c r="AL149" s="5" t="s">
        <v>227</v>
      </c>
      <c r="AM149" s="5"/>
      <c r="AN149" s="5">
        <v>8</v>
      </c>
      <c r="AO149" s="5">
        <v>2</v>
      </c>
      <c r="AP149" s="5">
        <v>3</v>
      </c>
      <c r="AQ149" s="5">
        <v>3</v>
      </c>
      <c r="AR149" s="5">
        <v>4</v>
      </c>
      <c r="AS149" s="5"/>
      <c r="AT149" s="5">
        <v>1</v>
      </c>
      <c r="AU149" s="5">
        <v>1</v>
      </c>
      <c r="AV149" s="5">
        <v>2</v>
      </c>
      <c r="AW149" s="5">
        <v>4</v>
      </c>
      <c r="AX149" s="5"/>
      <c r="AY149" s="5">
        <v>2</v>
      </c>
      <c r="AZ149" s="5">
        <v>2</v>
      </c>
      <c r="BA149" s="5">
        <v>0</v>
      </c>
      <c r="BB149" s="5">
        <v>1</v>
      </c>
      <c r="BC149" s="5">
        <v>100</v>
      </c>
      <c r="BD149" s="5">
        <v>1</v>
      </c>
      <c r="BE149" s="5">
        <v>2</v>
      </c>
      <c r="BF149" s="5">
        <v>1</v>
      </c>
      <c r="BG149" s="5">
        <v>1</v>
      </c>
      <c r="BH149" s="5">
        <v>1</v>
      </c>
      <c r="BI149" s="5">
        <v>1</v>
      </c>
      <c r="BJ149" s="5">
        <v>1</v>
      </c>
      <c r="BK149" s="5">
        <v>1</v>
      </c>
      <c r="BL149" s="5">
        <v>2</v>
      </c>
      <c r="BM149" s="5">
        <v>2</v>
      </c>
      <c r="BN149" s="5">
        <v>2</v>
      </c>
      <c r="BO149" s="5">
        <v>1</v>
      </c>
      <c r="BP149" s="5">
        <v>1</v>
      </c>
      <c r="BQ149" s="5">
        <v>1</v>
      </c>
      <c r="BR149" s="5">
        <v>18</v>
      </c>
      <c r="BS149" s="5">
        <v>1</v>
      </c>
      <c r="BT149" s="5">
        <v>1</v>
      </c>
      <c r="BU149" s="5"/>
    </row>
    <row r="150" spans="1:73" x14ac:dyDescent="0.25">
      <c r="A150" s="5" t="s">
        <v>80</v>
      </c>
      <c r="B150" s="5">
        <v>1</v>
      </c>
      <c r="C150" s="5">
        <v>65.188599999999994</v>
      </c>
      <c r="D150" s="6">
        <v>230703109</v>
      </c>
      <c r="E150" s="5">
        <v>58</v>
      </c>
      <c r="F150" s="5">
        <v>1</v>
      </c>
      <c r="G150" s="7">
        <v>45130</v>
      </c>
      <c r="H150" s="11">
        <v>0.58333333333333337</v>
      </c>
      <c r="I150" s="7">
        <v>45130</v>
      </c>
      <c r="J150" s="7">
        <v>45141</v>
      </c>
      <c r="K150" s="5">
        <v>7276991493</v>
      </c>
      <c r="L150" s="5"/>
      <c r="M150" s="5">
        <v>6</v>
      </c>
      <c r="N150" s="5">
        <v>1</v>
      </c>
      <c r="O150" s="5">
        <v>1</v>
      </c>
      <c r="P150" s="5">
        <v>2</v>
      </c>
      <c r="Q150" s="5">
        <v>2</v>
      </c>
      <c r="R150" s="5">
        <v>2</v>
      </c>
      <c r="S150" s="5">
        <v>2</v>
      </c>
      <c r="T150" s="5">
        <v>2</v>
      </c>
      <c r="U150" s="5">
        <v>2</v>
      </c>
      <c r="V150" s="5">
        <v>2</v>
      </c>
      <c r="W150" s="5" t="s">
        <v>81</v>
      </c>
      <c r="X150" s="5">
        <v>14.9</v>
      </c>
      <c r="Y150" s="5"/>
      <c r="Z150" s="5"/>
      <c r="AA150" s="5">
        <v>26.58</v>
      </c>
      <c r="AB150" s="5">
        <v>11.2</v>
      </c>
      <c r="AC150" s="5">
        <v>177</v>
      </c>
      <c r="AD150" s="5">
        <v>118.8</v>
      </c>
      <c r="AE150" s="5">
        <v>50</v>
      </c>
      <c r="AF150" s="5">
        <v>8.1999999999999993</v>
      </c>
      <c r="AG150" s="5">
        <v>41</v>
      </c>
      <c r="AH150" s="5">
        <v>267</v>
      </c>
      <c r="AI150" s="5"/>
      <c r="AJ150" s="5"/>
      <c r="AK150" s="5" t="s">
        <v>82</v>
      </c>
      <c r="AL150" s="5" t="s">
        <v>83</v>
      </c>
      <c r="AM150" s="5"/>
      <c r="AN150" s="5">
        <v>8</v>
      </c>
      <c r="AO150" s="5" t="s">
        <v>720</v>
      </c>
      <c r="AP150" s="5">
        <v>3</v>
      </c>
      <c r="AQ150" s="5">
        <v>3</v>
      </c>
      <c r="AR150" s="5">
        <v>5</v>
      </c>
      <c r="AS150" s="5"/>
      <c r="AT150" s="5">
        <v>1</v>
      </c>
      <c r="AU150" s="5">
        <v>1</v>
      </c>
      <c r="AV150" s="5">
        <v>2</v>
      </c>
      <c r="AW150" s="5"/>
      <c r="AX150" s="5"/>
      <c r="AY150" s="5"/>
      <c r="AZ150" s="5"/>
      <c r="BA150" s="5">
        <v>1</v>
      </c>
      <c r="BB150" s="5">
        <v>1</v>
      </c>
      <c r="BC150" s="5">
        <v>100</v>
      </c>
      <c r="BD150" s="5">
        <v>1</v>
      </c>
      <c r="BE150" s="5">
        <v>2</v>
      </c>
      <c r="BF150" s="5">
        <v>2</v>
      </c>
      <c r="BG150" s="5">
        <v>2</v>
      </c>
      <c r="BH150" s="5">
        <v>1</v>
      </c>
      <c r="BI150" s="5">
        <v>1</v>
      </c>
      <c r="BJ150" s="5">
        <v>1</v>
      </c>
      <c r="BK150" s="5">
        <v>0</v>
      </c>
      <c r="BL150" s="5">
        <v>0</v>
      </c>
      <c r="BM150" s="5">
        <v>0</v>
      </c>
      <c r="BN150" s="5">
        <v>0</v>
      </c>
      <c r="BO150" s="5">
        <v>0</v>
      </c>
      <c r="BP150" s="5">
        <v>0</v>
      </c>
      <c r="BQ150" s="5">
        <v>1</v>
      </c>
      <c r="BR150" s="5">
        <v>11</v>
      </c>
      <c r="BS150" s="5">
        <v>0</v>
      </c>
      <c r="BT150" s="5">
        <v>1</v>
      </c>
      <c r="BU150" s="5"/>
    </row>
    <row r="151" spans="1:73" x14ac:dyDescent="0.25">
      <c r="A151" s="12" t="s">
        <v>98</v>
      </c>
      <c r="B151" s="5">
        <v>1</v>
      </c>
      <c r="C151" s="12">
        <v>66.090999999999994</v>
      </c>
      <c r="D151" s="13">
        <v>200401395</v>
      </c>
      <c r="E151" s="12">
        <v>53</v>
      </c>
      <c r="F151" s="12">
        <v>1</v>
      </c>
      <c r="G151" s="14"/>
      <c r="H151" s="12"/>
      <c r="I151" s="14">
        <v>44957</v>
      </c>
      <c r="J151" s="14">
        <v>44963</v>
      </c>
      <c r="K151" s="12">
        <v>9657461888</v>
      </c>
      <c r="L151" s="12"/>
      <c r="M151" s="12">
        <v>24</v>
      </c>
      <c r="N151" s="12">
        <v>2</v>
      </c>
      <c r="O151" s="12">
        <v>2</v>
      </c>
      <c r="P151" s="12">
        <v>2</v>
      </c>
      <c r="Q151" s="12">
        <v>2</v>
      </c>
      <c r="R151" s="12">
        <v>2</v>
      </c>
      <c r="S151" s="12">
        <v>2</v>
      </c>
      <c r="T151" s="12">
        <v>2</v>
      </c>
      <c r="U151" s="12">
        <v>2</v>
      </c>
      <c r="V151" s="12">
        <v>2</v>
      </c>
      <c r="W151" s="12" t="s">
        <v>99</v>
      </c>
      <c r="X151" s="12">
        <v>13.4</v>
      </c>
      <c r="Y151" s="12">
        <v>37.9</v>
      </c>
      <c r="Z151" s="12"/>
      <c r="AA151" s="12">
        <v>20.57</v>
      </c>
      <c r="AB151" s="12"/>
      <c r="AC151" s="12"/>
      <c r="AD151" s="12"/>
      <c r="AE151" s="12"/>
      <c r="AF151" s="12"/>
      <c r="AG151" s="12"/>
      <c r="AH151" s="12">
        <v>209</v>
      </c>
      <c r="AI151" s="12" t="s">
        <v>100</v>
      </c>
      <c r="AJ151" s="12"/>
      <c r="AK151" s="12"/>
      <c r="AL151" s="12" t="s">
        <v>101</v>
      </c>
      <c r="AM151" s="12"/>
      <c r="AN151" s="12">
        <v>7</v>
      </c>
      <c r="AO151" s="12">
        <v>2</v>
      </c>
      <c r="AP151" s="12">
        <v>3</v>
      </c>
      <c r="AQ151" s="12">
        <v>1</v>
      </c>
      <c r="AR151" s="12">
        <v>3</v>
      </c>
      <c r="AS151" s="12"/>
      <c r="AT151" s="12"/>
      <c r="AU151" s="12"/>
      <c r="AV151" s="12"/>
      <c r="AW151" s="12"/>
      <c r="AX151" s="12"/>
      <c r="AY151" s="12"/>
      <c r="AZ151" s="12"/>
      <c r="BA151" s="12">
        <v>0</v>
      </c>
      <c r="BB151" s="5">
        <v>1</v>
      </c>
      <c r="BC151" s="12">
        <v>100</v>
      </c>
      <c r="BD151" s="12">
        <v>1</v>
      </c>
      <c r="BE151" s="12">
        <v>2</v>
      </c>
      <c r="BF151" s="12">
        <v>2</v>
      </c>
      <c r="BG151" s="12">
        <v>2</v>
      </c>
      <c r="BH151" s="12">
        <v>1</v>
      </c>
      <c r="BI151" s="12">
        <v>1</v>
      </c>
      <c r="BJ151" s="12">
        <v>1</v>
      </c>
      <c r="BK151" s="12">
        <v>0</v>
      </c>
      <c r="BL151" s="12">
        <v>2</v>
      </c>
      <c r="BM151" s="12">
        <v>0</v>
      </c>
      <c r="BN151" s="12">
        <v>0</v>
      </c>
      <c r="BO151" s="12">
        <v>0</v>
      </c>
      <c r="BP151" s="12">
        <v>0</v>
      </c>
      <c r="BQ151" s="12">
        <v>1</v>
      </c>
      <c r="BR151" s="12">
        <v>14</v>
      </c>
      <c r="BS151" s="12">
        <v>0</v>
      </c>
      <c r="BT151" s="12">
        <v>1</v>
      </c>
      <c r="BU151" s="12"/>
    </row>
    <row r="152" spans="1:73" x14ac:dyDescent="0.25">
      <c r="A152" s="5" t="s">
        <v>573</v>
      </c>
      <c r="B152" s="5">
        <v>0</v>
      </c>
      <c r="C152" s="5">
        <v>67.707099999999997</v>
      </c>
      <c r="D152" s="6">
        <v>230403075</v>
      </c>
      <c r="E152" s="5">
        <v>65</v>
      </c>
      <c r="F152" s="5">
        <v>2</v>
      </c>
      <c r="G152" s="7"/>
      <c r="H152" s="5"/>
      <c r="I152" s="7">
        <v>45035</v>
      </c>
      <c r="J152" s="7"/>
      <c r="K152" s="5">
        <v>9158797476</v>
      </c>
      <c r="L152" s="5"/>
      <c r="M152" s="5">
        <v>10</v>
      </c>
      <c r="N152" s="5">
        <v>2</v>
      </c>
      <c r="O152" s="5">
        <v>1</v>
      </c>
      <c r="P152" s="5">
        <v>2</v>
      </c>
      <c r="Q152" s="5">
        <v>2</v>
      </c>
      <c r="R152" s="5">
        <v>2</v>
      </c>
      <c r="S152" s="5">
        <v>2</v>
      </c>
      <c r="T152" s="5">
        <v>2</v>
      </c>
      <c r="U152" s="5">
        <v>2</v>
      </c>
      <c r="V152" s="5">
        <v>2</v>
      </c>
      <c r="W152" s="5"/>
      <c r="X152" s="5">
        <v>13</v>
      </c>
      <c r="Y152" s="5">
        <v>39.700000000000003</v>
      </c>
      <c r="Z152" s="5"/>
      <c r="AA152" s="5">
        <v>6.51</v>
      </c>
      <c r="AB152" s="5">
        <v>14.3</v>
      </c>
      <c r="AC152" s="5">
        <v>198</v>
      </c>
      <c r="AD152" s="5">
        <v>109.2</v>
      </c>
      <c r="AE152" s="5">
        <v>29</v>
      </c>
      <c r="AF152" s="5"/>
      <c r="AG152" s="5">
        <v>299</v>
      </c>
      <c r="AH152" s="5">
        <v>413</v>
      </c>
      <c r="AI152" s="5" t="s">
        <v>574</v>
      </c>
      <c r="AJ152" s="5"/>
      <c r="AK152" s="5"/>
      <c r="AL152" s="5" t="s">
        <v>575</v>
      </c>
      <c r="AM152" s="5"/>
      <c r="AN152" s="5">
        <v>7</v>
      </c>
      <c r="AO152" s="5">
        <v>1</v>
      </c>
      <c r="AP152" s="5">
        <v>2</v>
      </c>
      <c r="AQ152" s="5">
        <v>2</v>
      </c>
      <c r="AR152" s="5">
        <v>4</v>
      </c>
      <c r="AS152" s="5"/>
      <c r="AT152" s="5">
        <v>1</v>
      </c>
      <c r="AU152" s="5">
        <v>1</v>
      </c>
      <c r="AV152" s="5">
        <v>2</v>
      </c>
      <c r="AW152" s="5"/>
      <c r="AX152" s="5">
        <v>4</v>
      </c>
      <c r="AY152" s="5">
        <v>2</v>
      </c>
      <c r="AZ152" s="5">
        <v>2</v>
      </c>
      <c r="BA152" s="5">
        <v>1</v>
      </c>
      <c r="BB152" s="5">
        <v>1</v>
      </c>
      <c r="BC152" s="5">
        <v>100</v>
      </c>
      <c r="BD152" s="5">
        <v>1</v>
      </c>
      <c r="BE152" s="5">
        <v>2</v>
      </c>
      <c r="BF152" s="5">
        <v>2</v>
      </c>
      <c r="BG152" s="5">
        <v>2</v>
      </c>
      <c r="BH152" s="5">
        <v>0</v>
      </c>
      <c r="BI152" s="5">
        <v>1</v>
      </c>
      <c r="BJ152" s="5">
        <v>1</v>
      </c>
      <c r="BK152" s="5">
        <v>1</v>
      </c>
      <c r="BL152" s="5">
        <v>2</v>
      </c>
      <c r="BM152" s="5">
        <v>2</v>
      </c>
      <c r="BN152" s="5">
        <v>2</v>
      </c>
      <c r="BO152" s="5">
        <v>1</v>
      </c>
      <c r="BP152" s="5">
        <v>1</v>
      </c>
      <c r="BQ152" s="5">
        <v>1</v>
      </c>
      <c r="BR152" s="5">
        <v>19</v>
      </c>
      <c r="BS152" s="5">
        <v>1</v>
      </c>
      <c r="BT152" s="5">
        <v>1</v>
      </c>
      <c r="BU152" s="5"/>
    </row>
    <row r="153" spans="1:73" x14ac:dyDescent="0.25">
      <c r="A153" s="5" t="s">
        <v>511</v>
      </c>
      <c r="B153" s="5">
        <v>0</v>
      </c>
      <c r="C153" s="5">
        <v>73.494699999999995</v>
      </c>
      <c r="D153" s="9">
        <f>VLOOKUP($A153,'[1]24-8-24 DATA ENTRY'!$A$1:$BR$303,3,FALSE)</f>
        <v>240000049153</v>
      </c>
      <c r="E153" s="9">
        <f>VLOOKUP($A153,'[1]24-8-24 DATA ENTRY'!$A$1:$BR$303,4,FALSE)</f>
        <v>46</v>
      </c>
      <c r="F153" s="9">
        <f>VLOOKUP($A153,'[1]24-8-24 DATA ENTRY'!$A$1:$BR$303,5,FALSE)</f>
        <v>1</v>
      </c>
      <c r="G153" s="10">
        <f>VLOOKUP($A153,'[1]24-8-24 DATA ENTRY'!$A$1:$BR$303,6,FALSE)</f>
        <v>45446</v>
      </c>
      <c r="H153" s="9">
        <f>VLOOKUP($A153,'[1]24-8-24 DATA ENTRY'!$A$1:$BR$303,7,FALSE)</f>
        <v>0.3125</v>
      </c>
      <c r="I153" s="10">
        <f>VLOOKUP($A153,'[1]24-8-24 DATA ENTRY'!$A$1:$BR$303,8,FALSE)</f>
        <v>45446</v>
      </c>
      <c r="J153" s="10">
        <f>VLOOKUP($A153,'[1]24-8-24 DATA ENTRY'!$A$1:$BR$303,9,FALSE)</f>
        <v>45449</v>
      </c>
      <c r="K153" s="9">
        <f>VLOOKUP($A153,'[1]24-8-24 DATA ENTRY'!$A$1:$BR$303,10,FALSE)</f>
        <v>9822757106</v>
      </c>
      <c r="L153" s="9">
        <f>VLOOKUP($A153,'[1]24-8-24 DATA ENTRY'!$A$1:$BR$303,11,FALSE)</f>
        <v>0</v>
      </c>
      <c r="M153" s="9">
        <f>VLOOKUP($A153,'[1]24-8-24 DATA ENTRY'!$A$1:$BR$303,12,FALSE)</f>
        <v>3</v>
      </c>
      <c r="N153" s="9">
        <f>VLOOKUP($A153,'[1]24-8-24 DATA ENTRY'!$A$1:$BR$303,13,FALSE)</f>
        <v>1</v>
      </c>
      <c r="O153" s="9">
        <f>VLOOKUP($A153,'[1]24-8-24 DATA ENTRY'!$A$1:$BR$303,14,FALSE)</f>
        <v>2</v>
      </c>
      <c r="P153" s="9">
        <f>VLOOKUP($A153,'[1]24-8-24 DATA ENTRY'!$A$1:$BR$303,15,FALSE)</f>
        <v>2</v>
      </c>
      <c r="Q153" s="9">
        <f>VLOOKUP($A153,'[1]24-8-24 DATA ENTRY'!$A$1:$BR$303,16,FALSE)</f>
        <v>2</v>
      </c>
      <c r="R153" s="9">
        <f>VLOOKUP($A153,'[1]24-8-24 DATA ENTRY'!$A$1:$BR$303,17,FALSE)</f>
        <v>2</v>
      </c>
      <c r="S153" s="9">
        <f>VLOOKUP($A153,'[1]24-8-24 DATA ENTRY'!$A$1:$BR$303,18,FALSE)</f>
        <v>2</v>
      </c>
      <c r="T153" s="9">
        <f>VLOOKUP($A153,'[1]24-8-24 DATA ENTRY'!$A$1:$BR$303,19,FALSE)</f>
        <v>2</v>
      </c>
      <c r="U153" s="9" t="e">
        <f>VLOOKUP($A153,'[1]24-8-24 DATA ENTRY'!$A$1:$BR$278,20,FALSE)</f>
        <v>#N/A</v>
      </c>
      <c r="V153" s="9">
        <f>VLOOKUP($A153,'[1]24-8-24 DATA ENTRY'!$A$1:$BR$303,21,FALSE)</f>
        <v>2</v>
      </c>
      <c r="W153" s="9">
        <f>VLOOKUP($A153,'[1]24-8-24 DATA ENTRY'!$A$1:$BR$303,22,FALSE)</f>
        <v>0</v>
      </c>
      <c r="X153" s="9">
        <f>VLOOKUP($A153,'[1]24-8-24 DATA ENTRY'!$A$1:$BR$303,23,FALSE)</f>
        <v>14.2</v>
      </c>
      <c r="Y153" s="9">
        <f>VLOOKUP($A153,'[1]24-8-24 DATA ENTRY'!$A$1:$BR$303,24,FALSE)</f>
        <v>43.9</v>
      </c>
      <c r="Z153" s="9">
        <f>VLOOKUP($A153,'[1]24-8-24 DATA ENTRY'!$A$1:$BR$303,25,FALSE)</f>
        <v>82.6</v>
      </c>
      <c r="AA153" s="9">
        <f>VLOOKUP($A153,'[1]24-8-24 DATA ENTRY'!$A$1:$BR$303,26,FALSE)</f>
        <v>9</v>
      </c>
      <c r="AB153" s="9">
        <f>VLOOKUP($A153,'[1]24-8-24 DATA ENTRY'!$A$1:$BR$303,27,FALSE)</f>
        <v>5.5</v>
      </c>
      <c r="AC153" s="9">
        <f>VLOOKUP($A153,'[1]24-8-24 DATA ENTRY'!$A$1:$BR$303,28,FALSE)</f>
        <v>161</v>
      </c>
      <c r="AD153" s="9">
        <f>VLOOKUP($A153,'[1]24-8-24 DATA ENTRY'!$A$1:$BR$303,29,FALSE)</f>
        <v>88</v>
      </c>
      <c r="AE153" s="9">
        <f>VLOOKUP($A153,'[1]24-8-24 DATA ENTRY'!$A$1:$BR$2303,30,FALSE)</f>
        <v>46</v>
      </c>
      <c r="AF153" s="9">
        <f>VLOOKUP($A153,'[1]24-8-24 DATA ENTRY'!$A$1:$BR$303,31,FALSE)</f>
        <v>26</v>
      </c>
      <c r="AG153" s="9">
        <f>VLOOKUP($A153,'[1]24-8-24 DATA ENTRY'!$A$1:$BR$303,32,FALSE)</f>
        <v>132</v>
      </c>
      <c r="AH153" s="9">
        <f>VLOOKUP($A153,'[1]24-8-24 DATA ENTRY'!$A$1:$BR$303,33,FALSE)</f>
        <v>0</v>
      </c>
      <c r="AI153" s="9">
        <f>VLOOKUP($A153,'[1]24-8-24 DATA ENTRY'!$A$1:$BR$303,34,FALSE)</f>
        <v>0</v>
      </c>
      <c r="AJ153" s="9">
        <f>VLOOKUP($A153,'[1]24-8-24 DATA ENTRY'!$A$1:$BR$303,35,FALSE)</f>
        <v>0</v>
      </c>
      <c r="AK153" s="9" t="str">
        <f>VLOOKUP($A153,'[1]24-8-24 DATA ENTRY'!$A$1:$BR$303,36,FALSE)</f>
        <v>hypodensity seen in left temporo-partietal lobe, Lt MCA stroke with Left ICA terminal occlusion</v>
      </c>
      <c r="AL153" s="9" t="str">
        <f>VLOOKUP($A153,'[1]24-8-24 DATA ENTRY'!$A$1:$BR$303,37,FALSE)</f>
        <v>Gyperintense signal with restricted diffusion seen in left temporo-parietal region, Moderate to severe narrowing of left thrombosis of left ICA</v>
      </c>
      <c r="AM153" s="9">
        <f>VLOOKUP($A153,'[1]24-8-24 DATA ENTRY'!$A$1:$BR$303,38,FALSE)</f>
        <v>0</v>
      </c>
      <c r="AN153" s="9">
        <f>VLOOKUP($A153,'[1]24-8-24 DATA ENTRY'!$A$1:$BR$303,39,FALSE)</f>
        <v>6</v>
      </c>
      <c r="AO153" s="9">
        <f>VLOOKUP($A153,'[1]24-8-24 DATA ENTRY'!$A$1:$BR$303,40,FALSE)</f>
        <v>2</v>
      </c>
      <c r="AP153" s="9">
        <f>VLOOKUP($A153,'[1]24-8-24 DATA ENTRY'!$A$1:$BR$303,41,FALSE)</f>
        <v>1</v>
      </c>
      <c r="AQ153" s="9">
        <f>VLOOKUP($A153,'[1]24-8-24 DATA ENTRY'!$A$1:$BR$303,42,FALSE)</f>
        <v>2</v>
      </c>
      <c r="AR153" s="9">
        <f>VLOOKUP($A153,'[1]24-8-24 DATA ENTRY'!$A$1:$BR$303,43,FALSE)</f>
        <v>2</v>
      </c>
      <c r="AS153" s="9">
        <f>VLOOKUP($A153,'[1]24-8-24 DATA ENTRY'!$A$1:$BR$303,44,FALSE)</f>
        <v>0</v>
      </c>
      <c r="AT153" s="9">
        <f>VLOOKUP($A153,'[1]24-8-24 DATA ENTRY'!$A$1:$BR$303,45,FALSE)</f>
        <v>1</v>
      </c>
      <c r="AU153" s="9">
        <f>VLOOKUP($A153,'[1]24-8-24 DATA ENTRY'!$A$1:$BR$303,46,FALSE)</f>
        <v>1</v>
      </c>
      <c r="AV153" s="9">
        <f>VLOOKUP($A153,'[1]24-8-24 DATA ENTRY'!$A$1:$BR$303,47,FALSE)</f>
        <v>2</v>
      </c>
      <c r="AW153" s="9">
        <f>VLOOKUP($A153,'[1]24-8-24 DATA ENTRY'!$A$1:$BR$303,48,FALSE)</f>
        <v>0</v>
      </c>
      <c r="AX153" s="9">
        <f>VLOOKUP($A153,'[1]24-8-24 DATA ENTRY'!$A$1:$BR$303,49,FALSE)</f>
        <v>0</v>
      </c>
      <c r="AY153" s="9">
        <f>VLOOKUP($A153,'[1]24-8-24 DATA ENTRY'!$A$1:$BR$303,50,FALSE)</f>
        <v>0</v>
      </c>
      <c r="AZ153" s="9">
        <f>VLOOKUP($A153,'[1]24-8-24 DATA ENTRY'!$A$1:$BR$303,51,FALSE)</f>
        <v>0</v>
      </c>
      <c r="BA153" s="9">
        <f>VLOOKUP($A153,'[1]24-8-24 DATA ENTRY'!$A$1:$BR$303,52,FALSE)</f>
        <v>0</v>
      </c>
      <c r="BB153" s="5">
        <v>1</v>
      </c>
      <c r="BC153" s="9">
        <f>VLOOKUP($A153,'[1]24-8-24 DATA ENTRY'!$A$1:$BR$303,53,FALSE)</f>
        <v>100</v>
      </c>
      <c r="BD153" s="5">
        <v>1</v>
      </c>
      <c r="BE153" s="5">
        <v>2</v>
      </c>
      <c r="BF153" s="5">
        <v>2</v>
      </c>
      <c r="BG153" s="5">
        <v>2</v>
      </c>
      <c r="BH153" s="5">
        <v>1</v>
      </c>
      <c r="BI153" s="5">
        <v>1</v>
      </c>
      <c r="BJ153" s="5">
        <v>1</v>
      </c>
      <c r="BK153" s="5">
        <v>0</v>
      </c>
      <c r="BL153" s="5">
        <v>2</v>
      </c>
      <c r="BM153" s="5">
        <v>2</v>
      </c>
      <c r="BN153" s="5">
        <v>2</v>
      </c>
      <c r="BO153" s="5">
        <v>1</v>
      </c>
      <c r="BP153" s="5">
        <v>1</v>
      </c>
      <c r="BQ153" s="5">
        <v>1</v>
      </c>
      <c r="BR153" s="5">
        <v>19</v>
      </c>
      <c r="BS153" s="5">
        <v>0</v>
      </c>
      <c r="BT153" s="5">
        <v>1</v>
      </c>
      <c r="BU153" s="5"/>
    </row>
    <row r="154" spans="1:73" x14ac:dyDescent="0.25">
      <c r="A154" s="5" t="s">
        <v>512</v>
      </c>
      <c r="B154" s="5">
        <v>0</v>
      </c>
      <c r="C154" s="5">
        <v>80.924099999999996</v>
      </c>
      <c r="D154" s="9">
        <f>VLOOKUP($A154,'[1]24-8-24 DATA ENTRY'!$A$1:$BR$303,3,FALSE)</f>
        <v>240000049989</v>
      </c>
      <c r="E154" s="9">
        <f>VLOOKUP($A154,'[1]24-8-24 DATA ENTRY'!$A$1:$BR$303,4,FALSE)</f>
        <v>68</v>
      </c>
      <c r="F154" s="9">
        <f>VLOOKUP($A154,'[1]24-8-24 DATA ENTRY'!$A$1:$BR$303,5,FALSE)</f>
        <v>2</v>
      </c>
      <c r="G154" s="10">
        <f>VLOOKUP($A154,'[1]24-8-24 DATA ENTRY'!$A$1:$BR$303,6,FALSE)</f>
        <v>45448</v>
      </c>
      <c r="H154" s="9">
        <f>VLOOKUP($A154,'[1]24-8-24 DATA ENTRY'!$A$1:$BR$303,7,FALSE)</f>
        <v>8.3333333333333329E-2</v>
      </c>
      <c r="I154" s="10">
        <f>VLOOKUP($A154,'[1]24-8-24 DATA ENTRY'!$A$1:$BR$303,8,FALSE)</f>
        <v>45449</v>
      </c>
      <c r="J154" s="10">
        <f>VLOOKUP($A154,'[1]24-8-24 DATA ENTRY'!$A$1:$BR$303,9,FALSE)</f>
        <v>45455</v>
      </c>
      <c r="K154" s="9">
        <f>VLOOKUP($A154,'[1]24-8-24 DATA ENTRY'!$A$1:$BR$303,10,FALSE)</f>
        <v>7517721567</v>
      </c>
      <c r="L154" s="9">
        <f>VLOOKUP($A154,'[1]24-8-24 DATA ENTRY'!$A$1:$BR$303,11,FALSE)</f>
        <v>0</v>
      </c>
      <c r="M154" s="9">
        <f>VLOOKUP($A154,'[1]24-8-24 DATA ENTRY'!$A$1:$BR$303,12,FALSE)</f>
        <v>12</v>
      </c>
      <c r="N154" s="9">
        <f>VLOOKUP($A154,'[1]24-8-24 DATA ENTRY'!$A$1:$BR$303,13,FALSE)</f>
        <v>1</v>
      </c>
      <c r="O154" s="9">
        <f>VLOOKUP($A154,'[1]24-8-24 DATA ENTRY'!$A$1:$BR$303,14,FALSE)</f>
        <v>1</v>
      </c>
      <c r="P154" s="9">
        <f>VLOOKUP($A154,'[1]24-8-24 DATA ENTRY'!$A$1:$BR$303,15,FALSE)</f>
        <v>2</v>
      </c>
      <c r="Q154" s="9">
        <f>VLOOKUP($A154,'[1]24-8-24 DATA ENTRY'!$A$1:$BR$303,16,FALSE)</f>
        <v>2</v>
      </c>
      <c r="R154" s="9">
        <f>VLOOKUP($A154,'[1]24-8-24 DATA ENTRY'!$A$1:$BR$303,17,FALSE)</f>
        <v>2</v>
      </c>
      <c r="S154" s="9">
        <f>VLOOKUP($A154,'[1]24-8-24 DATA ENTRY'!$A$1:$BR$303,18,FALSE)</f>
        <v>2</v>
      </c>
      <c r="T154" s="9">
        <f>VLOOKUP($A154,'[1]24-8-24 DATA ENTRY'!$A$1:$BR$303,19,FALSE)</f>
        <v>2</v>
      </c>
      <c r="U154" s="9" t="e">
        <f>VLOOKUP($A154,'[1]24-8-24 DATA ENTRY'!$A$1:$BR$278,20,FALSE)</f>
        <v>#N/A</v>
      </c>
      <c r="V154" s="9">
        <f>VLOOKUP($A154,'[1]24-8-24 DATA ENTRY'!$A$1:$BR$303,21,FALSE)</f>
        <v>2</v>
      </c>
      <c r="W154" s="9" t="str">
        <f>VLOOKUP($A154,'[1]24-8-24 DATA ENTRY'!$A$1:$BR$303,22,FALSE)</f>
        <v>old cva rt hemiparesis 1 yr ago</v>
      </c>
      <c r="X154" s="9">
        <f>VLOOKUP($A154,'[1]24-8-24 DATA ENTRY'!$A$1:$BR$303,23,FALSE)</f>
        <v>14.3</v>
      </c>
      <c r="Y154" s="9">
        <f>VLOOKUP($A154,'[1]24-8-24 DATA ENTRY'!$A$1:$BR$303,24,FALSE)</f>
        <v>42.8</v>
      </c>
      <c r="Z154" s="9">
        <f>VLOOKUP($A154,'[1]24-8-24 DATA ENTRY'!$A$1:$BR$303,25,FALSE)</f>
        <v>91.5</v>
      </c>
      <c r="AA154" s="9">
        <f>VLOOKUP($A154,'[1]24-8-24 DATA ENTRY'!$A$1:$BR$303,26,FALSE)</f>
        <v>0</v>
      </c>
      <c r="AB154" s="9">
        <f>VLOOKUP($A154,'[1]24-8-24 DATA ENTRY'!$A$1:$BR$303,27,FALSE)</f>
        <v>11.1</v>
      </c>
      <c r="AC154" s="9">
        <f>VLOOKUP($A154,'[1]24-8-24 DATA ENTRY'!$A$1:$BR$303,28,FALSE)</f>
        <v>196</v>
      </c>
      <c r="AD154" s="9">
        <f>VLOOKUP($A154,'[1]24-8-24 DATA ENTRY'!$A$1:$BR$303,29,FALSE)</f>
        <v>127</v>
      </c>
      <c r="AE154" s="9">
        <f>VLOOKUP($A154,'[1]24-8-24 DATA ENTRY'!$A$1:$BR$2303,30,FALSE)</f>
        <v>43</v>
      </c>
      <c r="AF154" s="9">
        <f>VLOOKUP($A154,'[1]24-8-24 DATA ENTRY'!$A$1:$BR$303,31,FALSE)</f>
        <v>26</v>
      </c>
      <c r="AG154" s="9">
        <f>VLOOKUP($A154,'[1]24-8-24 DATA ENTRY'!$A$1:$BR$303,32,FALSE)</f>
        <v>130</v>
      </c>
      <c r="AH154" s="9">
        <f>VLOOKUP($A154,'[1]24-8-24 DATA ENTRY'!$A$1:$BR$303,33,FALSE)</f>
        <v>0</v>
      </c>
      <c r="AI154" s="9">
        <f>VLOOKUP($A154,'[1]24-8-24 DATA ENTRY'!$A$1:$BR$303,34,FALSE)</f>
        <v>0</v>
      </c>
      <c r="AJ154" s="9">
        <f>VLOOKUP($A154,'[1]24-8-24 DATA ENTRY'!$A$1:$BR$303,35,FALSE)</f>
        <v>0</v>
      </c>
      <c r="AK154" s="9" t="str">
        <f>VLOOKUP($A154,'[1]24-8-24 DATA ENTRY'!$A$1:$BR$303,36,FALSE)</f>
        <v>left PCA MCA watershed infarct</v>
      </c>
      <c r="AL154" s="9" t="str">
        <f>VLOOKUP($A154,'[1]24-8-24 DATA ENTRY'!$A$1:$BR$303,37,FALSE)</f>
        <v>left ICA smooth tapering of distal cervical end possible dissection</v>
      </c>
      <c r="AM154" s="9">
        <f>VLOOKUP($A154,'[1]24-8-24 DATA ENTRY'!$A$1:$BR$303,38,FALSE)</f>
        <v>0</v>
      </c>
      <c r="AN154" s="9">
        <f>VLOOKUP($A154,'[1]24-8-24 DATA ENTRY'!$A$1:$BR$303,39,FALSE)</f>
        <v>9</v>
      </c>
      <c r="AO154" s="9">
        <f>VLOOKUP($A154,'[1]24-8-24 DATA ENTRY'!$A$1:$BR$303,40,FALSE)</f>
        <v>1</v>
      </c>
      <c r="AP154" s="9">
        <f>VLOOKUP($A154,'[1]24-8-24 DATA ENTRY'!$A$1:$BR$303,41,FALSE)</f>
        <v>3</v>
      </c>
      <c r="AQ154" s="9">
        <f>VLOOKUP($A154,'[1]24-8-24 DATA ENTRY'!$A$1:$BR$303,42,FALSE)</f>
        <v>3</v>
      </c>
      <c r="AR154" s="9">
        <f>VLOOKUP($A154,'[1]24-8-24 DATA ENTRY'!$A$1:$BR$303,43,FALSE)</f>
        <v>5</v>
      </c>
      <c r="AS154" s="9">
        <f>VLOOKUP($A154,'[1]24-8-24 DATA ENTRY'!$A$1:$BR$303,44,FALSE)</f>
        <v>0</v>
      </c>
      <c r="AT154" s="9">
        <f>VLOOKUP($A154,'[1]24-8-24 DATA ENTRY'!$A$1:$BR$303,45,FALSE)</f>
        <v>1</v>
      </c>
      <c r="AU154" s="9">
        <f>VLOOKUP($A154,'[1]24-8-24 DATA ENTRY'!$A$1:$BR$303,46,FALSE)</f>
        <v>1</v>
      </c>
      <c r="AV154" s="9">
        <f>VLOOKUP($A154,'[1]24-8-24 DATA ENTRY'!$A$1:$BR$303,47,FALSE)</f>
        <v>2</v>
      </c>
      <c r="AW154" s="9">
        <f>VLOOKUP($A154,'[1]24-8-24 DATA ENTRY'!$A$1:$BR$303,48,FALSE)</f>
        <v>0</v>
      </c>
      <c r="AX154" s="9">
        <f>VLOOKUP($A154,'[1]24-8-24 DATA ENTRY'!$A$1:$BR$303,49,FALSE)</f>
        <v>0</v>
      </c>
      <c r="AY154" s="9">
        <f>VLOOKUP($A154,'[1]24-8-24 DATA ENTRY'!$A$1:$BR$303,50,FALSE)</f>
        <v>0</v>
      </c>
      <c r="AZ154" s="9">
        <f>VLOOKUP($A154,'[1]24-8-24 DATA ENTRY'!$A$1:$BR$303,51,FALSE)</f>
        <v>0</v>
      </c>
      <c r="BA154" s="9">
        <f>VLOOKUP($A154,'[1]24-8-24 DATA ENTRY'!$A$1:$BR$303,52,FALSE)</f>
        <v>0</v>
      </c>
      <c r="BB154" s="5">
        <v>1</v>
      </c>
      <c r="BC154" s="9">
        <f>VLOOKUP($A154,'[1]24-8-24 DATA ENTRY'!$A$1:$BR$303,53,FALSE)</f>
        <v>100</v>
      </c>
      <c r="BD154" s="5">
        <v>1</v>
      </c>
      <c r="BE154" s="5">
        <v>2</v>
      </c>
      <c r="BF154" s="5">
        <v>2</v>
      </c>
      <c r="BG154" s="5">
        <v>2</v>
      </c>
      <c r="BH154" s="5">
        <v>1</v>
      </c>
      <c r="BI154" s="5">
        <v>1</v>
      </c>
      <c r="BJ154" s="5">
        <v>1</v>
      </c>
      <c r="BK154" s="5">
        <v>0</v>
      </c>
      <c r="BL154" s="5">
        <v>0</v>
      </c>
      <c r="BM154" s="5">
        <v>1</v>
      </c>
      <c r="BN154" s="5">
        <v>2</v>
      </c>
      <c r="BO154" s="5">
        <v>1</v>
      </c>
      <c r="BP154" s="5">
        <v>1</v>
      </c>
      <c r="BQ154" s="5">
        <v>1</v>
      </c>
      <c r="BR154" s="5">
        <v>16</v>
      </c>
      <c r="BS154" s="5">
        <v>0</v>
      </c>
      <c r="BT154" s="5">
        <v>1</v>
      </c>
      <c r="BU154" s="5" t="s">
        <v>87</v>
      </c>
    </row>
    <row r="155" spans="1:73" x14ac:dyDescent="0.25">
      <c r="A155" s="5" t="s">
        <v>374</v>
      </c>
      <c r="B155" s="5">
        <v>1</v>
      </c>
      <c r="C155" s="5">
        <v>84.561199999999999</v>
      </c>
      <c r="D155" s="6">
        <v>130700886</v>
      </c>
      <c r="E155" s="5">
        <v>42</v>
      </c>
      <c r="F155" s="5">
        <v>1</v>
      </c>
      <c r="G155" s="7"/>
      <c r="H155" s="5"/>
      <c r="I155" s="7">
        <v>44761</v>
      </c>
      <c r="J155" s="7">
        <v>44793</v>
      </c>
      <c r="K155" s="5">
        <v>8149566554</v>
      </c>
      <c r="L155" s="5"/>
      <c r="M155" s="5">
        <v>22</v>
      </c>
      <c r="N155" s="5">
        <v>1</v>
      </c>
      <c r="O155" s="5">
        <v>2</v>
      </c>
      <c r="P155" s="5">
        <v>1</v>
      </c>
      <c r="Q155" s="5">
        <v>2</v>
      </c>
      <c r="R155" s="5">
        <v>2</v>
      </c>
      <c r="S155" s="5">
        <v>2</v>
      </c>
      <c r="T155" s="5">
        <v>2</v>
      </c>
      <c r="U155" s="5">
        <v>1</v>
      </c>
      <c r="V155" s="5">
        <v>2</v>
      </c>
      <c r="W155" s="5" t="s">
        <v>375</v>
      </c>
      <c r="X155" s="5">
        <v>12.9</v>
      </c>
      <c r="Y155" s="5">
        <v>34.6</v>
      </c>
      <c r="Z155" s="5"/>
      <c r="AA155" s="5">
        <v>29.76</v>
      </c>
      <c r="AB155" s="5">
        <v>5.8</v>
      </c>
      <c r="AC155" s="5">
        <v>166</v>
      </c>
      <c r="AD155" s="5">
        <v>111.6</v>
      </c>
      <c r="AE155" s="5">
        <v>25</v>
      </c>
      <c r="AF155" s="5"/>
      <c r="AG155" s="5">
        <v>147</v>
      </c>
      <c r="AH155" s="5">
        <v>176</v>
      </c>
      <c r="AI155" s="5"/>
      <c r="AJ155" s="5"/>
      <c r="AK155" s="5"/>
      <c r="AL155" s="5" t="s">
        <v>376</v>
      </c>
      <c r="AM155" s="5"/>
      <c r="AN155" s="5">
        <v>7</v>
      </c>
      <c r="AO155" s="5">
        <v>2</v>
      </c>
      <c r="AP155" s="5">
        <v>3</v>
      </c>
      <c r="AQ155" s="5">
        <v>2</v>
      </c>
      <c r="AR155" s="5">
        <v>4</v>
      </c>
      <c r="AS155" s="5"/>
      <c r="AT155" s="5">
        <v>1</v>
      </c>
      <c r="AU155" s="5">
        <v>1</v>
      </c>
      <c r="AV155" s="5">
        <v>2</v>
      </c>
      <c r="AW155" s="5"/>
      <c r="AX155" s="5"/>
      <c r="AY155" s="5"/>
      <c r="AZ155" s="5"/>
      <c r="BA155" s="5">
        <v>6</v>
      </c>
      <c r="BB155" s="5">
        <v>2</v>
      </c>
      <c r="BC155" s="5">
        <v>0</v>
      </c>
      <c r="BD155" s="5">
        <v>1</v>
      </c>
      <c r="BE155" s="5">
        <v>2</v>
      </c>
      <c r="BF155" s="5">
        <v>2</v>
      </c>
      <c r="BG155" s="5">
        <v>2</v>
      </c>
      <c r="BH155" s="5">
        <v>1</v>
      </c>
      <c r="BI155" s="5">
        <v>1</v>
      </c>
      <c r="BJ155" s="5">
        <v>1</v>
      </c>
      <c r="BK155" s="5">
        <v>1</v>
      </c>
      <c r="BL155" s="5">
        <v>2</v>
      </c>
      <c r="BM155" s="5">
        <v>2</v>
      </c>
      <c r="BN155" s="5">
        <v>2</v>
      </c>
      <c r="BO155" s="5">
        <v>0</v>
      </c>
      <c r="BP155" s="5">
        <v>1</v>
      </c>
      <c r="BQ155" s="5">
        <v>1</v>
      </c>
      <c r="BR155" s="5">
        <v>19</v>
      </c>
      <c r="BS155" s="5">
        <v>1</v>
      </c>
      <c r="BT155" s="5">
        <v>1</v>
      </c>
      <c r="BU155" s="5"/>
    </row>
    <row r="156" spans="1:73" x14ac:dyDescent="0.25">
      <c r="A156" s="5" t="s">
        <v>116</v>
      </c>
      <c r="B156" s="5">
        <v>1</v>
      </c>
      <c r="C156" s="5">
        <v>86.009299999999996</v>
      </c>
      <c r="D156" s="6">
        <v>220801803</v>
      </c>
      <c r="E156" s="5">
        <v>75</v>
      </c>
      <c r="F156" s="5">
        <v>2</v>
      </c>
      <c r="G156" s="7">
        <v>45151</v>
      </c>
      <c r="H156" s="11">
        <v>0.5625</v>
      </c>
      <c r="I156" s="7">
        <v>45151</v>
      </c>
      <c r="J156" s="7"/>
      <c r="K156" s="5">
        <v>9421802120</v>
      </c>
      <c r="L156" s="5"/>
      <c r="M156" s="5">
        <v>11</v>
      </c>
      <c r="N156" s="5">
        <v>2</v>
      </c>
      <c r="O156" s="5">
        <v>2</v>
      </c>
      <c r="P156" s="5">
        <v>2</v>
      </c>
      <c r="Q156" s="5">
        <v>2</v>
      </c>
      <c r="R156" s="5">
        <v>2</v>
      </c>
      <c r="S156" s="5">
        <v>2</v>
      </c>
      <c r="T156" s="5">
        <v>2</v>
      </c>
      <c r="U156" s="5">
        <v>2</v>
      </c>
      <c r="V156" s="5">
        <v>2</v>
      </c>
      <c r="W156" s="5"/>
      <c r="X156" s="5">
        <v>12.3</v>
      </c>
      <c r="Y156" s="5"/>
      <c r="Z156" s="5"/>
      <c r="AA156" s="5">
        <v>20.72</v>
      </c>
      <c r="AB156" s="5"/>
      <c r="AC156" s="5">
        <v>236</v>
      </c>
      <c r="AD156" s="5">
        <v>153.4</v>
      </c>
      <c r="AE156" s="5">
        <v>37</v>
      </c>
      <c r="AF156" s="5">
        <v>45</v>
      </c>
      <c r="AG156" s="5">
        <v>228</v>
      </c>
      <c r="AH156" s="5"/>
      <c r="AI156" s="5"/>
      <c r="AJ156" s="5"/>
      <c r="AK156" s="5" t="s">
        <v>117</v>
      </c>
      <c r="AL156" s="5" t="s">
        <v>118</v>
      </c>
      <c r="AM156" s="5"/>
      <c r="AN156" s="5">
        <v>9</v>
      </c>
      <c r="AO156" s="5" t="s">
        <v>721</v>
      </c>
      <c r="AP156" s="5">
        <v>2</v>
      </c>
      <c r="AQ156" s="5">
        <v>1</v>
      </c>
      <c r="AR156" s="5">
        <v>5</v>
      </c>
      <c r="AS156" s="5"/>
      <c r="AT156" s="5">
        <v>1</v>
      </c>
      <c r="AU156" s="5">
        <v>1</v>
      </c>
      <c r="AV156" s="5">
        <v>2</v>
      </c>
      <c r="AW156" s="5"/>
      <c r="AX156" s="5"/>
      <c r="AY156" s="5"/>
      <c r="AZ156" s="5"/>
      <c r="BA156" s="5">
        <v>6</v>
      </c>
      <c r="BB156" s="5">
        <v>2</v>
      </c>
      <c r="BC156" s="5">
        <v>0</v>
      </c>
      <c r="BD156" s="5">
        <v>0</v>
      </c>
      <c r="BE156" s="5">
        <v>2</v>
      </c>
      <c r="BF156" s="5">
        <v>2</v>
      </c>
      <c r="BG156" s="5">
        <v>0</v>
      </c>
      <c r="BH156" s="5">
        <v>0</v>
      </c>
      <c r="BI156" s="5">
        <v>0</v>
      </c>
      <c r="BJ156" s="5">
        <v>1</v>
      </c>
      <c r="BK156" s="5">
        <v>1</v>
      </c>
      <c r="BL156" s="5">
        <v>2</v>
      </c>
      <c r="BM156" s="5">
        <v>2</v>
      </c>
      <c r="BN156" s="5">
        <v>2</v>
      </c>
      <c r="BO156" s="5">
        <v>1</v>
      </c>
      <c r="BP156" s="5">
        <v>1</v>
      </c>
      <c r="BQ156" s="5">
        <v>1</v>
      </c>
      <c r="BR156" s="5">
        <v>15</v>
      </c>
      <c r="BS156" s="5">
        <v>1</v>
      </c>
      <c r="BT156" s="5">
        <v>0</v>
      </c>
      <c r="BU156" s="5"/>
    </row>
    <row r="157" spans="1:73" x14ac:dyDescent="0.25">
      <c r="A157" s="5" t="s">
        <v>524</v>
      </c>
      <c r="B157" s="5">
        <v>0</v>
      </c>
      <c r="C157" s="5">
        <v>88.934600000000003</v>
      </c>
      <c r="D157" s="9">
        <f>VLOOKUP($A157,'[1]24-8-24 DATA ENTRY'!$A$1:$BR$303,3,FALSE)</f>
        <v>240000059246</v>
      </c>
      <c r="E157" s="9">
        <f>VLOOKUP($A157,'[1]24-8-24 DATA ENTRY'!$A$1:$BR$303,4,FALSE)</f>
        <v>50</v>
      </c>
      <c r="F157" s="9">
        <f>VLOOKUP($A157,'[1]24-8-24 DATA ENTRY'!$A$1:$BR$303,5,FALSE)</f>
        <v>1</v>
      </c>
      <c r="G157" s="10">
        <f>VLOOKUP($A157,'[1]24-8-24 DATA ENTRY'!$A$1:$BR$303,6,FALSE)</f>
        <v>45481</v>
      </c>
      <c r="H157" s="9">
        <f>VLOOKUP($A157,'[1]24-8-24 DATA ENTRY'!$A$1:$BR$303,7,FALSE)</f>
        <v>0.16666666666666666</v>
      </c>
      <c r="I157" s="10">
        <f>VLOOKUP($A157,'[1]24-8-24 DATA ENTRY'!$A$1:$BR$303,8,FALSE)</f>
        <v>45481</v>
      </c>
      <c r="J157" s="10">
        <f>VLOOKUP($A157,'[1]24-8-24 DATA ENTRY'!$A$1:$BR$303,9,FALSE)</f>
        <v>0</v>
      </c>
      <c r="K157" s="9">
        <f>VLOOKUP($A157,'[1]24-8-24 DATA ENTRY'!$A$1:$BR$303,10,FALSE)</f>
        <v>9922075213</v>
      </c>
      <c r="L157" s="9">
        <f>VLOOKUP($A157,'[1]24-8-24 DATA ENTRY'!$A$1:$BR$303,11,FALSE)</f>
        <v>0</v>
      </c>
      <c r="M157" s="9">
        <f>VLOOKUP($A157,'[1]24-8-24 DATA ENTRY'!$A$1:$BR$303,12,FALSE)</f>
        <v>17</v>
      </c>
      <c r="N157" s="9">
        <f>VLOOKUP($A157,'[1]24-8-24 DATA ENTRY'!$A$1:$BR$303,13,FALSE)</f>
        <v>2</v>
      </c>
      <c r="O157" s="9">
        <f>VLOOKUP($A157,'[1]24-8-24 DATA ENTRY'!$A$1:$BR$303,14,FALSE)</f>
        <v>2</v>
      </c>
      <c r="P157" s="9">
        <f>VLOOKUP($A157,'[1]24-8-24 DATA ENTRY'!$A$1:$BR$303,15,FALSE)</f>
        <v>1</v>
      </c>
      <c r="Q157" s="9">
        <f>VLOOKUP($A157,'[1]24-8-24 DATA ENTRY'!$A$1:$BR$303,16,FALSE)</f>
        <v>2</v>
      </c>
      <c r="R157" s="9">
        <f>VLOOKUP($A157,'[1]24-8-24 DATA ENTRY'!$A$1:$BR$303,17,FALSE)</f>
        <v>2</v>
      </c>
      <c r="S157" s="9">
        <f>VLOOKUP($A157,'[1]24-8-24 DATA ENTRY'!$A$1:$BR$303,18,FALSE)</f>
        <v>2</v>
      </c>
      <c r="T157" s="9">
        <f>VLOOKUP($A157,'[1]24-8-24 DATA ENTRY'!$A$1:$BR$303,19,FALSE)</f>
        <v>2</v>
      </c>
      <c r="U157" s="9" t="e">
        <f>VLOOKUP($A157,'[1]24-8-24 DATA ENTRY'!$A$1:$BR$278,20,FALSE)</f>
        <v>#N/A</v>
      </c>
      <c r="V157" s="9">
        <f>VLOOKUP($A157,'[1]24-8-24 DATA ENTRY'!$A$1:$BR$303,21,FALSE)</f>
        <v>2</v>
      </c>
      <c r="W157" s="9" t="str">
        <f>VLOOKUP($A157,'[1]24-8-24 DATA ENTRY'!$A$1:$BR$303,22,FALSE)</f>
        <v xml:space="preserve">metastatic Ca stomach. march 2024 signet cell cavernoma </v>
      </c>
      <c r="X157" s="9">
        <f>VLOOKUP($A157,'[1]24-8-24 DATA ENTRY'!$A$1:$BR$303,23,FALSE)</f>
        <v>12.1</v>
      </c>
      <c r="Y157" s="9">
        <f>VLOOKUP($A157,'[1]24-8-24 DATA ENTRY'!$A$1:$BR$303,24,FALSE)</f>
        <v>35.200000000000003</v>
      </c>
      <c r="Z157" s="9">
        <f>VLOOKUP($A157,'[1]24-8-24 DATA ENTRY'!$A$1:$BR$303,25,FALSE)</f>
        <v>95.6</v>
      </c>
      <c r="AA157" s="9">
        <f>VLOOKUP($A157,'[1]24-8-24 DATA ENTRY'!$A$1:$BR$303,26,FALSE)</f>
        <v>16.89</v>
      </c>
      <c r="AB157" s="9">
        <f>VLOOKUP($A157,'[1]24-8-24 DATA ENTRY'!$A$1:$BR$303,27,FALSE)</f>
        <v>0</v>
      </c>
      <c r="AC157" s="9">
        <f>VLOOKUP($A157,'[1]24-8-24 DATA ENTRY'!$A$1:$BR$303,28,FALSE)</f>
        <v>193</v>
      </c>
      <c r="AD157" s="9">
        <f>VLOOKUP($A157,'[1]24-8-24 DATA ENTRY'!$A$1:$BR$303,29,FALSE)</f>
        <v>132.19999999999999</v>
      </c>
      <c r="AE157" s="9">
        <f>VLOOKUP($A157,'[1]24-8-24 DATA ENTRY'!$A$1:$BR$2303,30,FALSE)</f>
        <v>40</v>
      </c>
      <c r="AF157" s="9">
        <f>VLOOKUP($A157,'[1]24-8-24 DATA ENTRY'!$A$1:$BR$303,31,FALSE)</f>
        <v>20.8</v>
      </c>
      <c r="AG157" s="9">
        <f>VLOOKUP($A157,'[1]24-8-24 DATA ENTRY'!$A$1:$BR$303,32,FALSE)</f>
        <v>104</v>
      </c>
      <c r="AH157" s="9">
        <f>VLOOKUP($A157,'[1]24-8-24 DATA ENTRY'!$A$1:$BR$303,33,FALSE)</f>
        <v>0</v>
      </c>
      <c r="AI157" s="9">
        <f>VLOOKUP($A157,'[1]24-8-24 DATA ENTRY'!$A$1:$BR$303,34,FALSE)</f>
        <v>0</v>
      </c>
      <c r="AJ157" s="9">
        <f>VLOOKUP($A157,'[1]24-8-24 DATA ENTRY'!$A$1:$BR$303,35,FALSE)</f>
        <v>0</v>
      </c>
      <c r="AK157" s="9" t="str">
        <f>VLOOKUP($A157,'[1]24-8-24 DATA ENTRY'!$A$1:$BR$303,36,FALSE)</f>
        <v>left distal MCA infarct</v>
      </c>
      <c r="AL157" s="9" t="str">
        <f>VLOOKUP($A157,'[1]24-8-24 DATA ENTRY'!$A$1:$BR$303,37,FALSE)</f>
        <v xml:space="preserve">left m2 distal thrombus </v>
      </c>
      <c r="AM157" s="9">
        <f>VLOOKUP($A157,'[1]24-8-24 DATA ENTRY'!$A$1:$BR$303,38,FALSE)</f>
        <v>0</v>
      </c>
      <c r="AN157" s="9">
        <f>VLOOKUP($A157,'[1]24-8-24 DATA ENTRY'!$A$1:$BR$303,39,FALSE)</f>
        <v>8</v>
      </c>
      <c r="AO157" s="9">
        <f>VLOOKUP($A157,'[1]24-8-24 DATA ENTRY'!$A$1:$BR$303,40,FALSE)</f>
        <v>1</v>
      </c>
      <c r="AP157" s="9">
        <f>VLOOKUP($A157,'[1]24-8-24 DATA ENTRY'!$A$1:$BR$303,41,FALSE)</f>
        <v>3</v>
      </c>
      <c r="AQ157" s="9">
        <f>VLOOKUP($A157,'[1]24-8-24 DATA ENTRY'!$A$1:$BR$303,42,FALSE)</f>
        <v>2</v>
      </c>
      <c r="AR157" s="9">
        <f>VLOOKUP($A157,'[1]24-8-24 DATA ENTRY'!$A$1:$BR$303,43,FALSE)</f>
        <v>5</v>
      </c>
      <c r="AS157" s="9">
        <f>VLOOKUP($A157,'[1]24-8-24 DATA ENTRY'!$A$1:$BR$303,44,FALSE)</f>
        <v>0</v>
      </c>
      <c r="AT157" s="9">
        <f>VLOOKUP($A157,'[1]24-8-24 DATA ENTRY'!$A$1:$BR$303,45,FALSE)</f>
        <v>1</v>
      </c>
      <c r="AU157" s="9">
        <f>VLOOKUP($A157,'[1]24-8-24 DATA ENTRY'!$A$1:$BR$303,46,FALSE)</f>
        <v>1</v>
      </c>
      <c r="AV157" s="9">
        <f>VLOOKUP($A157,'[1]24-8-24 DATA ENTRY'!$A$1:$BR$303,47,FALSE)</f>
        <v>2</v>
      </c>
      <c r="AW157" s="9">
        <f>VLOOKUP($A157,'[1]24-8-24 DATA ENTRY'!$A$1:$BR$303,48,FALSE)</f>
        <v>0</v>
      </c>
      <c r="AX157" s="9">
        <f>VLOOKUP($A157,'[1]24-8-24 DATA ENTRY'!$A$1:$BR$303,49,FALSE)</f>
        <v>0</v>
      </c>
      <c r="AY157" s="9">
        <f>VLOOKUP($A157,'[1]24-8-24 DATA ENTRY'!$A$1:$BR$303,50,FALSE)</f>
        <v>0</v>
      </c>
      <c r="AZ157" s="9">
        <f>VLOOKUP($A157,'[1]24-8-24 DATA ENTRY'!$A$1:$BR$303,51,FALSE)</f>
        <v>0</v>
      </c>
      <c r="BA157" s="9">
        <f>VLOOKUP($A157,'[1]24-8-24 DATA ENTRY'!$A$1:$BR$303,52,FALSE)</f>
        <v>1</v>
      </c>
      <c r="BB157" s="5">
        <v>1</v>
      </c>
      <c r="BC157" s="9">
        <f>VLOOKUP($A157,'[1]24-8-24 DATA ENTRY'!$A$1:$BR$303,53,FALSE)</f>
        <v>90</v>
      </c>
      <c r="BD157" s="5">
        <v>1</v>
      </c>
      <c r="BE157" s="5">
        <v>2</v>
      </c>
      <c r="BF157" s="5">
        <v>2</v>
      </c>
      <c r="BG157" s="5">
        <v>2</v>
      </c>
      <c r="BH157" s="5">
        <v>1</v>
      </c>
      <c r="BI157" s="5">
        <v>1</v>
      </c>
      <c r="BJ157" s="5">
        <v>1</v>
      </c>
      <c r="BK157" s="5">
        <v>1</v>
      </c>
      <c r="BL157" s="5">
        <v>2</v>
      </c>
      <c r="BM157" s="5">
        <v>2</v>
      </c>
      <c r="BN157" s="5">
        <v>1</v>
      </c>
      <c r="BO157" s="5">
        <v>1</v>
      </c>
      <c r="BP157" s="5">
        <v>1</v>
      </c>
      <c r="BQ157" s="5">
        <v>1</v>
      </c>
      <c r="BR157" s="5">
        <v>19</v>
      </c>
      <c r="BS157" s="5">
        <v>1</v>
      </c>
      <c r="BT157" s="5">
        <v>1</v>
      </c>
      <c r="BU157" s="5"/>
    </row>
    <row r="158" spans="1:73" x14ac:dyDescent="0.25">
      <c r="A158" s="5" t="s">
        <v>178</v>
      </c>
      <c r="B158" s="5">
        <v>1</v>
      </c>
      <c r="C158" s="5">
        <v>114.85899999999999</v>
      </c>
      <c r="D158" s="6">
        <v>220402919</v>
      </c>
      <c r="E158" s="5">
        <v>25</v>
      </c>
      <c r="F158" s="5">
        <v>1</v>
      </c>
      <c r="G158" s="7"/>
      <c r="H158" s="5"/>
      <c r="I158" s="7">
        <v>44872</v>
      </c>
      <c r="J158" s="7">
        <v>44873</v>
      </c>
      <c r="K158" s="5">
        <v>9762043447</v>
      </c>
      <c r="L158" s="5"/>
      <c r="M158" s="5">
        <v>8</v>
      </c>
      <c r="N158" s="5">
        <v>2</v>
      </c>
      <c r="O158" s="5">
        <v>2</v>
      </c>
      <c r="P158" s="5">
        <v>2</v>
      </c>
      <c r="Q158" s="5">
        <v>2</v>
      </c>
      <c r="R158" s="5">
        <v>2</v>
      </c>
      <c r="S158" s="5">
        <v>2</v>
      </c>
      <c r="T158" s="5">
        <v>2</v>
      </c>
      <c r="U158" s="5">
        <v>2</v>
      </c>
      <c r="V158" s="5">
        <v>2</v>
      </c>
      <c r="W158" s="5" t="s">
        <v>179</v>
      </c>
      <c r="X158" s="5">
        <v>13.6</v>
      </c>
      <c r="Y158" s="5">
        <v>43.7</v>
      </c>
      <c r="Z158" s="5"/>
      <c r="AA158" s="5">
        <v>8.5299999999999994</v>
      </c>
      <c r="AB158" s="5"/>
      <c r="AC158" s="5">
        <v>166</v>
      </c>
      <c r="AD158" s="5">
        <v>101.4</v>
      </c>
      <c r="AE158" s="5">
        <v>29</v>
      </c>
      <c r="AF158" s="5">
        <v>35.6</v>
      </c>
      <c r="AG158" s="5">
        <v>178</v>
      </c>
      <c r="AH158" s="5">
        <v>406</v>
      </c>
      <c r="AI158" s="5"/>
      <c r="AJ158" s="5"/>
      <c r="AK158" s="5"/>
      <c r="AL158" s="5" t="s">
        <v>180</v>
      </c>
      <c r="AM158" s="5"/>
      <c r="AN158" s="5">
        <v>9</v>
      </c>
      <c r="AO158" s="5">
        <v>1</v>
      </c>
      <c r="AP158" s="5">
        <v>3</v>
      </c>
      <c r="AQ158" s="5">
        <v>3</v>
      </c>
      <c r="AR158" s="5">
        <v>5</v>
      </c>
      <c r="AS158" s="5"/>
      <c r="AT158" s="5"/>
      <c r="AU158" s="5"/>
      <c r="AV158" s="5"/>
      <c r="AW158" s="5"/>
      <c r="AX158" s="5"/>
      <c r="AY158" s="5"/>
      <c r="AZ158" s="5"/>
      <c r="BA158" s="5">
        <v>1</v>
      </c>
      <c r="BB158" s="5">
        <v>1</v>
      </c>
      <c r="BC158" s="5">
        <v>100</v>
      </c>
      <c r="BD158" s="5">
        <v>1</v>
      </c>
      <c r="BE158" s="5">
        <v>2</v>
      </c>
      <c r="BF158" s="5">
        <v>0</v>
      </c>
      <c r="BG158" s="5">
        <v>1</v>
      </c>
      <c r="BH158" s="5">
        <v>1</v>
      </c>
      <c r="BI158" s="5">
        <v>1</v>
      </c>
      <c r="BJ158" s="5">
        <v>1</v>
      </c>
      <c r="BK158" s="5">
        <v>1</v>
      </c>
      <c r="BL158" s="5">
        <v>2</v>
      </c>
      <c r="BM158" s="5">
        <v>2</v>
      </c>
      <c r="BN158" s="5">
        <v>2</v>
      </c>
      <c r="BO158" s="5">
        <v>1</v>
      </c>
      <c r="BP158" s="5">
        <v>1</v>
      </c>
      <c r="BQ158" s="5">
        <v>1</v>
      </c>
      <c r="BR158" s="5">
        <v>17</v>
      </c>
      <c r="BS158" s="5">
        <v>1</v>
      </c>
      <c r="BT158" s="5">
        <v>1</v>
      </c>
      <c r="BU158" s="5"/>
    </row>
    <row r="159" spans="1:73" x14ac:dyDescent="0.25">
      <c r="A159" s="17" t="s">
        <v>134</v>
      </c>
      <c r="B159" s="5">
        <v>1</v>
      </c>
      <c r="C159" s="17">
        <v>163.78</v>
      </c>
      <c r="D159" s="18">
        <f>VLOOKUP($A159,'[1]24-8-24 DATA ENTRY'!$A$1:$BR$258,3,FALSE)</f>
        <v>240000026031</v>
      </c>
      <c r="E159" s="18">
        <f>VLOOKUP($A159,'[1]24-8-24 DATA ENTRY'!$A$1:$BR$258,4,FALSE)</f>
        <v>65</v>
      </c>
      <c r="F159" s="18">
        <f>VLOOKUP($A159,'[1]24-8-24 DATA ENTRY'!$A$1:$BR$258,5,FALSE)</f>
        <v>2</v>
      </c>
      <c r="G159" s="19">
        <f>VLOOKUP($A159,'[1]24-8-24 DATA ENTRY'!$A$1:$BR$258,6,FALSE)</f>
        <v>45365</v>
      </c>
      <c r="H159" s="18">
        <f>VLOOKUP($A159,'[1]24-8-24 DATA ENTRY'!$A$1:$BR$258,7,FALSE)</f>
        <v>0.91666666666666663</v>
      </c>
      <c r="I159" s="19">
        <f>VLOOKUP($A159,'[1]24-8-24 DATA ENTRY'!$A$1:$BR$258,8,FALSE)</f>
        <v>45367</v>
      </c>
      <c r="J159" s="19">
        <f>VLOOKUP($A159,'[1]24-8-24 DATA ENTRY'!$A$1:$BR$258,9,FALSE)</f>
        <v>0</v>
      </c>
      <c r="K159" s="18">
        <f>VLOOKUP($A159,'[1]24-8-24 DATA ENTRY'!$A$1:$BR$258,10,FALSE)</f>
        <v>8668549830</v>
      </c>
      <c r="L159" s="18">
        <f>VLOOKUP($A159,'[1]24-8-24 DATA ENTRY'!$A$1:$BR$258,11,FALSE)</f>
        <v>0</v>
      </c>
      <c r="M159" s="18">
        <f>VLOOKUP($A159,'[1]24-8-24 DATA ENTRY'!$A$1:$BR$258,12,FALSE)</f>
        <v>23</v>
      </c>
      <c r="N159" s="18">
        <f>VLOOKUP($A159,'[1]24-8-24 DATA ENTRY'!$A$1:$BR$258,13,FALSE)</f>
        <v>1</v>
      </c>
      <c r="O159" s="18">
        <f>VLOOKUP($A159,'[1]24-8-24 DATA ENTRY'!$A$1:$BR$258,14,FALSE)</f>
        <v>2</v>
      </c>
      <c r="P159" s="18">
        <f>VLOOKUP($A159,'[1]24-8-24 DATA ENTRY'!$A$1:$BR$258,15,FALSE)</f>
        <v>2</v>
      </c>
      <c r="Q159" s="18">
        <f>VLOOKUP($A159,'[1]24-8-24 DATA ENTRY'!$A$1:$BR$258,16,FALSE)</f>
        <v>2</v>
      </c>
      <c r="R159" s="18">
        <f>VLOOKUP($A159,'[1]24-8-24 DATA ENTRY'!$A$1:$BR$258,17,FALSE)</f>
        <v>1</v>
      </c>
      <c r="S159" s="18">
        <f>VLOOKUP($A159,'[1]24-8-24 DATA ENTRY'!$A$1:$BR$258,18,FALSE)</f>
        <v>2</v>
      </c>
      <c r="T159" s="18">
        <f>VLOOKUP($A159,'[1]24-8-24 DATA ENTRY'!$A$1:$BR$258,19,FALSE)</f>
        <v>2</v>
      </c>
      <c r="U159" s="18">
        <f>VLOOKUP($A159,'[1]24-8-24 DATA ENTRY'!$A$1:$BR$258,20,FALSE)</f>
        <v>2</v>
      </c>
      <c r="V159" s="18">
        <f>VLOOKUP($A159,'[1]24-8-24 DATA ENTRY'!$A$1:$BR$258,21,FALSE)</f>
        <v>2</v>
      </c>
      <c r="W159" s="18">
        <f>VLOOKUP($A159,'[1]24-8-24 DATA ENTRY'!$A$1:$BR$258,22,FALSE)</f>
        <v>0</v>
      </c>
      <c r="X159" s="18">
        <f>VLOOKUP($A159,'[1]24-8-24 DATA ENTRY'!$A$1:$BR$258,23,FALSE)</f>
        <v>13.2</v>
      </c>
      <c r="Y159" s="18">
        <f>VLOOKUP($A159,'[1]24-8-24 DATA ENTRY'!$A$1:$BR$258,24,FALSE)</f>
        <v>0</v>
      </c>
      <c r="Z159" s="18">
        <f>VLOOKUP($A159,'[1]24-8-24 DATA ENTRY'!$A$1:$BR$258,25,FALSE)</f>
        <v>0</v>
      </c>
      <c r="AA159" s="18">
        <f>VLOOKUP($A159,'[1]24-8-24 DATA ENTRY'!$A$1:$BR$258,26,FALSE)</f>
        <v>0</v>
      </c>
      <c r="AB159" s="18">
        <f>VLOOKUP($A159,'[1]24-8-24 DATA ENTRY'!$A$1:$BR$258,27,FALSE)</f>
        <v>0</v>
      </c>
      <c r="AC159" s="18">
        <f>VLOOKUP($A159,'[1]24-8-24 DATA ENTRY'!$A$1:$BR$258,28,FALSE)</f>
        <v>128</v>
      </c>
      <c r="AD159" s="18">
        <f>VLOOKUP($A159,'[1]24-8-24 DATA ENTRY'!$A$1:$BR$258,29,FALSE)</f>
        <v>60.4</v>
      </c>
      <c r="AE159" s="18">
        <f>VLOOKUP($A159,'[1]24-8-24 DATA ENTRY'!$A$1:$BR$258,30,FALSE)</f>
        <v>44</v>
      </c>
      <c r="AF159" s="18">
        <f>VLOOKUP($A159,'[1]24-8-24 DATA ENTRY'!$A$1:$BR$258,31,FALSE)</f>
        <v>23.6</v>
      </c>
      <c r="AG159" s="18">
        <f>VLOOKUP($A159,'[1]24-8-24 DATA ENTRY'!$A$1:$BR$258,32,FALSE)</f>
        <v>118</v>
      </c>
      <c r="AH159" s="18">
        <f>VLOOKUP($A159,'[1]24-8-24 DATA ENTRY'!$A$1:$BR$258,33,FALSE)</f>
        <v>0</v>
      </c>
      <c r="AI159" s="18">
        <f>VLOOKUP($A159,'[1]24-8-24 DATA ENTRY'!$A$1:$BR$258,34,FALSE)</f>
        <v>0</v>
      </c>
      <c r="AJ159" s="18">
        <f>VLOOKUP($A159,'[1]24-8-24 DATA ENTRY'!$A$1:$BR$258,35,FALSE)</f>
        <v>0</v>
      </c>
      <c r="AK159" s="18" t="str">
        <f>VLOOKUP($A159,'[1]24-8-24 DATA ENTRY'!$A$1:$BR$258,36,FALSE)</f>
        <v>left MCA territory patchy infarct, left MCA ACA watershed, Left MCA PCA watershed infarct</v>
      </c>
      <c r="AL159" s="18" t="str">
        <f>VLOOKUP($A159,'[1]24-8-24 DATA ENTRY'!$A$1:$BR$258,37,FALSE)</f>
        <v>left ICA thrombus from origin 100%, Left MCA normal</v>
      </c>
      <c r="AM159" s="18">
        <f>VLOOKUP($A159,'[1]24-8-24 DATA ENTRY'!$A$1:$BR$258,38,FALSE)</f>
        <v>0</v>
      </c>
      <c r="AN159" s="18">
        <f>VLOOKUP($A159,'[1]24-8-24 DATA ENTRY'!$A$1:$BR$258,39,FALSE)</f>
        <v>8</v>
      </c>
      <c r="AO159" s="18">
        <f>VLOOKUP($A159,'[1]24-8-24 DATA ENTRY'!$A$1:$BR$258,40,FALSE)</f>
        <v>1</v>
      </c>
      <c r="AP159" s="18">
        <f>VLOOKUP($A159,'[1]24-8-24 DATA ENTRY'!$A$1:$BR$258,41,FALSE)</f>
        <v>2</v>
      </c>
      <c r="AQ159" s="18">
        <f>VLOOKUP($A159,'[1]24-8-24 DATA ENTRY'!$A$1:$BR$258,42,FALSE)</f>
        <v>3</v>
      </c>
      <c r="AR159" s="18">
        <f>VLOOKUP($A159,'[1]24-8-24 DATA ENTRY'!$A$1:$BR$258,43,FALSE)</f>
        <v>5</v>
      </c>
      <c r="AS159" s="18">
        <f>VLOOKUP($A159,'[1]24-8-24 DATA ENTRY'!$A$1:$BR$258,44,FALSE)</f>
        <v>0</v>
      </c>
      <c r="AT159" s="18">
        <f>VLOOKUP($A159,'[1]24-8-24 DATA ENTRY'!$A$1:$BR$258,45,FALSE)</f>
        <v>1</v>
      </c>
      <c r="AU159" s="18">
        <f>VLOOKUP($A159,'[1]24-8-24 DATA ENTRY'!$A$1:$BR$258,46,FALSE)</f>
        <v>1</v>
      </c>
      <c r="AV159" s="18">
        <f>VLOOKUP($A159,'[1]24-8-24 DATA ENTRY'!$A$1:$BR$258,47,FALSE)</f>
        <v>0</v>
      </c>
      <c r="AW159" s="18">
        <f>VLOOKUP($A159,'[1]24-8-24 DATA ENTRY'!$A$1:$BR$258,48,FALSE)</f>
        <v>0</v>
      </c>
      <c r="AX159" s="18">
        <f>VLOOKUP($A159,'[1]24-8-24 DATA ENTRY'!$A$1:$BR$258,49,FALSE)</f>
        <v>0</v>
      </c>
      <c r="AY159" s="18">
        <f>VLOOKUP($A159,'[1]24-8-24 DATA ENTRY'!$A$1:$BR$258,50,FALSE)</f>
        <v>0</v>
      </c>
      <c r="AZ159" s="18">
        <f>VLOOKUP($A159,'[1]24-8-24 DATA ENTRY'!$A$1:$BR$258,51,FALSE)</f>
        <v>0</v>
      </c>
      <c r="BA159" s="18">
        <f>VLOOKUP($A159,'[1]24-8-24 DATA ENTRY'!$A$1:$BR$258,52,FALSE)</f>
        <v>0</v>
      </c>
      <c r="BB159" s="5">
        <v>1</v>
      </c>
      <c r="BC159" s="18">
        <f>VLOOKUP($A159,'[1]24-8-24 DATA ENTRY'!$A$1:$BR$258,53,FALSE)</f>
        <v>0</v>
      </c>
      <c r="BD159" s="5">
        <v>0</v>
      </c>
      <c r="BE159" s="5">
        <v>1</v>
      </c>
      <c r="BF159" s="5">
        <v>2</v>
      </c>
      <c r="BG159" s="5">
        <v>2</v>
      </c>
      <c r="BH159" s="5">
        <v>1</v>
      </c>
      <c r="BI159" s="5">
        <v>1</v>
      </c>
      <c r="BJ159" s="5">
        <v>1</v>
      </c>
      <c r="BK159" s="5">
        <v>0</v>
      </c>
      <c r="BL159" s="5">
        <v>1</v>
      </c>
      <c r="BM159" s="5">
        <v>2</v>
      </c>
      <c r="BN159" s="5">
        <v>1</v>
      </c>
      <c r="BO159" s="5">
        <v>2</v>
      </c>
      <c r="BP159" s="5">
        <v>1</v>
      </c>
      <c r="BQ159" s="5">
        <v>1</v>
      </c>
      <c r="BR159" s="5">
        <v>16</v>
      </c>
      <c r="BS159" s="5">
        <v>0</v>
      </c>
      <c r="BT159" s="5">
        <v>1</v>
      </c>
      <c r="BU159" s="5"/>
    </row>
    <row r="160" spans="1:73" x14ac:dyDescent="0.25">
      <c r="A160" s="5" t="s">
        <v>487</v>
      </c>
      <c r="B160" s="5">
        <v>1</v>
      </c>
      <c r="C160" s="5">
        <v>181.03200000000001</v>
      </c>
      <c r="D160" s="6">
        <v>230000000000</v>
      </c>
      <c r="E160" s="5">
        <v>45</v>
      </c>
      <c r="F160" s="5">
        <v>2</v>
      </c>
      <c r="G160" s="7">
        <v>45229</v>
      </c>
      <c r="H160" s="11">
        <v>0.33333333333333331</v>
      </c>
      <c r="I160" s="7">
        <v>45229</v>
      </c>
      <c r="J160" s="7">
        <v>45253</v>
      </c>
      <c r="K160" s="5">
        <v>9960643811</v>
      </c>
      <c r="L160" s="5">
        <v>8888434416</v>
      </c>
      <c r="M160" s="5">
        <v>17</v>
      </c>
      <c r="N160" s="5">
        <v>1</v>
      </c>
      <c r="O160" s="5">
        <v>2</v>
      </c>
      <c r="P160" s="5">
        <v>2</v>
      </c>
      <c r="Q160" s="5">
        <v>2</v>
      </c>
      <c r="R160" s="5">
        <v>2</v>
      </c>
      <c r="S160" s="5">
        <v>2</v>
      </c>
      <c r="T160" s="5">
        <v>2</v>
      </c>
      <c r="U160" s="5">
        <v>2</v>
      </c>
      <c r="V160" s="5">
        <v>2</v>
      </c>
      <c r="W160" s="5" t="s">
        <v>488</v>
      </c>
      <c r="X160" s="5">
        <v>7.7</v>
      </c>
      <c r="Y160" s="5">
        <v>27.3</v>
      </c>
      <c r="Z160" s="5">
        <v>53.4</v>
      </c>
      <c r="AA160" s="5">
        <v>8.66</v>
      </c>
      <c r="AB160" s="5">
        <v>9.9</v>
      </c>
      <c r="AC160" s="5">
        <v>197</v>
      </c>
      <c r="AD160" s="5">
        <v>139.80000000000001</v>
      </c>
      <c r="AE160" s="5">
        <v>33</v>
      </c>
      <c r="AF160" s="5">
        <v>24.2</v>
      </c>
      <c r="AG160" s="5">
        <v>121</v>
      </c>
      <c r="AH160" s="5">
        <v>2000</v>
      </c>
      <c r="AI160" s="5"/>
      <c r="AJ160" s="5"/>
      <c r="AK160" s="5" t="s">
        <v>489</v>
      </c>
      <c r="AL160" s="5" t="s">
        <v>490</v>
      </c>
      <c r="AM160" s="5"/>
      <c r="AN160" s="5">
        <v>7</v>
      </c>
      <c r="AO160" s="5">
        <v>3</v>
      </c>
      <c r="AP160" s="5">
        <v>3</v>
      </c>
      <c r="AQ160" s="5">
        <v>3</v>
      </c>
      <c r="AR160" s="5">
        <v>4</v>
      </c>
      <c r="AS160" s="5"/>
      <c r="AT160" s="5">
        <v>1</v>
      </c>
      <c r="AU160" s="5">
        <v>1</v>
      </c>
      <c r="AV160" s="5">
        <v>2</v>
      </c>
      <c r="AW160" s="5"/>
      <c r="AX160" s="5"/>
      <c r="AY160" s="5"/>
      <c r="AZ160" s="5">
        <v>1</v>
      </c>
      <c r="BA160" s="5">
        <v>6</v>
      </c>
      <c r="BB160" s="5">
        <v>2</v>
      </c>
      <c r="BC160" s="5">
        <v>0</v>
      </c>
      <c r="BD160" s="5">
        <v>1</v>
      </c>
      <c r="BE160" s="5">
        <v>2</v>
      </c>
      <c r="BF160" s="5">
        <v>2</v>
      </c>
      <c r="BG160" s="5">
        <v>2</v>
      </c>
      <c r="BH160" s="5">
        <v>1</v>
      </c>
      <c r="BI160" s="5">
        <v>1</v>
      </c>
      <c r="BJ160" s="5">
        <v>1</v>
      </c>
      <c r="BK160" s="5">
        <v>1</v>
      </c>
      <c r="BL160" s="5">
        <v>2</v>
      </c>
      <c r="BM160" s="5">
        <v>2</v>
      </c>
      <c r="BN160" s="5">
        <v>2</v>
      </c>
      <c r="BO160" s="5">
        <v>1</v>
      </c>
      <c r="BP160" s="5">
        <v>1</v>
      </c>
      <c r="BQ160" s="5">
        <v>1</v>
      </c>
      <c r="BR160" s="5">
        <v>20</v>
      </c>
      <c r="BS160" s="5">
        <v>0</v>
      </c>
      <c r="BT160" s="5">
        <v>1</v>
      </c>
      <c r="BU160" s="5"/>
    </row>
    <row r="161" spans="1:73" x14ac:dyDescent="0.25">
      <c r="A161" s="5" t="s">
        <v>652</v>
      </c>
      <c r="B161" s="5">
        <v>0</v>
      </c>
      <c r="C161" s="5">
        <v>186.369</v>
      </c>
      <c r="D161" s="9">
        <f>VLOOKUP($A161,'[1]24-8-24 DATA ENTRY'!$A$1:$BR$303,3,FALSE)</f>
        <v>240000035365</v>
      </c>
      <c r="E161" s="9">
        <f>VLOOKUP($A161,'[1]24-8-24 DATA ENTRY'!$A$1:$BR$303,4,FALSE)</f>
        <v>77</v>
      </c>
      <c r="F161" s="9">
        <f>VLOOKUP($A161,'[1]24-8-24 DATA ENTRY'!$A$1:$BR$303,5,FALSE)</f>
        <v>2</v>
      </c>
      <c r="G161" s="10">
        <f>VLOOKUP($A161,'[1]24-8-24 DATA ENTRY'!$A$1:$BR$303,6,FALSE)</f>
        <v>45446</v>
      </c>
      <c r="H161" s="9">
        <f>VLOOKUP($A161,'[1]24-8-24 DATA ENTRY'!$A$1:$BR$303,7,FALSE)</f>
        <v>0.625</v>
      </c>
      <c r="I161" s="10">
        <f>VLOOKUP($A161,'[1]24-8-24 DATA ENTRY'!$A$1:$BR$303,8,FALSE)</f>
        <v>45447</v>
      </c>
      <c r="J161" s="10">
        <f>VLOOKUP($A161,'[1]24-8-24 DATA ENTRY'!$A$1:$BR$303,9,FALSE)</f>
        <v>45468</v>
      </c>
      <c r="K161" s="9">
        <f>VLOOKUP($A161,'[1]24-8-24 DATA ENTRY'!$A$1:$BR$303,10,FALSE)</f>
        <v>9422987475</v>
      </c>
      <c r="L161" s="9">
        <f>VLOOKUP($A161,'[1]24-8-24 DATA ENTRY'!$A$1:$BR$303,11,FALSE)</f>
        <v>0</v>
      </c>
      <c r="M161" s="9">
        <f>VLOOKUP($A161,'[1]24-8-24 DATA ENTRY'!$A$1:$BR$303,12,FALSE)</f>
        <v>19</v>
      </c>
      <c r="N161" s="9">
        <f>VLOOKUP($A161,'[1]24-8-24 DATA ENTRY'!$A$1:$BR$303,13,FALSE)</f>
        <v>1</v>
      </c>
      <c r="O161" s="9">
        <f>VLOOKUP($A161,'[1]24-8-24 DATA ENTRY'!$A$1:$BR$303,14,FALSE)</f>
        <v>2</v>
      </c>
      <c r="P161" s="9">
        <f>VLOOKUP($A161,'[1]24-8-24 DATA ENTRY'!$A$1:$BR$303,15,FALSE)</f>
        <v>1</v>
      </c>
      <c r="Q161" s="9">
        <f>VLOOKUP($A161,'[1]24-8-24 DATA ENTRY'!$A$1:$BR$303,16,FALSE)</f>
        <v>2</v>
      </c>
      <c r="R161" s="9">
        <f>VLOOKUP($A161,'[1]24-8-24 DATA ENTRY'!$A$1:$BR$303,17,FALSE)</f>
        <v>2</v>
      </c>
      <c r="S161" s="9">
        <f>VLOOKUP($A161,'[1]24-8-24 DATA ENTRY'!$A$1:$BR$303,18,FALSE)</f>
        <v>2</v>
      </c>
      <c r="T161" s="9">
        <f>VLOOKUP($A161,'[1]24-8-24 DATA ENTRY'!$A$1:$BR$303,19,FALSE)</f>
        <v>2</v>
      </c>
      <c r="U161" s="9" t="e">
        <f>VLOOKUP($A161,'[1]24-8-24 DATA ENTRY'!$A$1:$BR$278,20,FALSE)</f>
        <v>#N/A</v>
      </c>
      <c r="V161" s="9">
        <f>VLOOKUP($A161,'[1]24-8-24 DATA ENTRY'!$A$1:$BR$303,21,FALSE)</f>
        <v>2</v>
      </c>
      <c r="W161" s="9" t="str">
        <f>VLOOKUP($A161,'[1]24-8-24 DATA ENTRY'!$A$1:$BR$303,22,FALSE)</f>
        <v>old stroke</v>
      </c>
      <c r="X161" s="9">
        <f>VLOOKUP($A161,'[1]24-8-24 DATA ENTRY'!$A$1:$BR$303,23,FALSE)</f>
        <v>11.9</v>
      </c>
      <c r="Y161" s="9">
        <f>VLOOKUP($A161,'[1]24-8-24 DATA ENTRY'!$A$1:$BR$303,24,FALSE)</f>
        <v>36</v>
      </c>
      <c r="Z161" s="9">
        <f>VLOOKUP($A161,'[1]24-8-24 DATA ENTRY'!$A$1:$BR$303,25,FALSE)</f>
        <v>97.4</v>
      </c>
      <c r="AA161" s="9">
        <f>VLOOKUP($A161,'[1]24-8-24 DATA ENTRY'!$A$1:$BR$303,26,FALSE)</f>
        <v>0</v>
      </c>
      <c r="AB161" s="9">
        <f>VLOOKUP($A161,'[1]24-8-24 DATA ENTRY'!$A$1:$BR$303,27,FALSE)</f>
        <v>0</v>
      </c>
      <c r="AC161" s="9">
        <f>VLOOKUP($A161,'[1]24-8-24 DATA ENTRY'!$A$1:$BR$303,28,FALSE)</f>
        <v>0</v>
      </c>
      <c r="AD161" s="9">
        <f>VLOOKUP($A161,'[1]24-8-24 DATA ENTRY'!$A$1:$BR$303,29,FALSE)</f>
        <v>0</v>
      </c>
      <c r="AE161" s="9">
        <f>VLOOKUP($A161,'[1]24-8-24 DATA ENTRY'!$A$1:$BR$2303,30,FALSE)</f>
        <v>0</v>
      </c>
      <c r="AF161" s="9">
        <f>VLOOKUP($A161,'[1]24-8-24 DATA ENTRY'!$A$1:$BR$303,31,FALSE)</f>
        <v>0</v>
      </c>
      <c r="AG161" s="9">
        <f>VLOOKUP($A161,'[1]24-8-24 DATA ENTRY'!$A$1:$BR$303,32,FALSE)</f>
        <v>0</v>
      </c>
      <c r="AH161" s="9">
        <f>VLOOKUP($A161,'[1]24-8-24 DATA ENTRY'!$A$1:$BR$303,33,FALSE)</f>
        <v>0</v>
      </c>
      <c r="AI161" s="9">
        <f>VLOOKUP($A161,'[1]24-8-24 DATA ENTRY'!$A$1:$BR$303,34,FALSE)</f>
        <v>0</v>
      </c>
      <c r="AJ161" s="9">
        <f>VLOOKUP($A161,'[1]24-8-24 DATA ENTRY'!$A$1:$BR$303,35,FALSE)</f>
        <v>0</v>
      </c>
      <c r="AK161" s="9" t="str">
        <f>VLOOKUP($A161,'[1]24-8-24 DATA ENTRY'!$A$1:$BR$303,36,FALSE)</f>
        <v>left MCA infarct massive, Old left cerebellar infarct</v>
      </c>
      <c r="AL161" s="9" t="str">
        <f>VLOOKUP($A161,'[1]24-8-24 DATA ENTRY'!$A$1:$BR$303,37,FALSE)</f>
        <v>left M1 occlusion B/L ICA non-occlusion plaques. rt vertebral artery hypoplastic</v>
      </c>
      <c r="AM161" s="9">
        <f>VLOOKUP($A161,'[1]24-8-24 DATA ENTRY'!$A$1:$BR$303,38,FALSE)</f>
        <v>0</v>
      </c>
      <c r="AN161" s="9">
        <f>VLOOKUP($A161,'[1]24-8-24 DATA ENTRY'!$A$1:$BR$303,39,FALSE)</f>
        <v>3</v>
      </c>
      <c r="AO161" s="9">
        <f>VLOOKUP($A161,'[1]24-8-24 DATA ENTRY'!$A$1:$BR$303,40,FALSE)</f>
        <v>1</v>
      </c>
      <c r="AP161" s="9">
        <f>VLOOKUP($A161,'[1]24-8-24 DATA ENTRY'!$A$1:$BR$303,41,FALSE)</f>
        <v>5</v>
      </c>
      <c r="AQ161" s="9">
        <f>VLOOKUP($A161,'[1]24-8-24 DATA ENTRY'!$A$1:$BR$303,42,FALSE)</f>
        <v>3</v>
      </c>
      <c r="AR161" s="9">
        <f>VLOOKUP($A161,'[1]24-8-24 DATA ENTRY'!$A$1:$BR$303,43,FALSE)</f>
        <v>5</v>
      </c>
      <c r="AS161" s="9">
        <f>VLOOKUP($A161,'[1]24-8-24 DATA ENTRY'!$A$1:$BR$303,44,FALSE)</f>
        <v>0</v>
      </c>
      <c r="AT161" s="9">
        <f>VLOOKUP($A161,'[1]24-8-24 DATA ENTRY'!$A$1:$BR$303,45,FALSE)</f>
        <v>1</v>
      </c>
      <c r="AU161" s="9">
        <f>VLOOKUP($A161,'[1]24-8-24 DATA ENTRY'!$A$1:$BR$303,46,FALSE)</f>
        <v>2</v>
      </c>
      <c r="AV161" s="9">
        <f>VLOOKUP($A161,'[1]24-8-24 DATA ENTRY'!$A$1:$BR$303,47,FALSE)</f>
        <v>2</v>
      </c>
      <c r="AW161" s="9">
        <f>VLOOKUP($A161,'[1]24-8-24 DATA ENTRY'!$A$1:$BR$303,48,FALSE)</f>
        <v>0</v>
      </c>
      <c r="AX161" s="9">
        <f>VLOOKUP($A161,'[1]24-8-24 DATA ENTRY'!$A$1:$BR$303,49,FALSE)</f>
        <v>1</v>
      </c>
      <c r="AY161" s="9">
        <f>VLOOKUP($A161,'[1]24-8-24 DATA ENTRY'!$A$1:$BR$303,50,FALSE)</f>
        <v>0</v>
      </c>
      <c r="AZ161" s="9">
        <f>VLOOKUP($A161,'[1]24-8-24 DATA ENTRY'!$A$1:$BR$303,51,FALSE)</f>
        <v>0</v>
      </c>
      <c r="BA161" s="9">
        <f>VLOOKUP($A161,'[1]24-8-24 DATA ENTRY'!$A$1:$BR$303,52,FALSE)</f>
        <v>2</v>
      </c>
      <c r="BB161" s="5">
        <v>1</v>
      </c>
      <c r="BC161" s="9">
        <f>VLOOKUP($A161,'[1]24-8-24 DATA ENTRY'!$A$1:$BR$303,53,FALSE)</f>
        <v>60</v>
      </c>
      <c r="BD161" s="5">
        <v>0</v>
      </c>
      <c r="BE161" s="5">
        <v>2</v>
      </c>
      <c r="BF161" s="5">
        <v>1</v>
      </c>
      <c r="BG161" s="5">
        <v>2</v>
      </c>
      <c r="BH161" s="5">
        <v>1</v>
      </c>
      <c r="BI161" s="5">
        <v>1</v>
      </c>
      <c r="BJ161" s="5">
        <v>1</v>
      </c>
      <c r="BK161" s="5">
        <v>0</v>
      </c>
      <c r="BL161" s="5">
        <v>2</v>
      </c>
      <c r="BM161" s="5">
        <v>2</v>
      </c>
      <c r="BN161" s="5">
        <v>2</v>
      </c>
      <c r="BO161" s="5">
        <v>1</v>
      </c>
      <c r="BP161" s="5">
        <v>1</v>
      </c>
      <c r="BQ161" s="5">
        <v>1</v>
      </c>
      <c r="BR161" s="5">
        <v>17</v>
      </c>
      <c r="BS161" s="5">
        <v>1</v>
      </c>
      <c r="BT161" s="5">
        <v>1</v>
      </c>
      <c r="BU161" s="5" t="s">
        <v>238</v>
      </c>
    </row>
    <row r="162" spans="1:73" x14ac:dyDescent="0.25">
      <c r="A162" s="8" t="s">
        <v>352</v>
      </c>
      <c r="B162" s="5">
        <v>1</v>
      </c>
      <c r="C162" s="8">
        <v>197.363</v>
      </c>
      <c r="D162" s="9">
        <f>VLOOKUP($A162,'[1]24-8-24 DATA ENTRY'!$A$1:$BR$258,3,FALSE)</f>
        <v>240000028724</v>
      </c>
      <c r="E162" s="9">
        <f>VLOOKUP($A162,'[1]24-8-24 DATA ENTRY'!$A$1:$BR$258,4,FALSE)</f>
        <v>38</v>
      </c>
      <c r="F162" s="9">
        <f>VLOOKUP($A162,'[1]24-8-24 DATA ENTRY'!$A$1:$BR$258,5,FALSE)</f>
        <v>1</v>
      </c>
      <c r="G162" s="10">
        <f>VLOOKUP($A162,'[1]24-8-24 DATA ENTRY'!$A$1:$BR$258,6,FALSE)</f>
        <v>45375</v>
      </c>
      <c r="H162" s="9">
        <f>VLOOKUP($A162,'[1]24-8-24 DATA ENTRY'!$A$1:$BR$258,7,FALSE)</f>
        <v>0.27083333333333331</v>
      </c>
      <c r="I162" s="10">
        <f>VLOOKUP($A162,'[1]24-8-24 DATA ENTRY'!$A$1:$BR$258,8,FALSE)</f>
        <v>45375</v>
      </c>
      <c r="J162" s="10">
        <f>VLOOKUP($A162,'[1]24-8-24 DATA ENTRY'!$A$1:$BR$258,9,FALSE)</f>
        <v>0</v>
      </c>
      <c r="K162" s="9">
        <f>VLOOKUP($A162,'[1]24-8-24 DATA ENTRY'!$A$1:$BR$258,10,FALSE)</f>
        <v>9850178326</v>
      </c>
      <c r="L162" s="9">
        <f>VLOOKUP($A162,'[1]24-8-24 DATA ENTRY'!$A$1:$BR$258,11,FALSE)</f>
        <v>9763879893</v>
      </c>
      <c r="M162" s="9">
        <f>VLOOKUP($A162,'[1]24-8-24 DATA ENTRY'!$A$1:$BR$258,12,FALSE)</f>
        <v>16</v>
      </c>
      <c r="N162" s="9">
        <f>VLOOKUP($A162,'[1]24-8-24 DATA ENTRY'!$A$1:$BR$258,13,FALSE)</f>
        <v>2</v>
      </c>
      <c r="O162" s="9">
        <f>VLOOKUP($A162,'[1]24-8-24 DATA ENTRY'!$A$1:$BR$258,14,FALSE)</f>
        <v>1</v>
      </c>
      <c r="P162" s="9">
        <f>VLOOKUP($A162,'[1]24-8-24 DATA ENTRY'!$A$1:$BR$258,15,FALSE)</f>
        <v>2</v>
      </c>
      <c r="Q162" s="9">
        <f>VLOOKUP($A162,'[1]24-8-24 DATA ENTRY'!$A$1:$BR$258,16,FALSE)</f>
        <v>2</v>
      </c>
      <c r="R162" s="9">
        <f>VLOOKUP($A162,'[1]24-8-24 DATA ENTRY'!$A$1:$BR$258,17,FALSE)</f>
        <v>2</v>
      </c>
      <c r="S162" s="9">
        <f>VLOOKUP($A162,'[1]24-8-24 DATA ENTRY'!$A$1:$BR$258,18,FALSE)</f>
        <v>2</v>
      </c>
      <c r="T162" s="9">
        <f>VLOOKUP($A162,'[1]24-8-24 DATA ENTRY'!$A$1:$BR$258,19,FALSE)</f>
        <v>2</v>
      </c>
      <c r="U162" s="9">
        <f>VLOOKUP($A162,'[1]24-8-24 DATA ENTRY'!$A$1:$BR$258,20,FALSE)</f>
        <v>2</v>
      </c>
      <c r="V162" s="9">
        <f>VLOOKUP($A162,'[1]24-8-24 DATA ENTRY'!$A$1:$BR$258,21,FALSE)</f>
        <v>2</v>
      </c>
      <c r="W162" s="9">
        <f>VLOOKUP($A162,'[1]24-8-24 DATA ENTRY'!$A$1:$BR$258,22,FALSE)</f>
        <v>0</v>
      </c>
      <c r="X162" s="9">
        <f>VLOOKUP($A162,'[1]24-8-24 DATA ENTRY'!$A$1:$BR$258,23,FALSE)</f>
        <v>12.7</v>
      </c>
      <c r="Y162" s="9">
        <f>VLOOKUP($A162,'[1]24-8-24 DATA ENTRY'!$A$1:$BR$258,24,FALSE)</f>
        <v>40.4</v>
      </c>
      <c r="Z162" s="9">
        <f>VLOOKUP($A162,'[1]24-8-24 DATA ENTRY'!$A$1:$BR$258,25,FALSE)</f>
        <v>72.900000000000006</v>
      </c>
      <c r="AA162" s="9">
        <f>VLOOKUP($A162,'[1]24-8-24 DATA ENTRY'!$A$1:$BR$258,26,FALSE)</f>
        <v>10.33</v>
      </c>
      <c r="AB162" s="9">
        <f>VLOOKUP($A162,'[1]24-8-24 DATA ENTRY'!$A$1:$BR$258,27,FALSE)</f>
        <v>12.7</v>
      </c>
      <c r="AC162" s="9">
        <f>VLOOKUP($A162,'[1]24-8-24 DATA ENTRY'!$A$1:$BR$258,28,FALSE)</f>
        <v>159</v>
      </c>
      <c r="AD162" s="9">
        <f>VLOOKUP($A162,'[1]24-8-24 DATA ENTRY'!$A$1:$BR$258,29,FALSE)</f>
        <v>106.4</v>
      </c>
      <c r="AE162" s="9">
        <f>VLOOKUP($A162,'[1]24-8-24 DATA ENTRY'!$A$1:$BR$258,30,FALSE)</f>
        <v>34</v>
      </c>
      <c r="AF162" s="9">
        <f>VLOOKUP($A162,'[1]24-8-24 DATA ENTRY'!$A$1:$BR$258,31,FALSE)</f>
        <v>18.600000000000001</v>
      </c>
      <c r="AG162" s="9">
        <f>VLOOKUP($A162,'[1]24-8-24 DATA ENTRY'!$A$1:$BR$258,32,FALSE)</f>
        <v>93</v>
      </c>
      <c r="AH162" s="9">
        <f>VLOOKUP($A162,'[1]24-8-24 DATA ENTRY'!$A$1:$BR$258,33,FALSE)</f>
        <v>248</v>
      </c>
      <c r="AI162" s="9">
        <f>VLOOKUP($A162,'[1]24-8-24 DATA ENTRY'!$A$1:$BR$258,34,FALSE)</f>
        <v>0</v>
      </c>
      <c r="AJ162" s="9">
        <f>VLOOKUP($A162,'[1]24-8-24 DATA ENTRY'!$A$1:$BR$258,35,FALSE)</f>
        <v>0</v>
      </c>
      <c r="AK162" s="9" t="str">
        <f>VLOOKUP($A162,'[1]24-8-24 DATA ENTRY'!$A$1:$BR$258,36,FALSE)</f>
        <v>Acute NHI in rt fronto-parieto-temporal region &amp; Rt GC region</v>
      </c>
      <c r="AL162" s="9" t="str">
        <f>VLOOKUP($A162,'[1]24-8-24 DATA ENTRY'!$A$1:$BR$258,37,FALSE)</f>
        <v>large Hypodensity in rt fronto-temporal region &amp; GC region restricted, Complete thrombotic occlusion of distal M1 segment of Rt MCA &amp; inferior devision of M2 segment of rt MCA noted</v>
      </c>
      <c r="AM162" s="9">
        <f>VLOOKUP($A162,'[1]24-8-24 DATA ENTRY'!$A$1:$BR$258,38,FALSE)</f>
        <v>0</v>
      </c>
      <c r="AN162" s="9">
        <f>VLOOKUP($A162,'[1]24-8-24 DATA ENTRY'!$A$1:$BR$258,39,FALSE)</f>
        <v>5</v>
      </c>
      <c r="AO162" s="9">
        <f>VLOOKUP($A162,'[1]24-8-24 DATA ENTRY'!$A$1:$BR$258,40,FALSE)</f>
        <v>1</v>
      </c>
      <c r="AP162" s="9">
        <f>VLOOKUP($A162,'[1]24-8-24 DATA ENTRY'!$A$1:$BR$258,41,FALSE)</f>
        <v>4</v>
      </c>
      <c r="AQ162" s="9">
        <f>VLOOKUP($A162,'[1]24-8-24 DATA ENTRY'!$A$1:$BR$258,42,FALSE)</f>
        <v>3</v>
      </c>
      <c r="AR162" s="9">
        <f>VLOOKUP($A162,'[1]24-8-24 DATA ENTRY'!$A$1:$BR$258,43,FALSE)</f>
        <v>5</v>
      </c>
      <c r="AS162" s="9">
        <f>VLOOKUP($A162,'[1]24-8-24 DATA ENTRY'!$A$1:$BR$258,44,FALSE)</f>
        <v>0</v>
      </c>
      <c r="AT162" s="9">
        <f>VLOOKUP($A162,'[1]24-8-24 DATA ENTRY'!$A$1:$BR$258,45,FALSE)</f>
        <v>1</v>
      </c>
      <c r="AU162" s="9">
        <f>VLOOKUP($A162,'[1]24-8-24 DATA ENTRY'!$A$1:$BR$258,46,FALSE)</f>
        <v>1</v>
      </c>
      <c r="AV162" s="9">
        <f>VLOOKUP($A162,'[1]24-8-24 DATA ENTRY'!$A$1:$BR$258,47,FALSE)</f>
        <v>2</v>
      </c>
      <c r="AW162" s="9">
        <f>VLOOKUP($A162,'[1]24-8-24 DATA ENTRY'!$A$1:$BR$258,48,FALSE)</f>
        <v>0</v>
      </c>
      <c r="AX162" s="9">
        <f>VLOOKUP($A162,'[1]24-8-24 DATA ENTRY'!$A$1:$BR$258,49,FALSE)</f>
        <v>0</v>
      </c>
      <c r="AY162" s="9">
        <f>VLOOKUP($A162,'[1]24-8-24 DATA ENTRY'!$A$1:$BR$258,50,FALSE)</f>
        <v>0</v>
      </c>
      <c r="AZ162" s="9">
        <f>VLOOKUP($A162,'[1]24-8-24 DATA ENTRY'!$A$1:$BR$258,51,FALSE)</f>
        <v>0</v>
      </c>
      <c r="BA162" s="9">
        <f>VLOOKUP($A162,'[1]24-8-24 DATA ENTRY'!$A$1:$BR$258,52,FALSE)</f>
        <v>1</v>
      </c>
      <c r="BB162" s="5">
        <v>1</v>
      </c>
      <c r="BC162" s="9">
        <f>VLOOKUP($A162,'[1]24-8-24 DATA ENTRY'!$A$1:$BR$258,53,FALSE)</f>
        <v>80</v>
      </c>
      <c r="BD162" s="8">
        <v>1</v>
      </c>
      <c r="BE162" s="8">
        <v>2</v>
      </c>
      <c r="BF162" s="8">
        <v>2</v>
      </c>
      <c r="BG162" s="8">
        <v>1</v>
      </c>
      <c r="BH162" s="8">
        <v>1</v>
      </c>
      <c r="BI162" s="8">
        <v>1</v>
      </c>
      <c r="BJ162" s="8">
        <v>1</v>
      </c>
      <c r="BK162" s="8">
        <v>1</v>
      </c>
      <c r="BL162" s="8">
        <v>2</v>
      </c>
      <c r="BM162" s="8">
        <v>2</v>
      </c>
      <c r="BN162" s="8">
        <v>2</v>
      </c>
      <c r="BO162" s="8">
        <v>1</v>
      </c>
      <c r="BP162" s="8">
        <v>1</v>
      </c>
      <c r="BQ162" s="8">
        <v>1</v>
      </c>
      <c r="BR162" s="8">
        <v>19</v>
      </c>
      <c r="BS162" s="8">
        <v>1</v>
      </c>
      <c r="BT162" s="8">
        <v>1</v>
      </c>
      <c r="BU162" s="8"/>
    </row>
    <row r="163" spans="1:73" x14ac:dyDescent="0.25">
      <c r="A163" s="5" t="s">
        <v>534</v>
      </c>
      <c r="B163" s="5">
        <v>0</v>
      </c>
      <c r="C163" s="5" t="s">
        <v>535</v>
      </c>
      <c r="D163" s="18">
        <f>VLOOKUP($A163,'[1]24-8-24 DATA ENTRY'!$A$1:$BR$258,3,FALSE)</f>
        <v>230000022720</v>
      </c>
      <c r="E163" s="18">
        <f>VLOOKUP($A163,'[1]24-8-24 DATA ENTRY'!$A$1:$BR$258,4,FALSE)</f>
        <v>75</v>
      </c>
      <c r="F163" s="18">
        <f>VLOOKUP($A163,'[1]24-8-24 DATA ENTRY'!$A$1:$BR$258,5,FALSE)</f>
        <v>2</v>
      </c>
      <c r="G163" s="19">
        <f>VLOOKUP($A163,'[1]24-8-24 DATA ENTRY'!$A$1:$BR$258,6,FALSE)</f>
        <v>45398</v>
      </c>
      <c r="H163" s="18">
        <f>VLOOKUP($A163,'[1]24-8-24 DATA ENTRY'!$A$1:$BR$258,7,FALSE)</f>
        <v>0.3125</v>
      </c>
      <c r="I163" s="19">
        <f>VLOOKUP($A163,'[1]24-8-24 DATA ENTRY'!$A$1:$BR$258,8,FALSE)</f>
        <v>45398</v>
      </c>
      <c r="J163" s="19">
        <f>VLOOKUP($A163,'[1]24-8-24 DATA ENTRY'!$A$1:$BR$258,9,FALSE)</f>
        <v>0</v>
      </c>
      <c r="K163" s="18">
        <f>VLOOKUP($A163,'[1]24-8-24 DATA ENTRY'!$A$1:$BR$258,10,FALSE)</f>
        <v>9890084283</v>
      </c>
      <c r="L163" s="18">
        <f>VLOOKUP($A163,'[1]24-8-24 DATA ENTRY'!$A$1:$BR$258,11,FALSE)</f>
        <v>9970450799</v>
      </c>
      <c r="M163" s="18">
        <f>VLOOKUP($A163,'[1]24-8-24 DATA ENTRY'!$A$1:$BR$258,12,FALSE)</f>
        <v>26</v>
      </c>
      <c r="N163" s="18">
        <f>VLOOKUP($A163,'[1]24-8-24 DATA ENTRY'!$A$1:$BR$258,13,FALSE)</f>
        <v>1</v>
      </c>
      <c r="O163" s="18">
        <f>VLOOKUP($A163,'[1]24-8-24 DATA ENTRY'!$A$1:$BR$258,14,FALSE)</f>
        <v>2</v>
      </c>
      <c r="P163" s="18">
        <f>VLOOKUP($A163,'[1]24-8-24 DATA ENTRY'!$A$1:$BR$258,15,FALSE)</f>
        <v>2</v>
      </c>
      <c r="Q163" s="18">
        <f>VLOOKUP($A163,'[1]24-8-24 DATA ENTRY'!$A$1:$BR$258,16,FALSE)</f>
        <v>2</v>
      </c>
      <c r="R163" s="18">
        <f>VLOOKUP($A163,'[1]24-8-24 DATA ENTRY'!$A$1:$BR$258,17,FALSE)</f>
        <v>2</v>
      </c>
      <c r="S163" s="18">
        <f>VLOOKUP($A163,'[1]24-8-24 DATA ENTRY'!$A$1:$BR$258,18,FALSE)</f>
        <v>2</v>
      </c>
      <c r="T163" s="18">
        <f>VLOOKUP($A163,'[1]24-8-24 DATA ENTRY'!$A$1:$BR$258,19,FALSE)</f>
        <v>2</v>
      </c>
      <c r="U163" s="18">
        <f>VLOOKUP($A163,'[1]24-8-24 DATA ENTRY'!$A$1:$BR$258,20,FALSE)</f>
        <v>2</v>
      </c>
      <c r="V163" s="18">
        <f>VLOOKUP($A163,'[1]24-8-24 DATA ENTRY'!$A$1:$BR$258,21,FALSE)</f>
        <v>2</v>
      </c>
      <c r="W163" s="18" t="str">
        <f>VLOOKUP($A163,'[1]24-8-24 DATA ENTRY'!$A$1:$BR$258,22,FALSE)</f>
        <v>heart failure</v>
      </c>
      <c r="X163" s="18">
        <f>VLOOKUP($A163,'[1]24-8-24 DATA ENTRY'!$A$1:$BR$258,23,FALSE)</f>
        <v>12.7</v>
      </c>
      <c r="Y163" s="18">
        <f>VLOOKUP($A163,'[1]24-8-24 DATA ENTRY'!$A$1:$BR$258,24,FALSE)</f>
        <v>39</v>
      </c>
      <c r="Z163" s="18">
        <f>VLOOKUP($A163,'[1]24-8-24 DATA ENTRY'!$A$1:$BR$258,25,FALSE)</f>
        <v>88.7</v>
      </c>
      <c r="AA163" s="18">
        <f>VLOOKUP($A163,'[1]24-8-24 DATA ENTRY'!$A$1:$BR$258,26,FALSE)</f>
        <v>14.48</v>
      </c>
      <c r="AB163" s="18">
        <f>VLOOKUP($A163,'[1]24-8-24 DATA ENTRY'!$A$1:$BR$258,27,FALSE)</f>
        <v>0</v>
      </c>
      <c r="AC163" s="18">
        <f>VLOOKUP($A163,'[1]24-8-24 DATA ENTRY'!$A$1:$BR$258,28,FALSE)</f>
        <v>0</v>
      </c>
      <c r="AD163" s="18">
        <f>VLOOKUP($A163,'[1]24-8-24 DATA ENTRY'!$A$1:$BR$258,29,FALSE)</f>
        <v>0</v>
      </c>
      <c r="AE163" s="18">
        <f>VLOOKUP($A163,'[1]24-8-24 DATA ENTRY'!$A$1:$BR$258,30,FALSE)</f>
        <v>0</v>
      </c>
      <c r="AF163" s="18">
        <f>VLOOKUP($A163,'[1]24-8-24 DATA ENTRY'!$A$1:$BR$258,31,FALSE)</f>
        <v>0</v>
      </c>
      <c r="AG163" s="18">
        <f>VLOOKUP($A163,'[1]24-8-24 DATA ENTRY'!$A$1:$BR$258,32,FALSE)</f>
        <v>0</v>
      </c>
      <c r="AH163" s="18">
        <f>VLOOKUP($A163,'[1]24-8-24 DATA ENTRY'!$A$1:$BR$258,33,FALSE)</f>
        <v>0</v>
      </c>
      <c r="AI163" s="18">
        <f>VLOOKUP($A163,'[1]24-8-24 DATA ENTRY'!$A$1:$BR$258,34,FALSE)</f>
        <v>0</v>
      </c>
      <c r="AJ163" s="18">
        <f>VLOOKUP($A163,'[1]24-8-24 DATA ENTRY'!$A$1:$BR$258,35,FALSE)</f>
        <v>0</v>
      </c>
      <c r="AK163" s="18" t="str">
        <f>VLOOKUP($A163,'[1]24-8-24 DATA ENTRY'!$A$1:$BR$258,36,FALSE)</f>
        <v>rt mca inferior division infarct, old left PICA infarct</v>
      </c>
      <c r="AL163" s="18" t="str">
        <f>VLOOKUP($A163,'[1]24-8-24 DATA ENTRY'!$A$1:$BR$258,37,FALSE)</f>
        <v>Rt MCA inferior division occlusion</v>
      </c>
      <c r="AM163" s="18">
        <f>VLOOKUP($A163,'[1]24-8-24 DATA ENTRY'!$A$1:$BR$258,38,FALSE)</f>
        <v>0</v>
      </c>
      <c r="AN163" s="18">
        <f>VLOOKUP($A163,'[1]24-8-24 DATA ENTRY'!$A$1:$BR$258,39,FALSE)</f>
        <v>6</v>
      </c>
      <c r="AO163" s="18">
        <f>VLOOKUP($A163,'[1]24-8-24 DATA ENTRY'!$A$1:$BR$258,40,FALSE)</f>
        <v>1</v>
      </c>
      <c r="AP163" s="18">
        <f>VLOOKUP($A163,'[1]24-8-24 DATA ENTRY'!$A$1:$BR$258,41,FALSE)</f>
        <v>3</v>
      </c>
      <c r="AQ163" s="18">
        <f>VLOOKUP($A163,'[1]24-8-24 DATA ENTRY'!$A$1:$BR$258,42,FALSE)</f>
        <v>3</v>
      </c>
      <c r="AR163" s="18">
        <f>VLOOKUP($A163,'[1]24-8-24 DATA ENTRY'!$A$1:$BR$258,43,FALSE)</f>
        <v>4</v>
      </c>
      <c r="AS163" s="18">
        <f>VLOOKUP($A163,'[1]24-8-24 DATA ENTRY'!$A$1:$BR$258,44,FALSE)</f>
        <v>0</v>
      </c>
      <c r="AT163" s="18">
        <f>VLOOKUP($A163,'[1]24-8-24 DATA ENTRY'!$A$1:$BR$258,45,FALSE)</f>
        <v>1</v>
      </c>
      <c r="AU163" s="18">
        <f>VLOOKUP($A163,'[1]24-8-24 DATA ENTRY'!$A$1:$BR$258,46,FALSE)</f>
        <v>1</v>
      </c>
      <c r="AV163" s="18">
        <f>VLOOKUP($A163,'[1]24-8-24 DATA ENTRY'!$A$1:$BR$258,47,FALSE)</f>
        <v>0</v>
      </c>
      <c r="AW163" s="18">
        <f>VLOOKUP($A163,'[1]24-8-24 DATA ENTRY'!$A$1:$BR$258,48,FALSE)</f>
        <v>0</v>
      </c>
      <c r="AX163" s="18">
        <f>VLOOKUP($A163,'[1]24-8-24 DATA ENTRY'!$A$1:$BR$258,49,FALSE)</f>
        <v>0</v>
      </c>
      <c r="AY163" s="18">
        <f>VLOOKUP($A163,'[1]24-8-24 DATA ENTRY'!$A$1:$BR$258,50,FALSE)</f>
        <v>0</v>
      </c>
      <c r="AZ163" s="18">
        <f>VLOOKUP($A163,'[1]24-8-24 DATA ENTRY'!$A$1:$BR$258,51,FALSE)</f>
        <v>0</v>
      </c>
      <c r="BA163" s="18">
        <f>VLOOKUP($A163,'[1]24-8-24 DATA ENTRY'!$A$1:$BR$258,52,FALSE)</f>
        <v>6</v>
      </c>
      <c r="BB163" s="5">
        <v>2</v>
      </c>
      <c r="BC163" s="18">
        <f>VLOOKUP($A163,'[1]24-8-24 DATA ENTRY'!$A$1:$BR$258,53,FALSE)</f>
        <v>0</v>
      </c>
      <c r="BD163" s="5">
        <v>1</v>
      </c>
      <c r="BE163" s="5">
        <v>2</v>
      </c>
      <c r="BF163" s="5">
        <v>2</v>
      </c>
      <c r="BG163" s="5">
        <v>2</v>
      </c>
      <c r="BH163" s="5">
        <v>1</v>
      </c>
      <c r="BI163" s="5">
        <v>0</v>
      </c>
      <c r="BJ163" s="5">
        <v>1</v>
      </c>
      <c r="BK163" s="5">
        <v>1</v>
      </c>
      <c r="BL163" s="5">
        <v>2</v>
      </c>
      <c r="BM163" s="5">
        <v>2</v>
      </c>
      <c r="BN163" s="5">
        <v>2</v>
      </c>
      <c r="BO163" s="5">
        <v>1</v>
      </c>
      <c r="BP163" s="5">
        <v>1</v>
      </c>
      <c r="BQ163" s="5">
        <v>1</v>
      </c>
      <c r="BR163" s="5">
        <v>19</v>
      </c>
      <c r="BS163" s="5">
        <v>0</v>
      </c>
      <c r="BT163" s="5">
        <v>0</v>
      </c>
      <c r="BU163" s="5" t="s">
        <v>87</v>
      </c>
    </row>
    <row r="164" spans="1:73" x14ac:dyDescent="0.25">
      <c r="A164" s="22" t="s">
        <v>699</v>
      </c>
      <c r="B164" s="22"/>
      <c r="C164" s="22">
        <v>25.387699999999999</v>
      </c>
      <c r="D164" s="22">
        <v>240000057703</v>
      </c>
      <c r="E164" s="22">
        <v>71</v>
      </c>
      <c r="F164" s="22">
        <v>1</v>
      </c>
      <c r="G164" s="23">
        <v>45473</v>
      </c>
      <c r="H164" s="24">
        <v>0.33333333333333331</v>
      </c>
      <c r="I164" s="23">
        <v>45473</v>
      </c>
      <c r="J164" s="23"/>
      <c r="K164" s="22">
        <v>9850850331</v>
      </c>
      <c r="L164" s="22"/>
      <c r="M164" s="22">
        <v>2</v>
      </c>
      <c r="N164" s="22">
        <v>2</v>
      </c>
      <c r="O164" s="22">
        <v>2</v>
      </c>
      <c r="P164" s="22">
        <v>2</v>
      </c>
      <c r="Q164" s="22">
        <v>1</v>
      </c>
      <c r="R164" s="22">
        <v>2</v>
      </c>
      <c r="S164" s="22">
        <v>2</v>
      </c>
      <c r="T164" s="22">
        <v>2</v>
      </c>
      <c r="U164" s="22">
        <v>2</v>
      </c>
      <c r="V164" s="22">
        <v>2</v>
      </c>
      <c r="W164" s="22"/>
      <c r="X164" s="22"/>
      <c r="Y164" s="22"/>
      <c r="Z164" s="22"/>
      <c r="AA164" s="22"/>
      <c r="AB164" s="22"/>
      <c r="AC164" s="22"/>
      <c r="AD164" s="22"/>
      <c r="AE164" s="22"/>
      <c r="AF164" s="22"/>
      <c r="AG164" s="22"/>
      <c r="AH164" s="22"/>
      <c r="AI164" s="22"/>
      <c r="AJ164" s="22"/>
      <c r="AK164" s="22" t="s">
        <v>700</v>
      </c>
      <c r="AL164" s="22" t="s">
        <v>701</v>
      </c>
      <c r="AM164" s="22"/>
      <c r="AN164" s="22">
        <v>8</v>
      </c>
      <c r="AO164" s="22">
        <v>1</v>
      </c>
      <c r="AP164" s="22">
        <v>4</v>
      </c>
      <c r="AQ164" s="22">
        <v>3</v>
      </c>
      <c r="AR164" s="22">
        <v>5</v>
      </c>
      <c r="AS164" s="22"/>
      <c r="AT164" s="22">
        <v>1</v>
      </c>
      <c r="AU164" s="22">
        <v>1</v>
      </c>
      <c r="AV164" s="22">
        <v>2</v>
      </c>
      <c r="AW164" s="22"/>
      <c r="AX164" s="22"/>
      <c r="AY164" s="22">
        <v>2</v>
      </c>
      <c r="AZ164" s="22">
        <v>2</v>
      </c>
      <c r="BA164" s="22">
        <v>0</v>
      </c>
      <c r="BB164" s="5">
        <v>1</v>
      </c>
      <c r="BC164" s="22">
        <v>95</v>
      </c>
      <c r="BD164" s="22">
        <v>0</v>
      </c>
      <c r="BE164" s="22">
        <v>2</v>
      </c>
      <c r="BF164" s="22">
        <v>2</v>
      </c>
      <c r="BG164" s="22">
        <v>2</v>
      </c>
      <c r="BH164" s="22">
        <v>1</v>
      </c>
      <c r="BI164" s="22">
        <v>1</v>
      </c>
      <c r="BJ164" s="22">
        <v>1</v>
      </c>
      <c r="BK164" s="22">
        <v>1</v>
      </c>
      <c r="BL164" s="22">
        <v>2</v>
      </c>
      <c r="BM164" s="22">
        <v>2</v>
      </c>
      <c r="BN164" s="22">
        <v>2</v>
      </c>
      <c r="BO164" s="22">
        <v>1</v>
      </c>
      <c r="BP164" s="5">
        <v>1</v>
      </c>
      <c r="BQ164" s="5">
        <v>1</v>
      </c>
      <c r="BR164" s="5">
        <v>19</v>
      </c>
      <c r="BS164" s="5">
        <v>1</v>
      </c>
      <c r="BT164" s="5">
        <v>1</v>
      </c>
      <c r="BU164" t="s">
        <v>238</v>
      </c>
    </row>
    <row r="165" spans="1:73" x14ac:dyDescent="0.25">
      <c r="A165" s="22" t="s">
        <v>702</v>
      </c>
      <c r="B165" s="22"/>
      <c r="C165" s="22">
        <v>1.78227</v>
      </c>
      <c r="D165" s="22"/>
      <c r="E165" s="22">
        <v>45</v>
      </c>
      <c r="F165" s="22">
        <v>1</v>
      </c>
      <c r="G165" s="23">
        <v>45471</v>
      </c>
      <c r="H165" s="24">
        <v>0.5</v>
      </c>
      <c r="I165" s="23">
        <v>45471</v>
      </c>
      <c r="J165" s="23">
        <v>45474</v>
      </c>
      <c r="K165" s="22">
        <v>9763443333</v>
      </c>
      <c r="L165" s="22"/>
      <c r="M165" s="22">
        <v>8</v>
      </c>
      <c r="N165" s="22">
        <v>1</v>
      </c>
      <c r="O165" s="22">
        <v>1</v>
      </c>
      <c r="P165" s="22">
        <v>2</v>
      </c>
      <c r="Q165" s="22">
        <v>2</v>
      </c>
      <c r="R165" s="22">
        <v>2</v>
      </c>
      <c r="S165" s="22">
        <v>2</v>
      </c>
      <c r="T165" s="22">
        <v>2</v>
      </c>
      <c r="U165" s="22">
        <v>2</v>
      </c>
      <c r="V165" s="22">
        <v>2</v>
      </c>
      <c r="W165" s="22"/>
      <c r="X165" s="22">
        <v>11.4</v>
      </c>
      <c r="Y165" s="22">
        <v>36.700000000000003</v>
      </c>
      <c r="Z165" s="22">
        <v>63.4</v>
      </c>
      <c r="AA165" s="22">
        <v>8.7100000000000009</v>
      </c>
      <c r="AB165" s="22">
        <v>10.4</v>
      </c>
      <c r="AC165" s="22">
        <v>86</v>
      </c>
      <c r="AD165" s="22">
        <v>35.4</v>
      </c>
      <c r="AE165" s="22">
        <v>24</v>
      </c>
      <c r="AF165" s="22">
        <v>26.6</v>
      </c>
      <c r="AG165" s="22">
        <v>133</v>
      </c>
      <c r="AH165" s="22">
        <v>519</v>
      </c>
      <c r="AI165" s="22"/>
      <c r="AJ165" s="22"/>
      <c r="AK165" s="22" t="s">
        <v>703</v>
      </c>
      <c r="AL165" s="22" t="s">
        <v>704</v>
      </c>
      <c r="AM165" s="22"/>
      <c r="AN165" s="22">
        <v>10</v>
      </c>
      <c r="AO165" s="22">
        <v>1</v>
      </c>
      <c r="AP165" s="22">
        <v>3</v>
      </c>
      <c r="AQ165" s="22">
        <v>2</v>
      </c>
      <c r="AR165" s="22">
        <v>5</v>
      </c>
      <c r="AS165" s="22"/>
      <c r="AT165" s="22">
        <v>1</v>
      </c>
      <c r="AU165" s="22">
        <v>1</v>
      </c>
      <c r="AV165" s="22">
        <v>2</v>
      </c>
      <c r="AW165" s="22"/>
      <c r="AX165" s="22"/>
      <c r="AY165" s="22">
        <v>2</v>
      </c>
      <c r="AZ165" s="22">
        <v>2</v>
      </c>
      <c r="BA165" s="22">
        <v>1</v>
      </c>
      <c r="BB165" s="5">
        <v>1</v>
      </c>
      <c r="BC165" s="22">
        <v>100</v>
      </c>
      <c r="BD165" s="22">
        <v>1</v>
      </c>
      <c r="BE165" s="22">
        <v>2</v>
      </c>
      <c r="BF165" s="22">
        <v>2</v>
      </c>
      <c r="BG165" s="22">
        <v>2</v>
      </c>
      <c r="BH165" s="22">
        <v>1</v>
      </c>
      <c r="BI165" s="22">
        <v>1</v>
      </c>
      <c r="BJ165" s="22">
        <v>1</v>
      </c>
      <c r="BK165" s="22">
        <v>1</v>
      </c>
      <c r="BL165" s="22">
        <v>2</v>
      </c>
      <c r="BM165" s="22">
        <v>2</v>
      </c>
      <c r="BN165" s="22">
        <v>2</v>
      </c>
      <c r="BO165" s="22">
        <v>1</v>
      </c>
      <c r="BP165" s="5">
        <v>1</v>
      </c>
      <c r="BQ165" s="5">
        <v>1</v>
      </c>
      <c r="BR165" s="5">
        <v>20</v>
      </c>
      <c r="BS165" s="5">
        <v>1</v>
      </c>
      <c r="BT165" s="5">
        <v>1</v>
      </c>
    </row>
    <row r="166" spans="1:73" x14ac:dyDescent="0.25">
      <c r="A166" s="22" t="s">
        <v>705</v>
      </c>
      <c r="B166" s="22"/>
      <c r="C166" s="22">
        <v>71.0779</v>
      </c>
      <c r="D166" s="22">
        <v>240000057100</v>
      </c>
      <c r="E166" s="22">
        <v>77</v>
      </c>
      <c r="F166" s="22">
        <v>2</v>
      </c>
      <c r="G166" s="23">
        <v>45472</v>
      </c>
      <c r="H166" s="24">
        <v>0.5</v>
      </c>
      <c r="I166" s="23">
        <v>45473</v>
      </c>
      <c r="J166" s="23">
        <v>45476</v>
      </c>
      <c r="K166" s="22">
        <v>9067454942</v>
      </c>
      <c r="L166" s="22"/>
      <c r="M166" s="22">
        <v>1</v>
      </c>
      <c r="N166" s="22">
        <v>1</v>
      </c>
      <c r="O166" s="22">
        <v>1</v>
      </c>
      <c r="P166" s="22">
        <v>2</v>
      </c>
      <c r="Q166" s="22">
        <v>2</v>
      </c>
      <c r="R166" s="22">
        <v>2</v>
      </c>
      <c r="S166" s="22">
        <v>2</v>
      </c>
      <c r="T166" s="22">
        <v>2</v>
      </c>
      <c r="U166" s="22">
        <v>2</v>
      </c>
      <c r="V166" s="22">
        <v>2</v>
      </c>
      <c r="W166" s="22"/>
      <c r="X166" s="22">
        <v>14</v>
      </c>
      <c r="Y166" s="22">
        <v>42.4</v>
      </c>
      <c r="Z166" s="22">
        <v>88.9</v>
      </c>
      <c r="AA166" s="22">
        <v>15.99</v>
      </c>
      <c r="AB166" s="22">
        <v>10.4</v>
      </c>
      <c r="AC166" s="22">
        <v>250</v>
      </c>
      <c r="AD166" s="22">
        <v>126</v>
      </c>
      <c r="AE166" s="22">
        <v>37</v>
      </c>
      <c r="AF166" s="22">
        <v>87</v>
      </c>
      <c r="AG166" s="22">
        <v>435</v>
      </c>
      <c r="AH166" s="22"/>
      <c r="AI166" s="22"/>
      <c r="AJ166" s="22"/>
      <c r="AK166" s="22" t="s">
        <v>706</v>
      </c>
      <c r="AL166" s="22" t="s">
        <v>707</v>
      </c>
      <c r="AM166" s="22"/>
      <c r="AN166" s="22">
        <v>8</v>
      </c>
      <c r="AO166" s="22">
        <v>1</v>
      </c>
      <c r="AP166" s="22">
        <v>2</v>
      </c>
      <c r="AQ166" s="22">
        <v>3</v>
      </c>
      <c r="AR166" s="22">
        <v>5</v>
      </c>
      <c r="AS166" s="22"/>
      <c r="AT166" s="22">
        <v>1</v>
      </c>
      <c r="AU166" s="22">
        <v>1</v>
      </c>
      <c r="AV166" s="22">
        <v>2</v>
      </c>
      <c r="AW166" s="22"/>
      <c r="AX166" s="22"/>
      <c r="AY166" s="22">
        <v>2</v>
      </c>
      <c r="AZ166" s="22">
        <v>2</v>
      </c>
      <c r="BA166" s="22">
        <v>0</v>
      </c>
      <c r="BB166" s="5">
        <v>1</v>
      </c>
      <c r="BC166" s="22">
        <v>100</v>
      </c>
      <c r="BD166" s="22">
        <v>0</v>
      </c>
      <c r="BE166" s="22">
        <v>2</v>
      </c>
      <c r="BF166" s="22">
        <v>1</v>
      </c>
      <c r="BG166" s="22">
        <v>2</v>
      </c>
      <c r="BH166" s="22">
        <v>1</v>
      </c>
      <c r="BI166" s="22">
        <v>1</v>
      </c>
      <c r="BJ166" s="22">
        <v>1</v>
      </c>
      <c r="BK166" s="22">
        <v>0</v>
      </c>
      <c r="BL166" s="22">
        <v>2</v>
      </c>
      <c r="BM166" s="22">
        <v>2</v>
      </c>
      <c r="BN166" s="22">
        <v>2</v>
      </c>
      <c r="BO166" s="22">
        <v>1</v>
      </c>
      <c r="BP166" s="5">
        <v>1</v>
      </c>
      <c r="BQ166" s="5">
        <v>1</v>
      </c>
      <c r="BR166" s="5">
        <v>17</v>
      </c>
      <c r="BS166" s="5">
        <v>1</v>
      </c>
      <c r="BT166" s="5">
        <v>0</v>
      </c>
      <c r="BU166" t="s">
        <v>507</v>
      </c>
    </row>
    <row r="167" spans="1:73" x14ac:dyDescent="0.25">
      <c r="A167" s="22" t="s">
        <v>719</v>
      </c>
      <c r="B167" s="22"/>
      <c r="C167" s="22">
        <v>240.476</v>
      </c>
      <c r="D167" s="22">
        <v>240000055967</v>
      </c>
      <c r="E167" s="22">
        <v>57</v>
      </c>
      <c r="F167" s="22">
        <v>2</v>
      </c>
      <c r="G167" s="23">
        <v>45468</v>
      </c>
      <c r="H167" s="24">
        <v>0.47916666666666669</v>
      </c>
      <c r="I167" s="23">
        <v>45469</v>
      </c>
      <c r="J167" s="23">
        <v>45472</v>
      </c>
      <c r="K167" s="22">
        <v>9881968945</v>
      </c>
      <c r="L167" s="22"/>
      <c r="M167" s="22">
        <v>21</v>
      </c>
      <c r="N167" s="22">
        <v>2</v>
      </c>
      <c r="O167" s="22">
        <v>2</v>
      </c>
      <c r="P167" s="22">
        <v>2</v>
      </c>
      <c r="Q167" s="22">
        <v>2</v>
      </c>
      <c r="R167" s="22">
        <v>2</v>
      </c>
      <c r="S167" s="22">
        <v>2</v>
      </c>
      <c r="T167" s="22">
        <v>1</v>
      </c>
      <c r="U167" s="22">
        <v>1</v>
      </c>
      <c r="V167" s="22">
        <v>2</v>
      </c>
      <c r="W167" s="22" t="s">
        <v>696</v>
      </c>
      <c r="X167" s="22">
        <v>14.4</v>
      </c>
      <c r="Y167" s="22">
        <v>43</v>
      </c>
      <c r="Z167" s="22">
        <v>97.3</v>
      </c>
      <c r="AA167" s="22"/>
      <c r="AB167" s="22"/>
      <c r="AC167" s="22"/>
      <c r="AD167" s="22"/>
      <c r="AE167" s="22"/>
      <c r="AF167" s="22"/>
      <c r="AG167" s="22"/>
      <c r="AH167" s="22"/>
      <c r="AI167" s="22"/>
      <c r="AJ167" s="22"/>
      <c r="AK167" s="22" t="s">
        <v>697</v>
      </c>
      <c r="AL167" s="22" t="s">
        <v>698</v>
      </c>
      <c r="AM167" s="22"/>
      <c r="AN167" s="22">
        <v>3</v>
      </c>
      <c r="AO167" s="22">
        <v>2</v>
      </c>
      <c r="AP167" s="22">
        <v>2</v>
      </c>
      <c r="AQ167" s="22">
        <v>3</v>
      </c>
      <c r="AR167" s="22">
        <v>4</v>
      </c>
      <c r="AS167" s="22"/>
      <c r="AT167" s="22">
        <v>1</v>
      </c>
      <c r="AU167" s="22">
        <v>2</v>
      </c>
      <c r="AV167" s="22">
        <v>2</v>
      </c>
      <c r="AW167" s="22"/>
      <c r="AX167" s="22"/>
      <c r="AY167" s="22"/>
      <c r="AZ167" s="22"/>
      <c r="BA167" s="22">
        <v>6</v>
      </c>
      <c r="BB167" s="5">
        <v>2</v>
      </c>
      <c r="BC167" s="22">
        <v>0</v>
      </c>
      <c r="BD167" s="22">
        <v>0</v>
      </c>
      <c r="BE167" s="22">
        <v>2</v>
      </c>
      <c r="BF167" s="22">
        <v>2</v>
      </c>
      <c r="BG167" s="22">
        <v>2</v>
      </c>
      <c r="BH167" s="22">
        <v>1</v>
      </c>
      <c r="BI167" s="22">
        <v>1</v>
      </c>
      <c r="BJ167" s="22">
        <v>1</v>
      </c>
      <c r="BK167" s="22">
        <v>1</v>
      </c>
      <c r="BL167" s="22">
        <v>2</v>
      </c>
      <c r="BM167" s="22">
        <v>2</v>
      </c>
      <c r="BN167" s="22">
        <v>0</v>
      </c>
      <c r="BO167" s="22">
        <v>0</v>
      </c>
      <c r="BP167" s="5">
        <v>0</v>
      </c>
      <c r="BQ167" s="5">
        <v>1</v>
      </c>
      <c r="BR167" s="5">
        <v>15</v>
      </c>
      <c r="BS167" s="5">
        <v>1</v>
      </c>
      <c r="BT167" s="5">
        <v>1</v>
      </c>
    </row>
  </sheetData>
  <sortState xmlns:xlrd2="http://schemas.microsoft.com/office/spreadsheetml/2017/richdata2" ref="A2:BU167">
    <sortCondition ref="C93"/>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BCCF-E835-4A4E-B417-68E9813BD42D}">
  <dimension ref="A1:BV47"/>
  <sheetViews>
    <sheetView workbookViewId="0">
      <selection activeCell="BR28" sqref="BR28"/>
    </sheetView>
  </sheetViews>
  <sheetFormatPr defaultRowHeight="15" x14ac:dyDescent="0.25"/>
  <cols>
    <col min="1" max="2" width="23" customWidth="1"/>
    <col min="5" max="5" width="18.28515625" customWidth="1"/>
    <col min="8" max="8" width="14.5703125" customWidth="1"/>
    <col min="39" max="39" width="69.140625" customWidth="1"/>
  </cols>
  <sheetData>
    <row r="1" spans="1:74" ht="60" x14ac:dyDescent="0.25">
      <c r="A1" s="1" t="s">
        <v>0</v>
      </c>
      <c r="B1" s="1"/>
      <c r="C1" s="1" t="s">
        <v>1</v>
      </c>
      <c r="D1" s="2" t="s">
        <v>2</v>
      </c>
      <c r="E1" s="3" t="s">
        <v>3</v>
      </c>
      <c r="F1" s="1" t="s">
        <v>4</v>
      </c>
      <c r="G1" s="1" t="s">
        <v>5</v>
      </c>
      <c r="H1" s="4" t="s">
        <v>6</v>
      </c>
      <c r="I1" s="1" t="s">
        <v>7</v>
      </c>
      <c r="J1" s="4" t="s">
        <v>8</v>
      </c>
      <c r="K1" s="4" t="s">
        <v>9</v>
      </c>
      <c r="L1" s="1" t="s">
        <v>10</v>
      </c>
      <c r="M1" s="1" t="s">
        <v>11</v>
      </c>
      <c r="N1" s="2" t="s">
        <v>12</v>
      </c>
      <c r="O1" s="2" t="s">
        <v>13</v>
      </c>
      <c r="P1" s="2" t="s">
        <v>14</v>
      </c>
      <c r="Q1" s="2" t="s">
        <v>15</v>
      </c>
      <c r="R1" s="2" t="s">
        <v>16</v>
      </c>
      <c r="S1" s="2" t="s">
        <v>17</v>
      </c>
      <c r="T1" s="2" t="s">
        <v>18</v>
      </c>
      <c r="U1" s="2" t="s">
        <v>19</v>
      </c>
      <c r="V1" s="2" t="s">
        <v>20</v>
      </c>
      <c r="W1" s="2"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2" t="s">
        <v>39</v>
      </c>
      <c r="AP1" s="2" t="s">
        <v>40</v>
      </c>
      <c r="AQ1" s="2" t="s">
        <v>41</v>
      </c>
      <c r="AR1" s="2" t="s">
        <v>42</v>
      </c>
      <c r="AS1" s="2" t="s">
        <v>43</v>
      </c>
      <c r="AT1" s="1" t="s">
        <v>44</v>
      </c>
      <c r="AU1" s="1" t="s">
        <v>45</v>
      </c>
      <c r="AV1" s="1" t="s">
        <v>46</v>
      </c>
      <c r="AW1" s="1" t="s">
        <v>47</v>
      </c>
      <c r="AX1" s="1" t="s">
        <v>48</v>
      </c>
      <c r="AY1" s="1" t="s">
        <v>49</v>
      </c>
      <c r="AZ1" s="1" t="s">
        <v>50</v>
      </c>
      <c r="BA1" s="1" t="s">
        <v>51</v>
      </c>
      <c r="BB1" s="2" t="s">
        <v>52</v>
      </c>
      <c r="BC1" s="2" t="s">
        <v>695</v>
      </c>
      <c r="BD1" s="2"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2" t="s">
        <v>68</v>
      </c>
      <c r="BT1" s="1" t="s">
        <v>69</v>
      </c>
      <c r="BU1" s="1" t="s">
        <v>70</v>
      </c>
      <c r="BV1" s="1" t="s">
        <v>71</v>
      </c>
    </row>
    <row r="2" spans="1:74" x14ac:dyDescent="0.25">
      <c r="A2" s="12" t="s">
        <v>155</v>
      </c>
      <c r="B2" s="5" t="s">
        <v>716</v>
      </c>
      <c r="C2" s="5">
        <v>1</v>
      </c>
      <c r="D2" s="12">
        <v>10.412800000000001</v>
      </c>
      <c r="E2" s="13">
        <v>180201236</v>
      </c>
      <c r="F2" s="12">
        <v>64</v>
      </c>
      <c r="G2" s="12">
        <v>2</v>
      </c>
      <c r="H2" s="14">
        <v>44932</v>
      </c>
      <c r="I2" s="16">
        <v>0.45833333333333331</v>
      </c>
      <c r="J2" s="14">
        <v>44934</v>
      </c>
      <c r="K2" s="14">
        <v>44938</v>
      </c>
      <c r="L2" s="12">
        <v>8208450620</v>
      </c>
      <c r="M2" s="12"/>
      <c r="N2" s="12">
        <v>7</v>
      </c>
      <c r="O2" s="12">
        <v>1</v>
      </c>
      <c r="P2" s="12">
        <v>1</v>
      </c>
      <c r="Q2" s="12">
        <v>2</v>
      </c>
      <c r="R2" s="12">
        <v>2</v>
      </c>
      <c r="S2" s="12">
        <v>2</v>
      </c>
      <c r="T2" s="12">
        <v>2</v>
      </c>
      <c r="U2" s="12">
        <v>2</v>
      </c>
      <c r="V2" s="12">
        <v>1</v>
      </c>
      <c r="W2" s="12">
        <v>2</v>
      </c>
      <c r="X2" s="12"/>
      <c r="Y2" s="12">
        <v>9.6999999999999993</v>
      </c>
      <c r="Z2" s="12">
        <v>31.7</v>
      </c>
      <c r="AA2" s="12"/>
      <c r="AB2" s="12">
        <v>29.9</v>
      </c>
      <c r="AC2" s="12">
        <v>11.2</v>
      </c>
      <c r="AD2" s="12"/>
      <c r="AE2" s="12"/>
      <c r="AF2" s="12"/>
      <c r="AG2" s="12"/>
      <c r="AH2" s="12"/>
      <c r="AI2" s="12">
        <v>260</v>
      </c>
      <c r="AJ2" s="12" t="s">
        <v>156</v>
      </c>
      <c r="AK2" s="12"/>
      <c r="AL2" s="12" t="s">
        <v>157</v>
      </c>
      <c r="AM2" s="12" t="s">
        <v>158</v>
      </c>
      <c r="AN2" s="12"/>
      <c r="AO2" s="12"/>
      <c r="AP2" s="12"/>
      <c r="AQ2" s="12"/>
      <c r="AR2" s="12"/>
      <c r="AS2" s="12"/>
      <c r="AT2" s="12"/>
      <c r="AU2" s="12">
        <v>1</v>
      </c>
      <c r="AV2" s="12">
        <v>1</v>
      </c>
      <c r="AW2" s="12">
        <v>2</v>
      </c>
      <c r="AX2" s="12"/>
      <c r="AY2" s="12"/>
      <c r="AZ2" s="12"/>
      <c r="BA2" s="12"/>
      <c r="BB2" s="12">
        <v>0</v>
      </c>
      <c r="BC2" s="5">
        <v>1</v>
      </c>
      <c r="BD2" s="12">
        <v>100</v>
      </c>
      <c r="BE2" s="12">
        <v>0</v>
      </c>
      <c r="BF2" s="12">
        <v>2</v>
      </c>
      <c r="BG2" s="12">
        <v>2</v>
      </c>
      <c r="BH2" s="12">
        <v>2</v>
      </c>
      <c r="BI2" s="12">
        <v>1</v>
      </c>
      <c r="BJ2" s="12">
        <v>1</v>
      </c>
      <c r="BK2" s="12">
        <v>1</v>
      </c>
      <c r="BL2" s="12">
        <v>0</v>
      </c>
      <c r="BM2" s="12">
        <v>1</v>
      </c>
      <c r="BN2" s="12">
        <v>2</v>
      </c>
      <c r="BO2" s="12">
        <v>2</v>
      </c>
      <c r="BP2" s="12">
        <v>1</v>
      </c>
      <c r="BQ2" s="12">
        <v>1</v>
      </c>
      <c r="BR2" s="12">
        <v>1</v>
      </c>
      <c r="BS2" s="12">
        <v>17</v>
      </c>
      <c r="BT2" s="12">
        <v>1</v>
      </c>
      <c r="BU2" s="12">
        <v>1</v>
      </c>
      <c r="BV2" s="12"/>
    </row>
    <row r="3" spans="1:74" x14ac:dyDescent="0.25">
      <c r="A3" s="12" t="s">
        <v>382</v>
      </c>
      <c r="B3" s="5" t="s">
        <v>716</v>
      </c>
      <c r="C3" s="5">
        <v>1</v>
      </c>
      <c r="D3" s="12">
        <v>13.2799</v>
      </c>
      <c r="E3" s="13">
        <v>230102526</v>
      </c>
      <c r="F3" s="12">
        <v>65</v>
      </c>
      <c r="G3" s="12">
        <v>1</v>
      </c>
      <c r="H3" s="14">
        <v>44937</v>
      </c>
      <c r="I3" s="12"/>
      <c r="J3" s="14">
        <v>44939</v>
      </c>
      <c r="K3" s="14">
        <v>44942</v>
      </c>
      <c r="L3" s="12">
        <v>8888887372</v>
      </c>
      <c r="M3" s="12"/>
      <c r="N3" s="12">
        <v>3</v>
      </c>
      <c r="O3" s="12">
        <v>1</v>
      </c>
      <c r="P3" s="12">
        <v>2</v>
      </c>
      <c r="Q3" s="12">
        <v>2</v>
      </c>
      <c r="R3" s="12">
        <v>2</v>
      </c>
      <c r="S3" s="12">
        <v>2</v>
      </c>
      <c r="T3" s="12">
        <v>2</v>
      </c>
      <c r="U3" s="12">
        <v>2</v>
      </c>
      <c r="V3" s="12">
        <v>2</v>
      </c>
      <c r="W3" s="12">
        <v>2</v>
      </c>
      <c r="X3" s="12" t="s">
        <v>383</v>
      </c>
      <c r="Y3" s="12">
        <v>13.3</v>
      </c>
      <c r="Z3" s="12">
        <v>42</v>
      </c>
      <c r="AA3" s="12"/>
      <c r="AB3" s="12">
        <v>7.35</v>
      </c>
      <c r="AC3" s="12"/>
      <c r="AD3" s="12">
        <v>167</v>
      </c>
      <c r="AE3" s="12">
        <v>114</v>
      </c>
      <c r="AF3" s="12">
        <v>33</v>
      </c>
      <c r="AG3" s="12">
        <v>19</v>
      </c>
      <c r="AH3" s="12">
        <v>98</v>
      </c>
      <c r="AI3" s="12">
        <v>2000</v>
      </c>
      <c r="AJ3" s="12" t="s">
        <v>384</v>
      </c>
      <c r="AK3" s="12"/>
      <c r="AL3" s="12" t="s">
        <v>385</v>
      </c>
      <c r="AM3" s="12" t="s">
        <v>386</v>
      </c>
      <c r="AN3" s="12"/>
      <c r="AO3" s="12"/>
      <c r="AP3" s="12"/>
      <c r="AQ3" s="12"/>
      <c r="AR3" s="12"/>
      <c r="AS3" s="12"/>
      <c r="AT3" s="12"/>
      <c r="AU3" s="12">
        <v>1</v>
      </c>
      <c r="AV3" s="12">
        <v>1</v>
      </c>
      <c r="AW3" s="12">
        <v>2</v>
      </c>
      <c r="AX3" s="12"/>
      <c r="AY3" s="12"/>
      <c r="AZ3" s="12"/>
      <c r="BA3" s="12"/>
      <c r="BB3" s="12">
        <v>0</v>
      </c>
      <c r="BC3" s="5">
        <v>1</v>
      </c>
      <c r="BD3" s="12">
        <v>100</v>
      </c>
      <c r="BE3" s="12">
        <v>1</v>
      </c>
      <c r="BF3" s="12">
        <v>2</v>
      </c>
      <c r="BG3" s="12">
        <v>2</v>
      </c>
      <c r="BH3" s="12">
        <v>2</v>
      </c>
      <c r="BI3" s="12">
        <v>1</v>
      </c>
      <c r="BJ3" s="12">
        <v>1</v>
      </c>
      <c r="BK3" s="12">
        <v>1</v>
      </c>
      <c r="BL3" s="12">
        <v>1</v>
      </c>
      <c r="BM3" s="12">
        <v>2</v>
      </c>
      <c r="BN3" s="12">
        <v>2</v>
      </c>
      <c r="BO3" s="12">
        <v>2</v>
      </c>
      <c r="BP3" s="12">
        <v>1</v>
      </c>
      <c r="BQ3" s="12">
        <v>1</v>
      </c>
      <c r="BR3" s="12">
        <v>1</v>
      </c>
      <c r="BS3" s="12">
        <v>20</v>
      </c>
      <c r="BT3" s="12">
        <v>1</v>
      </c>
      <c r="BU3" s="12">
        <v>0</v>
      </c>
      <c r="BV3" s="12"/>
    </row>
    <row r="4" spans="1:74" x14ac:dyDescent="0.25">
      <c r="A4" s="5" t="s">
        <v>317</v>
      </c>
      <c r="B4" s="5" t="s">
        <v>716</v>
      </c>
      <c r="C4" s="5">
        <v>1</v>
      </c>
      <c r="D4" s="5">
        <v>60.287399999999998</v>
      </c>
      <c r="E4" s="6">
        <v>230200233</v>
      </c>
      <c r="F4" s="5">
        <v>57</v>
      </c>
      <c r="G4" s="5">
        <v>2</v>
      </c>
      <c r="H4" s="7">
        <v>44958</v>
      </c>
      <c r="I4" s="11">
        <v>0.67708333333333337</v>
      </c>
      <c r="J4" s="7">
        <v>44958</v>
      </c>
      <c r="K4" s="7">
        <v>44966</v>
      </c>
      <c r="L4" s="5">
        <v>8698424544</v>
      </c>
      <c r="M4" s="5"/>
      <c r="N4" s="5">
        <v>14</v>
      </c>
      <c r="O4" s="5">
        <v>2</v>
      </c>
      <c r="P4" s="5">
        <v>2</v>
      </c>
      <c r="Q4" s="5">
        <v>2</v>
      </c>
      <c r="R4" s="5">
        <v>2</v>
      </c>
      <c r="S4" s="5">
        <v>2</v>
      </c>
      <c r="T4" s="5">
        <v>2</v>
      </c>
      <c r="U4" s="5">
        <v>2</v>
      </c>
      <c r="V4" s="5">
        <v>2</v>
      </c>
      <c r="W4" s="5">
        <v>2</v>
      </c>
      <c r="X4" s="5" t="s">
        <v>318</v>
      </c>
      <c r="Y4" s="5">
        <v>11.7</v>
      </c>
      <c r="Z4" s="5">
        <v>33.6</v>
      </c>
      <c r="AA4" s="5"/>
      <c r="AB4" s="5">
        <v>81.62</v>
      </c>
      <c r="AC4" s="5"/>
      <c r="AD4" s="5"/>
      <c r="AE4" s="5"/>
      <c r="AF4" s="5"/>
      <c r="AG4" s="5"/>
      <c r="AH4" s="5"/>
      <c r="AI4" s="5">
        <v>219</v>
      </c>
      <c r="AJ4" s="5" t="s">
        <v>319</v>
      </c>
      <c r="AK4" s="5"/>
      <c r="AL4" s="5" t="s">
        <v>320</v>
      </c>
      <c r="AM4" s="5" t="s">
        <v>321</v>
      </c>
      <c r="AN4" s="5" t="s">
        <v>322</v>
      </c>
      <c r="AO4" s="5"/>
      <c r="AP4" s="5"/>
      <c r="AQ4" s="5"/>
      <c r="AR4" s="5"/>
      <c r="AS4" s="5"/>
      <c r="AT4" s="5"/>
      <c r="AU4" s="5">
        <v>1</v>
      </c>
      <c r="AV4" s="5">
        <v>1</v>
      </c>
      <c r="AW4" s="5">
        <v>2</v>
      </c>
      <c r="AX4" s="5">
        <v>4</v>
      </c>
      <c r="AY4" s="5">
        <v>8</v>
      </c>
      <c r="AZ4" s="5">
        <v>2</v>
      </c>
      <c r="BA4" s="5">
        <v>2</v>
      </c>
      <c r="BB4" s="5">
        <v>0</v>
      </c>
      <c r="BC4" s="5">
        <v>1</v>
      </c>
      <c r="BD4" s="5">
        <v>100</v>
      </c>
      <c r="BE4" s="5">
        <v>1</v>
      </c>
      <c r="BF4" s="5">
        <v>2</v>
      </c>
      <c r="BG4" s="5">
        <v>2</v>
      </c>
      <c r="BH4" s="5">
        <v>1</v>
      </c>
      <c r="BI4" s="5">
        <v>1</v>
      </c>
      <c r="BJ4" s="5">
        <v>1</v>
      </c>
      <c r="BK4" s="5">
        <v>1</v>
      </c>
      <c r="BL4" s="5">
        <v>1</v>
      </c>
      <c r="BM4" s="5">
        <v>2</v>
      </c>
      <c r="BN4" s="5">
        <v>2</v>
      </c>
      <c r="BO4" s="5">
        <v>2</v>
      </c>
      <c r="BP4" s="5">
        <v>1</v>
      </c>
      <c r="BQ4" s="5">
        <v>1</v>
      </c>
      <c r="BR4" s="5">
        <v>1</v>
      </c>
      <c r="BS4" s="5">
        <v>19</v>
      </c>
      <c r="BT4" s="5">
        <v>1</v>
      </c>
      <c r="BU4" s="5">
        <v>0</v>
      </c>
      <c r="BV4" s="5"/>
    </row>
    <row r="5" spans="1:74" x14ac:dyDescent="0.25">
      <c r="A5" s="12" t="s">
        <v>94</v>
      </c>
      <c r="B5" s="5" t="s">
        <v>716</v>
      </c>
      <c r="C5" s="5">
        <v>1</v>
      </c>
      <c r="D5" s="12">
        <v>24.2254</v>
      </c>
      <c r="E5" s="13"/>
      <c r="F5" s="12">
        <v>53</v>
      </c>
      <c r="G5" s="12">
        <v>1</v>
      </c>
      <c r="H5" s="14">
        <v>44953</v>
      </c>
      <c r="I5" s="12"/>
      <c r="J5" s="14">
        <v>44959</v>
      </c>
      <c r="K5" s="14">
        <v>44960</v>
      </c>
      <c r="L5" s="12">
        <v>7875077954</v>
      </c>
      <c r="M5" s="12"/>
      <c r="N5" s="12">
        <v>7</v>
      </c>
      <c r="O5" s="12">
        <v>2</v>
      </c>
      <c r="P5" s="12">
        <v>1</v>
      </c>
      <c r="Q5" s="12">
        <v>2</v>
      </c>
      <c r="R5" s="12">
        <v>2</v>
      </c>
      <c r="S5" s="12">
        <v>2</v>
      </c>
      <c r="T5" s="12">
        <v>2</v>
      </c>
      <c r="U5" s="12">
        <v>2</v>
      </c>
      <c r="V5" s="12">
        <v>2</v>
      </c>
      <c r="W5" s="12">
        <v>2</v>
      </c>
      <c r="X5" s="12"/>
      <c r="Y5" s="12">
        <v>13</v>
      </c>
      <c r="Z5" s="12">
        <v>39.6</v>
      </c>
      <c r="AA5" s="12"/>
      <c r="AB5" s="12">
        <v>10.9</v>
      </c>
      <c r="AC5" s="12">
        <v>6.5</v>
      </c>
      <c r="AD5" s="12">
        <v>191</v>
      </c>
      <c r="AE5" s="12">
        <v>131.80000000000001</v>
      </c>
      <c r="AF5" s="12">
        <v>45</v>
      </c>
      <c r="AG5" s="12">
        <v>14.2</v>
      </c>
      <c r="AH5" s="12">
        <v>71</v>
      </c>
      <c r="AI5" s="12">
        <v>2000</v>
      </c>
      <c r="AJ5" s="12" t="s">
        <v>95</v>
      </c>
      <c r="AK5" s="12"/>
      <c r="AL5" s="12" t="s">
        <v>96</v>
      </c>
      <c r="AM5" s="12" t="s">
        <v>97</v>
      </c>
      <c r="AN5" s="12"/>
      <c r="AO5" s="12"/>
      <c r="AP5" s="12"/>
      <c r="AQ5" s="12"/>
      <c r="AR5" s="12"/>
      <c r="AS5" s="12"/>
      <c r="AT5" s="12"/>
      <c r="AU5" s="12">
        <v>1</v>
      </c>
      <c r="AV5" s="12">
        <v>2</v>
      </c>
      <c r="AW5" s="12">
        <v>1</v>
      </c>
      <c r="AX5" s="12">
        <v>1</v>
      </c>
      <c r="AY5" s="12"/>
      <c r="AZ5" s="12"/>
      <c r="BA5" s="12"/>
      <c r="BB5" s="12">
        <v>0</v>
      </c>
      <c r="BC5" s="5">
        <v>1</v>
      </c>
      <c r="BD5" s="12">
        <v>100</v>
      </c>
      <c r="BE5" s="12">
        <v>0</v>
      </c>
      <c r="BF5" s="12">
        <v>1</v>
      </c>
      <c r="BG5" s="12">
        <v>2</v>
      </c>
      <c r="BH5" s="12">
        <v>2</v>
      </c>
      <c r="BI5" s="12">
        <v>1</v>
      </c>
      <c r="BJ5" s="12">
        <v>1</v>
      </c>
      <c r="BK5" s="12">
        <v>1</v>
      </c>
      <c r="BL5" s="12">
        <v>0</v>
      </c>
      <c r="BM5" s="12">
        <v>1</v>
      </c>
      <c r="BN5" s="12">
        <v>0</v>
      </c>
      <c r="BO5" s="12">
        <v>2</v>
      </c>
      <c r="BP5" s="12">
        <v>1</v>
      </c>
      <c r="BQ5" s="12">
        <v>1</v>
      </c>
      <c r="BR5" s="12">
        <v>1</v>
      </c>
      <c r="BS5" s="12">
        <v>14</v>
      </c>
      <c r="BT5" s="12">
        <v>1</v>
      </c>
      <c r="BU5" s="12">
        <v>1</v>
      </c>
      <c r="BV5" s="12"/>
    </row>
    <row r="6" spans="1:74" x14ac:dyDescent="0.25">
      <c r="A6" s="5" t="s">
        <v>144</v>
      </c>
      <c r="B6" s="5" t="s">
        <v>716</v>
      </c>
      <c r="C6" s="5">
        <v>1</v>
      </c>
      <c r="D6" s="5">
        <v>35.122500000000002</v>
      </c>
      <c r="E6" s="6"/>
      <c r="F6" s="5">
        <v>32</v>
      </c>
      <c r="G6" s="5">
        <v>1</v>
      </c>
      <c r="H6" s="7">
        <v>44981</v>
      </c>
      <c r="I6" s="11">
        <v>0.375</v>
      </c>
      <c r="J6" s="7">
        <v>44981</v>
      </c>
      <c r="K6" s="7">
        <v>44988</v>
      </c>
      <c r="L6" s="5">
        <v>9822008662</v>
      </c>
      <c r="M6" s="5"/>
      <c r="N6" s="5">
        <v>10</v>
      </c>
      <c r="O6" s="5">
        <v>2</v>
      </c>
      <c r="P6" s="5">
        <v>2</v>
      </c>
      <c r="Q6" s="5">
        <v>2</v>
      </c>
      <c r="R6" s="5">
        <v>2</v>
      </c>
      <c r="S6" s="5">
        <v>2</v>
      </c>
      <c r="T6" s="5">
        <v>2</v>
      </c>
      <c r="U6" s="5">
        <v>2</v>
      </c>
      <c r="V6" s="5">
        <v>2</v>
      </c>
      <c r="W6" s="5">
        <v>1</v>
      </c>
      <c r="X6" s="5"/>
      <c r="Y6" s="5">
        <v>14.5</v>
      </c>
      <c r="Z6" s="5">
        <v>44.6</v>
      </c>
      <c r="AA6" s="5"/>
      <c r="AB6" s="5">
        <v>11.6</v>
      </c>
      <c r="AC6" s="5"/>
      <c r="AD6" s="5">
        <v>138</v>
      </c>
      <c r="AE6" s="5">
        <v>81</v>
      </c>
      <c r="AF6" s="5">
        <v>34</v>
      </c>
      <c r="AG6" s="5">
        <v>23</v>
      </c>
      <c r="AH6" s="5">
        <v>115</v>
      </c>
      <c r="AI6" s="5">
        <v>313</v>
      </c>
      <c r="AJ6" s="5" t="s">
        <v>145</v>
      </c>
      <c r="AK6" s="5"/>
      <c r="AL6" s="5" t="s">
        <v>146</v>
      </c>
      <c r="AM6" s="5" t="s">
        <v>147</v>
      </c>
      <c r="AN6" s="5"/>
      <c r="AO6" s="5"/>
      <c r="AP6" s="5"/>
      <c r="AQ6" s="5"/>
      <c r="AR6" s="5"/>
      <c r="AS6" s="5"/>
      <c r="AT6" s="5"/>
      <c r="AU6" s="5">
        <v>1</v>
      </c>
      <c r="AV6" s="5">
        <v>1</v>
      </c>
      <c r="AW6" s="5">
        <v>2</v>
      </c>
      <c r="AX6" s="5"/>
      <c r="AY6" s="5">
        <v>1</v>
      </c>
      <c r="AZ6" s="5"/>
      <c r="BA6" s="5"/>
      <c r="BB6" s="5">
        <v>1</v>
      </c>
      <c r="BC6" s="5">
        <v>1</v>
      </c>
      <c r="BD6" s="5">
        <v>100</v>
      </c>
      <c r="BE6" s="5">
        <v>1</v>
      </c>
      <c r="BF6" s="5">
        <v>2</v>
      </c>
      <c r="BG6" s="5">
        <v>2</v>
      </c>
      <c r="BH6" s="5">
        <v>2</v>
      </c>
      <c r="BI6" s="5">
        <v>1</v>
      </c>
      <c r="BJ6" s="5">
        <v>1</v>
      </c>
      <c r="BK6" s="5">
        <v>1</v>
      </c>
      <c r="BL6" s="5">
        <v>1</v>
      </c>
      <c r="BM6" s="5">
        <v>2</v>
      </c>
      <c r="BN6" s="5">
        <v>0</v>
      </c>
      <c r="BO6" s="5">
        <v>0</v>
      </c>
      <c r="BP6" s="5">
        <v>1</v>
      </c>
      <c r="BQ6" s="5">
        <v>1</v>
      </c>
      <c r="BR6" s="5">
        <v>1</v>
      </c>
      <c r="BS6" s="5">
        <v>16</v>
      </c>
      <c r="BT6" s="5">
        <v>1</v>
      </c>
      <c r="BU6" s="5">
        <v>1</v>
      </c>
      <c r="BV6" s="5"/>
    </row>
    <row r="7" spans="1:74" x14ac:dyDescent="0.25">
      <c r="A7" s="5" t="s">
        <v>171</v>
      </c>
      <c r="B7" s="5" t="s">
        <v>716</v>
      </c>
      <c r="C7" s="5">
        <v>1</v>
      </c>
      <c r="D7" s="5">
        <v>33.3934</v>
      </c>
      <c r="E7" s="6">
        <v>230205341</v>
      </c>
      <c r="F7" s="5">
        <v>58</v>
      </c>
      <c r="G7" s="5">
        <v>1</v>
      </c>
      <c r="H7" s="7">
        <v>44980</v>
      </c>
      <c r="I7" s="5"/>
      <c r="J7" s="7">
        <v>44984</v>
      </c>
      <c r="K7" s="7">
        <v>44988</v>
      </c>
      <c r="L7" s="5">
        <v>9673959376</v>
      </c>
      <c r="M7" s="5"/>
      <c r="N7" s="5">
        <v>7</v>
      </c>
      <c r="O7" s="5">
        <v>2</v>
      </c>
      <c r="P7" s="5">
        <v>2</v>
      </c>
      <c r="Q7" s="5">
        <v>1</v>
      </c>
      <c r="R7" s="5">
        <v>2</v>
      </c>
      <c r="S7" s="5">
        <v>2</v>
      </c>
      <c r="T7" s="5">
        <v>2</v>
      </c>
      <c r="U7" s="5">
        <v>2</v>
      </c>
      <c r="V7" s="5">
        <v>2</v>
      </c>
      <c r="W7" s="5">
        <v>2</v>
      </c>
      <c r="X7" s="5"/>
      <c r="Y7" s="5">
        <v>15.4</v>
      </c>
      <c r="Z7" s="5">
        <v>45.8</v>
      </c>
      <c r="AA7" s="5"/>
      <c r="AB7" s="5">
        <v>15.67</v>
      </c>
      <c r="AC7" s="5">
        <v>5.6</v>
      </c>
      <c r="AD7" s="5"/>
      <c r="AE7" s="5"/>
      <c r="AF7" s="5"/>
      <c r="AG7" s="5"/>
      <c r="AH7" s="5"/>
      <c r="AI7" s="5">
        <v>2000</v>
      </c>
      <c r="AJ7" s="5" t="s">
        <v>172</v>
      </c>
      <c r="AK7" s="5"/>
      <c r="AL7" s="5" t="s">
        <v>173</v>
      </c>
      <c r="AM7" s="5" t="s">
        <v>174</v>
      </c>
      <c r="AN7" s="5"/>
      <c r="AO7" s="5"/>
      <c r="AP7" s="5"/>
      <c r="AQ7" s="5"/>
      <c r="AR7" s="5"/>
      <c r="AS7" s="5"/>
      <c r="AT7" s="5"/>
      <c r="AU7" s="5">
        <v>1</v>
      </c>
      <c r="AV7" s="5">
        <v>1</v>
      </c>
      <c r="AW7" s="5">
        <v>2</v>
      </c>
      <c r="AX7" s="5">
        <v>4</v>
      </c>
      <c r="AY7" s="5">
        <v>8</v>
      </c>
      <c r="AZ7" s="5">
        <v>2</v>
      </c>
      <c r="BA7" s="5">
        <v>2</v>
      </c>
      <c r="BB7" s="5">
        <v>0</v>
      </c>
      <c r="BC7" s="5">
        <v>1</v>
      </c>
      <c r="BD7" s="5">
        <v>100</v>
      </c>
      <c r="BE7" s="5">
        <v>0</v>
      </c>
      <c r="BF7" s="5">
        <v>2</v>
      </c>
      <c r="BG7" s="5">
        <v>1</v>
      </c>
      <c r="BH7" s="5">
        <v>2</v>
      </c>
      <c r="BI7" s="5">
        <v>1</v>
      </c>
      <c r="BJ7" s="5">
        <v>1</v>
      </c>
      <c r="BK7" s="5">
        <v>1</v>
      </c>
      <c r="BL7" s="5">
        <v>0</v>
      </c>
      <c r="BM7" s="5">
        <v>2</v>
      </c>
      <c r="BN7" s="5">
        <v>2</v>
      </c>
      <c r="BO7" s="5">
        <v>2</v>
      </c>
      <c r="BP7" s="5">
        <v>1</v>
      </c>
      <c r="BQ7" s="5">
        <v>1</v>
      </c>
      <c r="BR7" s="5">
        <v>1</v>
      </c>
      <c r="BS7" s="5">
        <v>17</v>
      </c>
      <c r="BT7" s="5">
        <v>1</v>
      </c>
      <c r="BU7" s="5">
        <v>1</v>
      </c>
      <c r="BV7" s="5"/>
    </row>
    <row r="8" spans="1:74" x14ac:dyDescent="0.25">
      <c r="A8" s="12" t="s">
        <v>452</v>
      </c>
      <c r="B8" s="5" t="s">
        <v>716</v>
      </c>
      <c r="C8" s="5">
        <v>1</v>
      </c>
      <c r="D8" s="12">
        <v>2.3247100000000001</v>
      </c>
      <c r="E8" s="13">
        <v>141002331</v>
      </c>
      <c r="F8" s="12">
        <v>43</v>
      </c>
      <c r="G8" s="12">
        <v>2</v>
      </c>
      <c r="H8" s="14">
        <v>45003</v>
      </c>
      <c r="I8" s="16">
        <v>0.29166666666666669</v>
      </c>
      <c r="J8" s="14">
        <v>45003</v>
      </c>
      <c r="K8" s="14">
        <v>45006</v>
      </c>
      <c r="L8" s="12">
        <v>8999976013</v>
      </c>
      <c r="M8" s="12"/>
      <c r="N8" s="12">
        <v>3</v>
      </c>
      <c r="O8" s="12">
        <v>2</v>
      </c>
      <c r="P8" s="12">
        <v>2</v>
      </c>
      <c r="Q8" s="12">
        <v>2</v>
      </c>
      <c r="R8" s="12">
        <v>2</v>
      </c>
      <c r="S8" s="12">
        <v>2</v>
      </c>
      <c r="T8" s="12">
        <v>2</v>
      </c>
      <c r="U8" s="12">
        <v>2</v>
      </c>
      <c r="V8" s="12">
        <v>2</v>
      </c>
      <c r="W8" s="12">
        <v>2</v>
      </c>
      <c r="X8" s="12" t="s">
        <v>453</v>
      </c>
      <c r="Y8" s="12">
        <v>7.7</v>
      </c>
      <c r="Z8" s="12">
        <v>26.2</v>
      </c>
      <c r="AA8" s="12"/>
      <c r="AB8" s="12">
        <v>8.82</v>
      </c>
      <c r="AC8" s="12">
        <v>5.0999999999999996</v>
      </c>
      <c r="AD8" s="12"/>
      <c r="AE8" s="12"/>
      <c r="AF8" s="12"/>
      <c r="AG8" s="12"/>
      <c r="AH8" s="12"/>
      <c r="AI8" s="12">
        <v>183</v>
      </c>
      <c r="AJ8" s="12" t="s">
        <v>454</v>
      </c>
      <c r="AK8" s="12"/>
      <c r="AL8" s="12" t="s">
        <v>455</v>
      </c>
      <c r="AM8" s="12" t="s">
        <v>456</v>
      </c>
      <c r="AN8" s="12"/>
      <c r="AO8" s="12"/>
      <c r="AP8" s="12"/>
      <c r="AQ8" s="12"/>
      <c r="AR8" s="12"/>
      <c r="AS8" s="12"/>
      <c r="AT8" s="12"/>
      <c r="AU8" s="12">
        <v>1</v>
      </c>
      <c r="AV8" s="12">
        <v>1</v>
      </c>
      <c r="AW8" s="12">
        <v>2</v>
      </c>
      <c r="AX8" s="12"/>
      <c r="AY8" s="12"/>
      <c r="AZ8" s="12"/>
      <c r="BA8" s="12"/>
      <c r="BB8" s="12">
        <v>4</v>
      </c>
      <c r="BC8" s="5">
        <v>2</v>
      </c>
      <c r="BD8" s="12">
        <v>65</v>
      </c>
      <c r="BE8" s="12">
        <v>1</v>
      </c>
      <c r="BF8" s="12">
        <v>2</v>
      </c>
      <c r="BG8" s="12">
        <v>2</v>
      </c>
      <c r="BH8" s="12">
        <v>2</v>
      </c>
      <c r="BI8" s="12">
        <v>1</v>
      </c>
      <c r="BJ8" s="12">
        <v>1</v>
      </c>
      <c r="BK8" s="12">
        <v>1</v>
      </c>
      <c r="BL8" s="12">
        <v>1</v>
      </c>
      <c r="BM8" s="12">
        <v>2</v>
      </c>
      <c r="BN8" s="12">
        <v>2</v>
      </c>
      <c r="BO8" s="12">
        <v>2</v>
      </c>
      <c r="BP8" s="12">
        <v>1</v>
      </c>
      <c r="BQ8" s="12">
        <v>1</v>
      </c>
      <c r="BR8" s="12">
        <v>1</v>
      </c>
      <c r="BS8" s="12">
        <v>20</v>
      </c>
      <c r="BT8" s="12">
        <v>1</v>
      </c>
      <c r="BU8" s="12">
        <v>1</v>
      </c>
      <c r="BV8" s="12"/>
    </row>
    <row r="9" spans="1:74" x14ac:dyDescent="0.25">
      <c r="A9" s="5" t="s">
        <v>218</v>
      </c>
      <c r="B9" s="5" t="s">
        <v>716</v>
      </c>
      <c r="C9" s="5">
        <v>1</v>
      </c>
      <c r="D9" s="5">
        <v>46.1357</v>
      </c>
      <c r="E9" s="6">
        <v>200400466</v>
      </c>
      <c r="F9" s="5">
        <v>54</v>
      </c>
      <c r="G9" s="5">
        <v>1</v>
      </c>
      <c r="H9" s="7">
        <v>44980</v>
      </c>
      <c r="I9" s="5"/>
      <c r="J9" s="7">
        <v>45008</v>
      </c>
      <c r="K9" s="7">
        <v>45033</v>
      </c>
      <c r="L9" s="5">
        <v>8087047741</v>
      </c>
      <c r="M9" s="5"/>
      <c r="N9" s="5">
        <v>4</v>
      </c>
      <c r="O9" s="5">
        <v>1</v>
      </c>
      <c r="P9" s="5">
        <v>1</v>
      </c>
      <c r="Q9" s="5">
        <v>2</v>
      </c>
      <c r="R9" s="5">
        <v>2</v>
      </c>
      <c r="S9" s="5">
        <v>2</v>
      </c>
      <c r="T9" s="5">
        <v>2</v>
      </c>
      <c r="U9" s="5">
        <v>2</v>
      </c>
      <c r="V9" s="5">
        <v>1</v>
      </c>
      <c r="W9" s="5">
        <v>1</v>
      </c>
      <c r="X9" s="5" t="s">
        <v>219</v>
      </c>
      <c r="Y9" s="5">
        <v>13.9</v>
      </c>
      <c r="Z9" s="5">
        <v>43.1</v>
      </c>
      <c r="AA9" s="5"/>
      <c r="AB9" s="5">
        <v>26</v>
      </c>
      <c r="AC9" s="5">
        <v>6.3</v>
      </c>
      <c r="AD9" s="5"/>
      <c r="AE9" s="5"/>
      <c r="AF9" s="5"/>
      <c r="AG9" s="5"/>
      <c r="AH9" s="5"/>
      <c r="AI9" s="5">
        <v>236</v>
      </c>
      <c r="AJ9" s="5" t="s">
        <v>220</v>
      </c>
      <c r="AK9" s="5"/>
      <c r="AL9" s="5" t="s">
        <v>221</v>
      </c>
      <c r="AM9" s="5" t="s">
        <v>222</v>
      </c>
      <c r="AN9" s="5"/>
      <c r="AO9" s="5"/>
      <c r="AP9" s="5"/>
      <c r="AQ9" s="5"/>
      <c r="AR9" s="5"/>
      <c r="AS9" s="5"/>
      <c r="AT9" s="5"/>
      <c r="AU9" s="5">
        <v>1</v>
      </c>
      <c r="AV9" s="5">
        <v>1</v>
      </c>
      <c r="AW9" s="5">
        <v>2</v>
      </c>
      <c r="AX9" s="5">
        <v>4</v>
      </c>
      <c r="AY9" s="5">
        <v>8</v>
      </c>
      <c r="AZ9" s="5">
        <v>2</v>
      </c>
      <c r="BA9" s="5">
        <v>2</v>
      </c>
      <c r="BB9" s="5">
        <v>0</v>
      </c>
      <c r="BC9" s="5">
        <v>1</v>
      </c>
      <c r="BD9" s="5">
        <v>100</v>
      </c>
      <c r="BE9" s="5">
        <v>0</v>
      </c>
      <c r="BF9" s="5">
        <v>2</v>
      </c>
      <c r="BG9" s="5">
        <v>2</v>
      </c>
      <c r="BH9" s="5">
        <v>2</v>
      </c>
      <c r="BI9" s="5">
        <v>1</v>
      </c>
      <c r="BJ9" s="5">
        <v>1</v>
      </c>
      <c r="BK9" s="5">
        <v>1</v>
      </c>
      <c r="BL9" s="5">
        <v>0</v>
      </c>
      <c r="BM9" s="5">
        <v>2</v>
      </c>
      <c r="BN9" s="5">
        <v>2</v>
      </c>
      <c r="BO9" s="5">
        <v>2</v>
      </c>
      <c r="BP9" s="5">
        <v>1</v>
      </c>
      <c r="BQ9" s="5">
        <v>1</v>
      </c>
      <c r="BR9" s="5">
        <v>1</v>
      </c>
      <c r="BS9" s="5">
        <v>18</v>
      </c>
      <c r="BT9" s="5">
        <v>0</v>
      </c>
      <c r="BU9" s="5">
        <v>1</v>
      </c>
      <c r="BV9" s="5"/>
    </row>
    <row r="10" spans="1:74" x14ac:dyDescent="0.25">
      <c r="A10" s="12" t="s">
        <v>271</v>
      </c>
      <c r="B10" s="12"/>
      <c r="C10" s="5">
        <v>1</v>
      </c>
      <c r="D10" s="12">
        <v>9.1632200000000008</v>
      </c>
      <c r="E10" s="13">
        <v>210410982</v>
      </c>
      <c r="F10" s="12">
        <v>73</v>
      </c>
      <c r="G10" s="12">
        <v>1</v>
      </c>
      <c r="H10" s="14">
        <v>45006</v>
      </c>
      <c r="I10" s="12"/>
      <c r="J10" s="14">
        <v>45008</v>
      </c>
      <c r="K10" s="14">
        <v>45012</v>
      </c>
      <c r="L10" s="12">
        <v>8805455466</v>
      </c>
      <c r="M10" s="12"/>
      <c r="N10" s="12">
        <v>14</v>
      </c>
      <c r="O10" s="12">
        <v>1</v>
      </c>
      <c r="P10" s="12">
        <v>2</v>
      </c>
      <c r="Q10" s="12">
        <v>2</v>
      </c>
      <c r="R10" s="12">
        <v>2</v>
      </c>
      <c r="S10" s="12">
        <v>2</v>
      </c>
      <c r="T10" s="12">
        <v>2</v>
      </c>
      <c r="U10" s="12">
        <v>2</v>
      </c>
      <c r="V10" s="12">
        <v>2</v>
      </c>
      <c r="W10" s="12">
        <v>2</v>
      </c>
      <c r="X10" s="12"/>
      <c r="Y10" s="12">
        <v>13.7</v>
      </c>
      <c r="Z10" s="12">
        <v>42</v>
      </c>
      <c r="AA10" s="12"/>
      <c r="AB10" s="12">
        <v>23</v>
      </c>
      <c r="AC10" s="12">
        <v>6.4</v>
      </c>
      <c r="AD10" s="12">
        <v>199</v>
      </c>
      <c r="AE10" s="12">
        <v>146</v>
      </c>
      <c r="AF10" s="12">
        <v>37</v>
      </c>
      <c r="AG10" s="12">
        <v>15.2</v>
      </c>
      <c r="AH10" s="12">
        <v>76</v>
      </c>
      <c r="AI10" s="12">
        <v>121</v>
      </c>
      <c r="AJ10" s="12" t="s">
        <v>272</v>
      </c>
      <c r="AK10" s="12"/>
      <c r="AL10" s="12" t="s">
        <v>273</v>
      </c>
      <c r="AM10" s="12" t="s">
        <v>274</v>
      </c>
      <c r="AN10" s="12"/>
      <c r="AO10" s="12"/>
      <c r="AP10" s="12"/>
      <c r="AQ10" s="12"/>
      <c r="AR10" s="12"/>
      <c r="AS10" s="12"/>
      <c r="AT10" s="12"/>
      <c r="AU10" s="12">
        <v>1</v>
      </c>
      <c r="AV10" s="12">
        <v>1</v>
      </c>
      <c r="AW10" s="12">
        <v>2</v>
      </c>
      <c r="AX10" s="12"/>
      <c r="AY10" s="12"/>
      <c r="AZ10" s="12"/>
      <c r="BA10" s="12"/>
      <c r="BB10" s="12">
        <v>0</v>
      </c>
      <c r="BC10" s="5">
        <v>1</v>
      </c>
      <c r="BD10" s="12">
        <v>100</v>
      </c>
      <c r="BE10" s="12">
        <v>0</v>
      </c>
      <c r="BF10" s="12">
        <v>2</v>
      </c>
      <c r="BG10" s="12">
        <v>2</v>
      </c>
      <c r="BH10" s="12">
        <v>2</v>
      </c>
      <c r="BI10" s="12">
        <v>1</v>
      </c>
      <c r="BJ10" s="12">
        <v>1</v>
      </c>
      <c r="BK10" s="12">
        <v>1</v>
      </c>
      <c r="BL10" s="12">
        <v>1</v>
      </c>
      <c r="BM10" s="12">
        <v>2</v>
      </c>
      <c r="BN10" s="12">
        <v>2</v>
      </c>
      <c r="BO10" s="12">
        <v>2</v>
      </c>
      <c r="BP10" s="12">
        <v>1</v>
      </c>
      <c r="BQ10" s="12">
        <v>1</v>
      </c>
      <c r="BR10" s="12">
        <v>1</v>
      </c>
      <c r="BS10" s="12">
        <v>19</v>
      </c>
      <c r="BT10" s="12">
        <v>1</v>
      </c>
      <c r="BU10" s="12">
        <v>1</v>
      </c>
      <c r="BV10" s="12" t="s">
        <v>275</v>
      </c>
    </row>
    <row r="11" spans="1:74" x14ac:dyDescent="0.25">
      <c r="A11" s="12" t="s">
        <v>159</v>
      </c>
      <c r="B11" s="5" t="s">
        <v>716</v>
      </c>
      <c r="C11" s="5">
        <v>1</v>
      </c>
      <c r="D11" s="12">
        <v>10.5968</v>
      </c>
      <c r="E11" s="13">
        <v>200103233</v>
      </c>
      <c r="F11" s="12">
        <v>66</v>
      </c>
      <c r="G11" s="12">
        <v>1</v>
      </c>
      <c r="H11" s="14">
        <v>45028</v>
      </c>
      <c r="I11" s="16">
        <v>0.85416666666666663</v>
      </c>
      <c r="J11" s="14">
        <v>45028</v>
      </c>
      <c r="K11" s="14">
        <v>45029</v>
      </c>
      <c r="L11" s="12">
        <v>9850068182</v>
      </c>
      <c r="M11" s="12">
        <v>8055509303</v>
      </c>
      <c r="N11" s="12">
        <v>4</v>
      </c>
      <c r="O11" s="12">
        <v>1</v>
      </c>
      <c r="P11" s="12">
        <v>2</v>
      </c>
      <c r="Q11" s="12">
        <v>2</v>
      </c>
      <c r="R11" s="12">
        <v>2</v>
      </c>
      <c r="S11" s="12">
        <v>2</v>
      </c>
      <c r="T11" s="12">
        <v>2</v>
      </c>
      <c r="U11" s="12">
        <v>2</v>
      </c>
      <c r="V11" s="12">
        <v>2</v>
      </c>
      <c r="W11" s="12">
        <v>1</v>
      </c>
      <c r="X11" s="12" t="s">
        <v>160</v>
      </c>
      <c r="Y11" s="12">
        <v>15.2</v>
      </c>
      <c r="Z11" s="12">
        <v>43.6</v>
      </c>
      <c r="AA11" s="12"/>
      <c r="AB11" s="12">
        <v>14</v>
      </c>
      <c r="AC11" s="12">
        <v>5.5</v>
      </c>
      <c r="AD11" s="12">
        <v>164</v>
      </c>
      <c r="AE11" s="12">
        <v>106</v>
      </c>
      <c r="AF11" s="12">
        <v>40</v>
      </c>
      <c r="AG11" s="12">
        <v>17</v>
      </c>
      <c r="AH11" s="12">
        <v>87</v>
      </c>
      <c r="AI11" s="12">
        <v>222</v>
      </c>
      <c r="AJ11" s="12" t="s">
        <v>161</v>
      </c>
      <c r="AK11" s="12"/>
      <c r="AL11" s="12" t="s">
        <v>162</v>
      </c>
      <c r="AM11" s="12" t="s">
        <v>163</v>
      </c>
      <c r="AN11" s="12" t="s">
        <v>164</v>
      </c>
      <c r="AO11" s="12"/>
      <c r="AP11" s="12"/>
      <c r="AQ11" s="12"/>
      <c r="AR11" s="12"/>
      <c r="AS11" s="12"/>
      <c r="AT11" s="12"/>
      <c r="AU11" s="12">
        <v>1</v>
      </c>
      <c r="AV11" s="12">
        <v>1</v>
      </c>
      <c r="AW11" s="12">
        <v>2</v>
      </c>
      <c r="AX11" s="12"/>
      <c r="AY11" s="12"/>
      <c r="AZ11" s="12"/>
      <c r="BA11" s="12"/>
      <c r="BB11" s="12">
        <v>0</v>
      </c>
      <c r="BC11" s="5">
        <v>1</v>
      </c>
      <c r="BD11" s="12">
        <v>100</v>
      </c>
      <c r="BE11" s="12">
        <v>1</v>
      </c>
      <c r="BF11" s="12">
        <v>1</v>
      </c>
      <c r="BG11" s="12">
        <v>2</v>
      </c>
      <c r="BH11" s="12">
        <v>2</v>
      </c>
      <c r="BI11" s="12">
        <v>1</v>
      </c>
      <c r="BJ11" s="12">
        <v>1</v>
      </c>
      <c r="BK11" s="12">
        <v>1</v>
      </c>
      <c r="BL11" s="12">
        <v>1</v>
      </c>
      <c r="BM11" s="12">
        <v>1</v>
      </c>
      <c r="BN11" s="12">
        <v>1</v>
      </c>
      <c r="BO11" s="12">
        <v>2</v>
      </c>
      <c r="BP11" s="12">
        <v>1</v>
      </c>
      <c r="BQ11" s="12">
        <v>1</v>
      </c>
      <c r="BR11" s="12">
        <v>1</v>
      </c>
      <c r="BS11" s="12">
        <v>17</v>
      </c>
      <c r="BT11" s="12">
        <v>1</v>
      </c>
      <c r="BU11" s="12">
        <v>1</v>
      </c>
      <c r="BV11" s="12"/>
    </row>
    <row r="12" spans="1:74" x14ac:dyDescent="0.25">
      <c r="A12" s="12" t="s">
        <v>209</v>
      </c>
      <c r="B12" s="5" t="s">
        <v>716</v>
      </c>
      <c r="C12" s="5">
        <v>1</v>
      </c>
      <c r="D12" s="12">
        <v>27.6204</v>
      </c>
      <c r="E12" s="13"/>
      <c r="F12" s="12">
        <v>67</v>
      </c>
      <c r="G12" s="12">
        <v>1</v>
      </c>
      <c r="H12" s="14">
        <v>45044</v>
      </c>
      <c r="I12" s="12"/>
      <c r="J12" s="14">
        <v>45051</v>
      </c>
      <c r="K12" s="14">
        <v>45052</v>
      </c>
      <c r="L12" s="12">
        <v>9765047875</v>
      </c>
      <c r="M12" s="12"/>
      <c r="N12" s="12">
        <v>7</v>
      </c>
      <c r="O12" s="12">
        <v>1</v>
      </c>
      <c r="P12" s="12">
        <v>1</v>
      </c>
      <c r="Q12" s="12">
        <v>2</v>
      </c>
      <c r="R12" s="12">
        <v>2</v>
      </c>
      <c r="S12" s="12">
        <v>1</v>
      </c>
      <c r="T12" s="12">
        <v>2</v>
      </c>
      <c r="U12" s="12">
        <v>2</v>
      </c>
      <c r="V12" s="12">
        <v>2</v>
      </c>
      <c r="W12" s="12">
        <v>2</v>
      </c>
      <c r="X12" s="12" t="s">
        <v>210</v>
      </c>
      <c r="Y12" s="12">
        <v>12.9</v>
      </c>
      <c r="Z12" s="12">
        <v>40.1</v>
      </c>
      <c r="AA12" s="12"/>
      <c r="AB12" s="12">
        <v>4.7699999999999996</v>
      </c>
      <c r="AC12" s="12">
        <v>10.4</v>
      </c>
      <c r="AD12" s="12">
        <v>202</v>
      </c>
      <c r="AE12" s="12">
        <v>111</v>
      </c>
      <c r="AF12" s="12">
        <v>32</v>
      </c>
      <c r="AG12" s="12">
        <v>58.8</v>
      </c>
      <c r="AH12" s="12">
        <v>294</v>
      </c>
      <c r="AI12" s="12">
        <v>770</v>
      </c>
      <c r="AJ12" s="12" t="s">
        <v>211</v>
      </c>
      <c r="AK12" s="12"/>
      <c r="AL12" s="12" t="s">
        <v>212</v>
      </c>
      <c r="AM12" s="12" t="s">
        <v>213</v>
      </c>
      <c r="AN12" s="12"/>
      <c r="AO12" s="12"/>
      <c r="AP12" s="12"/>
      <c r="AQ12" s="12"/>
      <c r="AR12" s="12"/>
      <c r="AS12" s="12"/>
      <c r="AT12" s="12"/>
      <c r="AU12" s="12">
        <v>1</v>
      </c>
      <c r="AV12" s="12">
        <v>2</v>
      </c>
      <c r="AW12" s="12">
        <v>2</v>
      </c>
      <c r="AX12" s="12"/>
      <c r="AY12" s="12"/>
      <c r="AZ12" s="12"/>
      <c r="BA12" s="12"/>
      <c r="BB12" s="12">
        <v>0</v>
      </c>
      <c r="BC12" s="5">
        <v>1</v>
      </c>
      <c r="BD12" s="12">
        <v>100</v>
      </c>
      <c r="BE12" s="12">
        <v>1</v>
      </c>
      <c r="BF12" s="12">
        <v>1</v>
      </c>
      <c r="BG12" s="12">
        <v>2</v>
      </c>
      <c r="BH12" s="12">
        <v>2</v>
      </c>
      <c r="BI12" s="12">
        <v>1</v>
      </c>
      <c r="BJ12" s="12">
        <v>1</v>
      </c>
      <c r="BK12" s="12">
        <v>1</v>
      </c>
      <c r="BL12" s="12">
        <v>0</v>
      </c>
      <c r="BM12" s="12">
        <v>2</v>
      </c>
      <c r="BN12" s="12">
        <v>2</v>
      </c>
      <c r="BO12" s="12">
        <v>2</v>
      </c>
      <c r="BP12" s="12">
        <v>1</v>
      </c>
      <c r="BQ12" s="12">
        <v>1</v>
      </c>
      <c r="BR12" s="12">
        <v>1</v>
      </c>
      <c r="BS12" s="12">
        <v>18</v>
      </c>
      <c r="BT12" s="12">
        <v>1</v>
      </c>
      <c r="BU12" s="12">
        <v>1</v>
      </c>
      <c r="BV12" s="12"/>
    </row>
    <row r="13" spans="1:74" x14ac:dyDescent="0.25">
      <c r="A13" s="12" t="s">
        <v>148</v>
      </c>
      <c r="B13" s="12" t="s">
        <v>718</v>
      </c>
      <c r="C13" s="5">
        <v>1</v>
      </c>
      <c r="D13" s="12">
        <v>2.2731300000000001</v>
      </c>
      <c r="E13" s="13">
        <v>201200469</v>
      </c>
      <c r="F13" s="12">
        <v>73</v>
      </c>
      <c r="G13" s="12">
        <v>1</v>
      </c>
      <c r="H13" s="14">
        <v>45063</v>
      </c>
      <c r="I13" s="12"/>
      <c r="J13" s="14">
        <v>45065</v>
      </c>
      <c r="K13" s="14">
        <v>45075</v>
      </c>
      <c r="L13" s="12">
        <v>9822495454</v>
      </c>
      <c r="M13" s="12"/>
      <c r="N13" s="12">
        <v>6</v>
      </c>
      <c r="O13" s="12">
        <v>1</v>
      </c>
      <c r="P13" s="12">
        <v>1</v>
      </c>
      <c r="Q13" s="12">
        <v>2</v>
      </c>
      <c r="R13" s="12">
        <v>2</v>
      </c>
      <c r="S13" s="12">
        <v>2</v>
      </c>
      <c r="T13" s="12">
        <v>2</v>
      </c>
      <c r="U13" s="12">
        <v>2</v>
      </c>
      <c r="V13" s="12">
        <v>2</v>
      </c>
      <c r="W13" s="12">
        <v>2</v>
      </c>
      <c r="X13" s="12"/>
      <c r="Y13" s="12">
        <v>13.5</v>
      </c>
      <c r="Z13" s="12">
        <v>40</v>
      </c>
      <c r="AA13" s="12"/>
      <c r="AB13" s="12">
        <v>16.170000000000002</v>
      </c>
      <c r="AC13" s="12">
        <v>7</v>
      </c>
      <c r="AD13" s="12"/>
      <c r="AE13" s="12"/>
      <c r="AF13" s="12"/>
      <c r="AG13" s="12"/>
      <c r="AH13" s="12"/>
      <c r="AI13" s="12">
        <v>215</v>
      </c>
      <c r="AJ13" s="12" t="s">
        <v>149</v>
      </c>
      <c r="AK13" s="12"/>
      <c r="AL13" s="12" t="s">
        <v>150</v>
      </c>
      <c r="AM13" s="12" t="s">
        <v>151</v>
      </c>
      <c r="AN13" s="12"/>
      <c r="AO13" s="12">
        <v>10</v>
      </c>
      <c r="AP13" s="12">
        <v>3</v>
      </c>
      <c r="AQ13" s="12">
        <v>3</v>
      </c>
      <c r="AR13" s="12">
        <v>3</v>
      </c>
      <c r="AS13" s="12">
        <v>5</v>
      </c>
      <c r="AT13" s="12"/>
      <c r="AU13" s="12"/>
      <c r="AV13" s="12"/>
      <c r="AW13" s="12"/>
      <c r="AX13" s="12"/>
      <c r="AY13" s="12"/>
      <c r="AZ13" s="12"/>
      <c r="BA13" s="12"/>
      <c r="BB13" s="12">
        <v>2</v>
      </c>
      <c r="BC13" s="5">
        <v>1</v>
      </c>
      <c r="BD13" s="12">
        <v>65</v>
      </c>
      <c r="BE13" s="12">
        <v>0</v>
      </c>
      <c r="BF13" s="12">
        <v>1</v>
      </c>
      <c r="BG13" s="12">
        <v>2</v>
      </c>
      <c r="BH13" s="12">
        <v>2</v>
      </c>
      <c r="BI13" s="12">
        <v>1</v>
      </c>
      <c r="BJ13" s="12">
        <v>1</v>
      </c>
      <c r="BK13" s="12">
        <v>1</v>
      </c>
      <c r="BL13" s="12">
        <v>0</v>
      </c>
      <c r="BM13" s="12">
        <v>1</v>
      </c>
      <c r="BN13" s="12">
        <v>2</v>
      </c>
      <c r="BO13" s="12">
        <v>2</v>
      </c>
      <c r="BP13" s="12">
        <v>1</v>
      </c>
      <c r="BQ13" s="12">
        <v>1</v>
      </c>
      <c r="BR13" s="12">
        <v>1</v>
      </c>
      <c r="BS13" s="12">
        <v>16</v>
      </c>
      <c r="BT13" s="12">
        <v>1</v>
      </c>
      <c r="BU13" s="12">
        <v>1</v>
      </c>
      <c r="BV13" s="12"/>
    </row>
    <row r="14" spans="1:74" x14ac:dyDescent="0.25">
      <c r="A14" s="5" t="s">
        <v>426</v>
      </c>
      <c r="B14" s="5" t="s">
        <v>716</v>
      </c>
      <c r="C14" s="5">
        <v>1</v>
      </c>
      <c r="D14" s="5">
        <v>2.0050300000000001</v>
      </c>
      <c r="E14" s="6">
        <v>230502703</v>
      </c>
      <c r="F14" s="5">
        <v>47</v>
      </c>
      <c r="G14" s="5">
        <v>1</v>
      </c>
      <c r="H14" s="7">
        <v>45063</v>
      </c>
      <c r="I14" s="11">
        <v>0.75</v>
      </c>
      <c r="J14" s="7">
        <v>45065</v>
      </c>
      <c r="K14" s="7">
        <v>45067</v>
      </c>
      <c r="L14" s="5">
        <v>9637820789</v>
      </c>
      <c r="M14" s="5"/>
      <c r="N14" s="5">
        <v>9</v>
      </c>
      <c r="O14" s="5">
        <v>2</v>
      </c>
      <c r="P14" s="5">
        <v>2</v>
      </c>
      <c r="Q14" s="5">
        <v>1</v>
      </c>
      <c r="R14" s="5">
        <v>1</v>
      </c>
      <c r="S14" s="5">
        <v>2</v>
      </c>
      <c r="T14" s="5">
        <v>2</v>
      </c>
      <c r="U14" s="5">
        <v>2</v>
      </c>
      <c r="V14" s="5">
        <v>2</v>
      </c>
      <c r="W14" s="5">
        <v>2</v>
      </c>
      <c r="X14" s="5" t="s">
        <v>427</v>
      </c>
      <c r="Y14" s="5">
        <v>13.7</v>
      </c>
      <c r="Z14" s="5">
        <v>42.3</v>
      </c>
      <c r="AA14" s="5"/>
      <c r="AB14" s="5">
        <v>38.15</v>
      </c>
      <c r="AC14" s="5">
        <v>5</v>
      </c>
      <c r="AD14" s="5">
        <v>235</v>
      </c>
      <c r="AE14" s="5">
        <v>156.6</v>
      </c>
      <c r="AF14" s="5">
        <v>61</v>
      </c>
      <c r="AG14" s="5">
        <v>17.399999999999999</v>
      </c>
      <c r="AH14" s="5">
        <v>87</v>
      </c>
      <c r="AI14" s="5">
        <v>153</v>
      </c>
      <c r="AJ14" s="5" t="s">
        <v>428</v>
      </c>
      <c r="AK14" s="5"/>
      <c r="AL14" s="5" t="s">
        <v>429</v>
      </c>
      <c r="AM14" s="5" t="s">
        <v>430</v>
      </c>
      <c r="AN14" s="5"/>
      <c r="AO14" s="5"/>
      <c r="AP14" s="5"/>
      <c r="AQ14" s="5"/>
      <c r="AR14" s="5"/>
      <c r="AS14" s="5"/>
      <c r="AT14" s="5"/>
      <c r="AU14" s="5">
        <v>1</v>
      </c>
      <c r="AV14" s="5">
        <v>2</v>
      </c>
      <c r="AW14" s="5">
        <v>2</v>
      </c>
      <c r="AX14" s="5">
        <v>4</v>
      </c>
      <c r="AY14" s="5">
        <v>8</v>
      </c>
      <c r="AZ14" s="5">
        <v>2</v>
      </c>
      <c r="BA14" s="5">
        <v>2</v>
      </c>
      <c r="BB14" s="5">
        <v>3</v>
      </c>
      <c r="BC14" s="5">
        <v>2</v>
      </c>
      <c r="BD14" s="5">
        <v>60</v>
      </c>
      <c r="BE14" s="5">
        <v>1</v>
      </c>
      <c r="BF14" s="5">
        <v>2</v>
      </c>
      <c r="BG14" s="5">
        <v>2</v>
      </c>
      <c r="BH14" s="5">
        <v>2</v>
      </c>
      <c r="BI14" s="5">
        <v>1</v>
      </c>
      <c r="BJ14" s="5">
        <v>1</v>
      </c>
      <c r="BK14" s="5">
        <v>1</v>
      </c>
      <c r="BL14" s="5">
        <v>1</v>
      </c>
      <c r="BM14" s="5">
        <v>2</v>
      </c>
      <c r="BN14" s="5">
        <v>2</v>
      </c>
      <c r="BO14" s="5">
        <v>2</v>
      </c>
      <c r="BP14" s="5">
        <v>1</v>
      </c>
      <c r="BQ14" s="5">
        <v>1</v>
      </c>
      <c r="BR14" s="5">
        <v>1</v>
      </c>
      <c r="BS14" s="5">
        <v>20</v>
      </c>
      <c r="BT14" s="5">
        <v>1</v>
      </c>
      <c r="BU14" s="5">
        <v>1</v>
      </c>
      <c r="BV14" s="5"/>
    </row>
    <row r="15" spans="1:74" x14ac:dyDescent="0.25">
      <c r="A15" s="5" t="s">
        <v>406</v>
      </c>
      <c r="B15" s="5"/>
      <c r="C15" s="5">
        <v>1</v>
      </c>
      <c r="D15" s="5">
        <v>6.8245399999999998</v>
      </c>
      <c r="E15" s="6">
        <v>230503001</v>
      </c>
      <c r="F15" s="5">
        <v>77</v>
      </c>
      <c r="G15" s="5">
        <v>2</v>
      </c>
      <c r="H15" s="7"/>
      <c r="I15" s="5"/>
      <c r="J15" s="7">
        <v>45068</v>
      </c>
      <c r="K15" s="7">
        <v>45070</v>
      </c>
      <c r="L15" s="5">
        <v>7722077659</v>
      </c>
      <c r="M15" s="5"/>
      <c r="N15" s="5">
        <v>6</v>
      </c>
      <c r="O15" s="5">
        <v>2</v>
      </c>
      <c r="P15" s="5">
        <v>2</v>
      </c>
      <c r="Q15" s="5">
        <v>2</v>
      </c>
      <c r="R15" s="5">
        <v>2</v>
      </c>
      <c r="S15" s="5">
        <v>2</v>
      </c>
      <c r="T15" s="5">
        <v>2</v>
      </c>
      <c r="U15" s="5">
        <v>2</v>
      </c>
      <c r="V15" s="5">
        <v>2</v>
      </c>
      <c r="W15" s="5">
        <v>2</v>
      </c>
      <c r="X15" s="5"/>
      <c r="Y15" s="5">
        <v>11.7</v>
      </c>
      <c r="Z15" s="5">
        <v>35.299999999999997</v>
      </c>
      <c r="AA15" s="5"/>
      <c r="AB15" s="5">
        <v>12.81</v>
      </c>
      <c r="AC15" s="5">
        <v>5.2</v>
      </c>
      <c r="AD15" s="5">
        <v>239</v>
      </c>
      <c r="AE15" s="5">
        <v>168</v>
      </c>
      <c r="AF15" s="5">
        <v>57</v>
      </c>
      <c r="AG15" s="5">
        <v>14</v>
      </c>
      <c r="AH15" s="5">
        <v>70</v>
      </c>
      <c r="AI15" s="5">
        <v>449</v>
      </c>
      <c r="AJ15" s="5"/>
      <c r="AK15" s="5"/>
      <c r="AL15" s="5" t="s">
        <v>407</v>
      </c>
      <c r="AM15" s="5"/>
      <c r="AN15" s="5"/>
      <c r="AO15" s="5"/>
      <c r="AP15" s="5"/>
      <c r="AQ15" s="5"/>
      <c r="AR15" s="5"/>
      <c r="AS15" s="5"/>
      <c r="AT15" s="5"/>
      <c r="AU15" s="5">
        <v>1</v>
      </c>
      <c r="AV15" s="5">
        <v>1</v>
      </c>
      <c r="AW15" s="5">
        <v>2</v>
      </c>
      <c r="AX15" s="5"/>
      <c r="AY15" s="5"/>
      <c r="AZ15" s="5"/>
      <c r="BA15" s="5"/>
      <c r="BB15" s="5">
        <v>1</v>
      </c>
      <c r="BC15" s="5">
        <v>1</v>
      </c>
      <c r="BD15" s="5">
        <v>95</v>
      </c>
      <c r="BE15" s="5">
        <v>1</v>
      </c>
      <c r="BF15" s="5">
        <v>2</v>
      </c>
      <c r="BG15" s="5">
        <v>2</v>
      </c>
      <c r="BH15" s="5">
        <v>2</v>
      </c>
      <c r="BI15" s="5">
        <v>1</v>
      </c>
      <c r="BJ15" s="5">
        <v>1</v>
      </c>
      <c r="BK15" s="5">
        <v>1</v>
      </c>
      <c r="BL15" s="5">
        <v>1</v>
      </c>
      <c r="BM15" s="5">
        <v>2</v>
      </c>
      <c r="BN15" s="5">
        <v>2</v>
      </c>
      <c r="BO15" s="5">
        <v>2</v>
      </c>
      <c r="BP15" s="5">
        <v>1</v>
      </c>
      <c r="BQ15" s="5">
        <v>1</v>
      </c>
      <c r="BR15" s="5">
        <v>1</v>
      </c>
      <c r="BS15" s="5">
        <v>20</v>
      </c>
      <c r="BT15" s="5">
        <v>1</v>
      </c>
      <c r="BU15" s="5">
        <v>1</v>
      </c>
      <c r="BV15" s="5"/>
    </row>
    <row r="16" spans="1:74" x14ac:dyDescent="0.25">
      <c r="A16" s="12" t="s">
        <v>379</v>
      </c>
      <c r="B16" s="5" t="s">
        <v>716</v>
      </c>
      <c r="C16" s="5">
        <v>1</v>
      </c>
      <c r="D16" s="12">
        <v>12.001300000000001</v>
      </c>
      <c r="E16" s="13">
        <v>230602023</v>
      </c>
      <c r="F16" s="12">
        <v>73</v>
      </c>
      <c r="G16" s="12">
        <v>1</v>
      </c>
      <c r="H16" s="14"/>
      <c r="I16" s="12"/>
      <c r="J16" s="14">
        <v>45085</v>
      </c>
      <c r="K16" s="14">
        <v>45086</v>
      </c>
      <c r="L16" s="12">
        <v>7506372648</v>
      </c>
      <c r="M16" s="12"/>
      <c r="N16" s="12">
        <v>0</v>
      </c>
      <c r="O16" s="12">
        <v>1</v>
      </c>
      <c r="P16" s="12">
        <v>2</v>
      </c>
      <c r="Q16" s="12">
        <v>2</v>
      </c>
      <c r="R16" s="12">
        <v>2</v>
      </c>
      <c r="S16" s="12">
        <v>2</v>
      </c>
      <c r="T16" s="12">
        <v>2</v>
      </c>
      <c r="U16" s="12">
        <v>1</v>
      </c>
      <c r="V16" s="12">
        <v>2</v>
      </c>
      <c r="W16" s="12">
        <v>2</v>
      </c>
      <c r="X16" s="12"/>
      <c r="Y16" s="12">
        <v>143</v>
      </c>
      <c r="Z16" s="12"/>
      <c r="AA16" s="12"/>
      <c r="AB16" s="12"/>
      <c r="AC16" s="12"/>
      <c r="AD16" s="12"/>
      <c r="AE16" s="12"/>
      <c r="AF16" s="12"/>
      <c r="AG16" s="12"/>
      <c r="AH16" s="12"/>
      <c r="AI16" s="12"/>
      <c r="AJ16" s="12"/>
      <c r="AK16" s="12"/>
      <c r="AL16" s="12" t="s">
        <v>380</v>
      </c>
      <c r="AM16" s="12" t="s">
        <v>381</v>
      </c>
      <c r="AN16" s="12"/>
      <c r="AO16" s="12"/>
      <c r="AP16" s="12"/>
      <c r="AQ16" s="12"/>
      <c r="AR16" s="12"/>
      <c r="AS16" s="12"/>
      <c r="AT16" s="12"/>
      <c r="AU16" s="12">
        <v>1</v>
      </c>
      <c r="AV16" s="12">
        <v>1</v>
      </c>
      <c r="AW16" s="12">
        <v>1</v>
      </c>
      <c r="AX16" s="12">
        <v>1</v>
      </c>
      <c r="AY16" s="12"/>
      <c r="AZ16" s="12"/>
      <c r="BA16" s="12"/>
      <c r="BB16" s="12">
        <v>0</v>
      </c>
      <c r="BC16" s="5">
        <v>1</v>
      </c>
      <c r="BD16" s="12">
        <v>100</v>
      </c>
      <c r="BE16" s="12">
        <v>1</v>
      </c>
      <c r="BF16" s="12">
        <v>2</v>
      </c>
      <c r="BG16" s="12">
        <v>2</v>
      </c>
      <c r="BH16" s="12">
        <v>2</v>
      </c>
      <c r="BI16" s="12">
        <v>1</v>
      </c>
      <c r="BJ16" s="12">
        <v>1</v>
      </c>
      <c r="BK16" s="12">
        <v>1</v>
      </c>
      <c r="BL16" s="12">
        <v>1</v>
      </c>
      <c r="BM16" s="12">
        <v>2</v>
      </c>
      <c r="BN16" s="12">
        <v>2</v>
      </c>
      <c r="BO16" s="12">
        <v>2</v>
      </c>
      <c r="BP16" s="12">
        <v>1</v>
      </c>
      <c r="BQ16" s="12">
        <v>1</v>
      </c>
      <c r="BR16" s="12">
        <v>1</v>
      </c>
      <c r="BS16" s="12">
        <v>20</v>
      </c>
      <c r="BT16" s="12">
        <v>1</v>
      </c>
      <c r="BU16" s="12">
        <v>1</v>
      </c>
      <c r="BV16" s="12"/>
    </row>
    <row r="17" spans="1:74" x14ac:dyDescent="0.25">
      <c r="A17" s="12" t="s">
        <v>343</v>
      </c>
      <c r="B17" s="5" t="s">
        <v>716</v>
      </c>
      <c r="C17" s="5">
        <v>1</v>
      </c>
      <c r="D17" s="12">
        <v>16.621700000000001</v>
      </c>
      <c r="E17" s="13">
        <v>131205306</v>
      </c>
      <c r="F17" s="12">
        <v>55</v>
      </c>
      <c r="G17" s="12">
        <v>1</v>
      </c>
      <c r="H17" s="14">
        <v>45091</v>
      </c>
      <c r="I17" s="16">
        <v>0.70833333333333337</v>
      </c>
      <c r="J17" s="14">
        <v>45092</v>
      </c>
      <c r="K17" s="14">
        <v>45097</v>
      </c>
      <c r="L17" s="12">
        <v>7506213289</v>
      </c>
      <c r="M17" s="12"/>
      <c r="N17" s="12">
        <v>8</v>
      </c>
      <c r="O17" s="12">
        <v>1</v>
      </c>
      <c r="P17" s="12">
        <v>2</v>
      </c>
      <c r="Q17" s="12">
        <v>1</v>
      </c>
      <c r="R17" s="12">
        <v>2</v>
      </c>
      <c r="S17" s="12">
        <v>2</v>
      </c>
      <c r="T17" s="12">
        <v>2</v>
      </c>
      <c r="U17" s="12">
        <v>2</v>
      </c>
      <c r="V17" s="12">
        <v>1</v>
      </c>
      <c r="W17" s="12">
        <v>2</v>
      </c>
      <c r="X17" s="12" t="s">
        <v>344</v>
      </c>
      <c r="Y17" s="12">
        <v>15.2</v>
      </c>
      <c r="Z17" s="12">
        <v>46.1</v>
      </c>
      <c r="AA17" s="12"/>
      <c r="AB17" s="12">
        <v>24.49</v>
      </c>
      <c r="AC17" s="12"/>
      <c r="AD17" s="12">
        <v>125</v>
      </c>
      <c r="AE17" s="12">
        <v>89</v>
      </c>
      <c r="AF17" s="12">
        <v>45</v>
      </c>
      <c r="AG17" s="12">
        <v>10.8</v>
      </c>
      <c r="AH17" s="12">
        <v>54</v>
      </c>
      <c r="AI17" s="12">
        <v>2000</v>
      </c>
      <c r="AJ17" s="12" t="s">
        <v>345</v>
      </c>
      <c r="AK17" s="12"/>
      <c r="AL17" s="12" t="s">
        <v>346</v>
      </c>
      <c r="AM17" s="12" t="s">
        <v>347</v>
      </c>
      <c r="AN17" s="12"/>
      <c r="AO17" s="12"/>
      <c r="AP17" s="12"/>
      <c r="AQ17" s="12"/>
      <c r="AR17" s="12"/>
      <c r="AS17" s="12"/>
      <c r="AT17" s="12"/>
      <c r="AU17" s="12">
        <v>1</v>
      </c>
      <c r="AV17" s="12">
        <v>1</v>
      </c>
      <c r="AW17" s="12">
        <v>2</v>
      </c>
      <c r="AX17" s="12"/>
      <c r="AY17" s="12"/>
      <c r="AZ17" s="12"/>
      <c r="BA17" s="12"/>
      <c r="BB17" s="12">
        <v>1</v>
      </c>
      <c r="BC17" s="5">
        <v>1</v>
      </c>
      <c r="BD17" s="12">
        <v>100</v>
      </c>
      <c r="BE17" s="12">
        <v>1</v>
      </c>
      <c r="BF17" s="12">
        <v>2</v>
      </c>
      <c r="BG17" s="12">
        <v>2</v>
      </c>
      <c r="BH17" s="12">
        <v>2</v>
      </c>
      <c r="BI17" s="12">
        <v>1</v>
      </c>
      <c r="BJ17" s="12">
        <v>1</v>
      </c>
      <c r="BK17" s="12">
        <v>1</v>
      </c>
      <c r="BL17" s="12">
        <v>1</v>
      </c>
      <c r="BM17" s="12">
        <v>2</v>
      </c>
      <c r="BN17" s="12">
        <v>2</v>
      </c>
      <c r="BO17" s="12">
        <v>1</v>
      </c>
      <c r="BP17" s="12">
        <v>1</v>
      </c>
      <c r="BQ17" s="12">
        <v>1</v>
      </c>
      <c r="BR17" s="12">
        <v>1</v>
      </c>
      <c r="BS17" s="12">
        <v>19</v>
      </c>
      <c r="BT17" s="12">
        <v>1</v>
      </c>
      <c r="BU17" s="12">
        <v>1</v>
      </c>
      <c r="BV17" s="12"/>
    </row>
    <row r="18" spans="1:74" x14ac:dyDescent="0.25">
      <c r="A18" s="5" t="s">
        <v>131</v>
      </c>
      <c r="B18" s="5" t="s">
        <v>716</v>
      </c>
      <c r="C18" s="5">
        <v>1</v>
      </c>
      <c r="D18" s="5">
        <v>48.421700000000001</v>
      </c>
      <c r="E18" s="6">
        <v>110103214</v>
      </c>
      <c r="F18" s="5">
        <v>90</v>
      </c>
      <c r="G18" s="5">
        <v>1</v>
      </c>
      <c r="H18" s="7">
        <v>45103</v>
      </c>
      <c r="I18" s="11">
        <v>0.81944444444444453</v>
      </c>
      <c r="J18" s="7">
        <v>45103</v>
      </c>
      <c r="K18" s="7">
        <v>45104</v>
      </c>
      <c r="L18" s="5">
        <v>9552409447</v>
      </c>
      <c r="M18" s="5"/>
      <c r="N18" s="5">
        <v>24</v>
      </c>
      <c r="O18" s="5">
        <v>1</v>
      </c>
      <c r="P18" s="5">
        <v>1</v>
      </c>
      <c r="Q18" s="5">
        <v>2</v>
      </c>
      <c r="R18" s="5">
        <v>2</v>
      </c>
      <c r="S18" s="5">
        <v>2</v>
      </c>
      <c r="T18" s="5">
        <v>2</v>
      </c>
      <c r="U18" s="5">
        <v>2</v>
      </c>
      <c r="V18" s="5">
        <v>2</v>
      </c>
      <c r="W18" s="5">
        <v>2</v>
      </c>
      <c r="X18" s="5"/>
      <c r="Y18" s="5">
        <v>8.6999999999999993</v>
      </c>
      <c r="Z18" s="5">
        <v>27.7</v>
      </c>
      <c r="AA18" s="5">
        <v>64.2</v>
      </c>
      <c r="AB18" s="5">
        <v>5.0599999999999996</v>
      </c>
      <c r="AC18" s="5">
        <v>5.8</v>
      </c>
      <c r="AD18" s="5">
        <v>98</v>
      </c>
      <c r="AE18" s="5">
        <v>49.6</v>
      </c>
      <c r="AF18" s="5">
        <v>25</v>
      </c>
      <c r="AG18" s="5">
        <v>23.4</v>
      </c>
      <c r="AH18" s="5">
        <v>117</v>
      </c>
      <c r="AI18" s="5">
        <v>2000</v>
      </c>
      <c r="AJ18" s="5"/>
      <c r="AK18" s="5"/>
      <c r="AL18" s="5" t="s">
        <v>132</v>
      </c>
      <c r="AM18" s="5" t="s">
        <v>133</v>
      </c>
      <c r="AN18" s="5"/>
      <c r="AO18" s="5"/>
      <c r="AP18" s="5"/>
      <c r="AQ18" s="5"/>
      <c r="AR18" s="5"/>
      <c r="AS18" s="5"/>
      <c r="AT18" s="5"/>
      <c r="AU18" s="5">
        <v>1</v>
      </c>
      <c r="AV18" s="5"/>
      <c r="AW18" s="5">
        <v>2</v>
      </c>
      <c r="AX18" s="5"/>
      <c r="AY18" s="5"/>
      <c r="AZ18" s="5"/>
      <c r="BA18" s="5"/>
      <c r="BB18" s="5">
        <v>0</v>
      </c>
      <c r="BC18" s="5">
        <v>1</v>
      </c>
      <c r="BD18" s="5">
        <v>100</v>
      </c>
      <c r="BE18" s="5">
        <v>0</v>
      </c>
      <c r="BF18" s="5">
        <v>1</v>
      </c>
      <c r="BG18" s="5">
        <v>2</v>
      </c>
      <c r="BH18" s="5">
        <v>2</v>
      </c>
      <c r="BI18" s="5">
        <v>1</v>
      </c>
      <c r="BJ18" s="5">
        <v>1</v>
      </c>
      <c r="BK18" s="5">
        <v>1</v>
      </c>
      <c r="BL18" s="5">
        <v>0</v>
      </c>
      <c r="BM18" s="5">
        <v>1</v>
      </c>
      <c r="BN18" s="5">
        <v>2</v>
      </c>
      <c r="BO18" s="5">
        <v>2</v>
      </c>
      <c r="BP18" s="5">
        <v>1</v>
      </c>
      <c r="BQ18" s="5">
        <v>1</v>
      </c>
      <c r="BR18" s="5">
        <v>1</v>
      </c>
      <c r="BS18" s="5">
        <v>16</v>
      </c>
      <c r="BT18" s="5">
        <v>0</v>
      </c>
      <c r="BU18" s="5">
        <v>1</v>
      </c>
      <c r="BV18" s="5"/>
    </row>
    <row r="19" spans="1:74" x14ac:dyDescent="0.25">
      <c r="A19" s="12" t="s">
        <v>202</v>
      </c>
      <c r="B19" s="5" t="s">
        <v>716</v>
      </c>
      <c r="C19" s="5">
        <v>1</v>
      </c>
      <c r="D19" s="12">
        <v>14.4374</v>
      </c>
      <c r="E19" s="13">
        <v>230607917</v>
      </c>
      <c r="F19" s="12">
        <v>88</v>
      </c>
      <c r="G19" s="12">
        <v>1</v>
      </c>
      <c r="H19" s="14"/>
      <c r="I19" s="12"/>
      <c r="J19" s="14">
        <v>45103</v>
      </c>
      <c r="K19" s="14">
        <v>45105</v>
      </c>
      <c r="L19" s="12">
        <v>9423567145</v>
      </c>
      <c r="M19" s="12"/>
      <c r="N19" s="12">
        <v>5</v>
      </c>
      <c r="O19" s="12">
        <v>1</v>
      </c>
      <c r="P19" s="12">
        <v>1</v>
      </c>
      <c r="Q19" s="12">
        <v>2</v>
      </c>
      <c r="R19" s="12">
        <v>2</v>
      </c>
      <c r="S19" s="12">
        <v>2</v>
      </c>
      <c r="T19" s="12">
        <v>2</v>
      </c>
      <c r="U19" s="12">
        <v>2</v>
      </c>
      <c r="V19" s="12">
        <v>2</v>
      </c>
      <c r="W19" s="12">
        <v>2</v>
      </c>
      <c r="X19" s="12" t="s">
        <v>203</v>
      </c>
      <c r="Y19" s="12">
        <v>14.2</v>
      </c>
      <c r="Z19" s="12">
        <v>44.3</v>
      </c>
      <c r="AA19" s="12">
        <v>78.599999999999994</v>
      </c>
      <c r="AB19" s="12">
        <v>17</v>
      </c>
      <c r="AC19" s="12">
        <v>9.5</v>
      </c>
      <c r="AD19" s="12">
        <v>146</v>
      </c>
      <c r="AE19" s="12">
        <v>84</v>
      </c>
      <c r="AF19" s="12">
        <v>37</v>
      </c>
      <c r="AG19" s="12">
        <v>24</v>
      </c>
      <c r="AH19" s="12">
        <v>123</v>
      </c>
      <c r="AI19" s="12">
        <v>270</v>
      </c>
      <c r="AJ19" s="12"/>
      <c r="AK19" s="12"/>
      <c r="AL19" s="12" t="s">
        <v>204</v>
      </c>
      <c r="AM19" s="12" t="s">
        <v>205</v>
      </c>
      <c r="AN19" s="12"/>
      <c r="AO19" s="12"/>
      <c r="AP19" s="12"/>
      <c r="AQ19" s="12"/>
      <c r="AR19" s="12"/>
      <c r="AS19" s="12"/>
      <c r="AT19" s="12"/>
      <c r="AU19" s="12">
        <v>1</v>
      </c>
      <c r="AV19" s="12">
        <v>1</v>
      </c>
      <c r="AW19" s="12">
        <v>1</v>
      </c>
      <c r="AX19" s="12">
        <v>1</v>
      </c>
      <c r="AY19" s="12"/>
      <c r="AZ19" s="12"/>
      <c r="BA19" s="12"/>
      <c r="BB19" s="12">
        <v>0</v>
      </c>
      <c r="BC19" s="5">
        <v>1</v>
      </c>
      <c r="BD19" s="12">
        <v>100</v>
      </c>
      <c r="BE19" s="12">
        <v>0</v>
      </c>
      <c r="BF19" s="12">
        <v>2</v>
      </c>
      <c r="BG19" s="12">
        <v>2</v>
      </c>
      <c r="BH19" s="12">
        <v>2</v>
      </c>
      <c r="BI19" s="12">
        <v>1</v>
      </c>
      <c r="BJ19" s="12">
        <v>1</v>
      </c>
      <c r="BK19" s="12">
        <v>1</v>
      </c>
      <c r="BL19" s="12">
        <v>0</v>
      </c>
      <c r="BM19" s="12">
        <v>2</v>
      </c>
      <c r="BN19" s="12">
        <v>2</v>
      </c>
      <c r="BO19" s="12">
        <v>2</v>
      </c>
      <c r="BP19" s="12">
        <v>1</v>
      </c>
      <c r="BQ19" s="12">
        <v>1</v>
      </c>
      <c r="BR19" s="12">
        <v>1</v>
      </c>
      <c r="BS19" s="12">
        <v>18</v>
      </c>
      <c r="BT19" s="12">
        <v>1</v>
      </c>
      <c r="BU19" s="12">
        <v>1</v>
      </c>
      <c r="BV19" s="12"/>
    </row>
    <row r="20" spans="1:74" x14ac:dyDescent="0.25">
      <c r="A20" s="12" t="s">
        <v>411</v>
      </c>
      <c r="B20" s="5" t="s">
        <v>716</v>
      </c>
      <c r="C20" s="5">
        <v>1</v>
      </c>
      <c r="D20" s="12">
        <v>7.0903499999999999</v>
      </c>
      <c r="E20" s="13">
        <v>230700099</v>
      </c>
      <c r="F20" s="12">
        <v>63</v>
      </c>
      <c r="G20" s="12">
        <v>1</v>
      </c>
      <c r="H20" s="14" t="s">
        <v>412</v>
      </c>
      <c r="I20" s="12"/>
      <c r="J20" s="14">
        <v>45108</v>
      </c>
      <c r="K20" s="14">
        <v>45117</v>
      </c>
      <c r="L20" s="12">
        <v>8208668443</v>
      </c>
      <c r="M20" s="12"/>
      <c r="N20" s="12">
        <v>1</v>
      </c>
      <c r="O20" s="12">
        <v>2</v>
      </c>
      <c r="P20" s="12">
        <v>2</v>
      </c>
      <c r="Q20" s="12">
        <v>2</v>
      </c>
      <c r="R20" s="12">
        <v>2</v>
      </c>
      <c r="S20" s="12">
        <v>2</v>
      </c>
      <c r="T20" s="12">
        <v>2</v>
      </c>
      <c r="U20" s="12">
        <v>2</v>
      </c>
      <c r="V20" s="12">
        <v>2</v>
      </c>
      <c r="W20" s="12">
        <v>2</v>
      </c>
      <c r="X20" s="12"/>
      <c r="Y20" s="12">
        <v>9.8000000000000007</v>
      </c>
      <c r="Z20" s="12">
        <v>47</v>
      </c>
      <c r="AA20" s="12">
        <v>85.9</v>
      </c>
      <c r="AB20" s="12">
        <v>7.63</v>
      </c>
      <c r="AC20" s="12">
        <v>7</v>
      </c>
      <c r="AD20" s="12"/>
      <c r="AE20" s="12"/>
      <c r="AF20" s="12"/>
      <c r="AG20" s="12"/>
      <c r="AH20" s="12"/>
      <c r="AI20" s="12">
        <v>1777</v>
      </c>
      <c r="AJ20" s="12"/>
      <c r="AK20" s="12"/>
      <c r="AL20" s="12" t="s">
        <v>413</v>
      </c>
      <c r="AM20" s="12"/>
      <c r="AN20" s="12"/>
      <c r="AO20" s="12"/>
      <c r="AP20" s="12"/>
      <c r="AQ20" s="12"/>
      <c r="AR20" s="12"/>
      <c r="AS20" s="12"/>
      <c r="AT20" s="12"/>
      <c r="AU20" s="12">
        <v>1</v>
      </c>
      <c r="AV20" s="12">
        <v>1</v>
      </c>
      <c r="AW20" s="12">
        <v>2</v>
      </c>
      <c r="AX20" s="12"/>
      <c r="AY20" s="12"/>
      <c r="AZ20" s="12"/>
      <c r="BA20" s="12"/>
      <c r="BB20" s="12">
        <v>6</v>
      </c>
      <c r="BC20" s="5">
        <v>2</v>
      </c>
      <c r="BD20" s="12">
        <v>0</v>
      </c>
      <c r="BE20" s="12">
        <v>1</v>
      </c>
      <c r="BF20" s="12">
        <v>2</v>
      </c>
      <c r="BG20" s="12">
        <v>2</v>
      </c>
      <c r="BH20" s="12">
        <v>2</v>
      </c>
      <c r="BI20" s="12">
        <v>1</v>
      </c>
      <c r="BJ20" s="12">
        <v>1</v>
      </c>
      <c r="BK20" s="12">
        <v>1</v>
      </c>
      <c r="BL20" s="12">
        <v>1</v>
      </c>
      <c r="BM20" s="12">
        <v>2</v>
      </c>
      <c r="BN20" s="12">
        <v>2</v>
      </c>
      <c r="BO20" s="12">
        <v>2</v>
      </c>
      <c r="BP20" s="12">
        <v>1</v>
      </c>
      <c r="BQ20" s="12">
        <v>1</v>
      </c>
      <c r="BR20" s="12">
        <v>1</v>
      </c>
      <c r="BS20" s="12">
        <v>20</v>
      </c>
      <c r="BT20" s="12">
        <v>1</v>
      </c>
      <c r="BU20" s="12">
        <v>1</v>
      </c>
      <c r="BV20" s="12"/>
    </row>
    <row r="21" spans="1:74" x14ac:dyDescent="0.25">
      <c r="A21" s="5" t="s">
        <v>113</v>
      </c>
      <c r="B21" s="5" t="s">
        <v>716</v>
      </c>
      <c r="C21" s="5">
        <v>1</v>
      </c>
      <c r="D21" s="5">
        <v>3.48706</v>
      </c>
      <c r="E21" s="6">
        <v>230700732</v>
      </c>
      <c r="F21" s="5">
        <v>53</v>
      </c>
      <c r="G21" s="5">
        <v>1</v>
      </c>
      <c r="H21" s="7"/>
      <c r="I21" s="5"/>
      <c r="J21" s="7">
        <v>45113</v>
      </c>
      <c r="K21" s="7">
        <v>45117</v>
      </c>
      <c r="L21" s="5">
        <v>7870011688</v>
      </c>
      <c r="M21" s="5">
        <v>9272419999</v>
      </c>
      <c r="N21" s="5">
        <v>0</v>
      </c>
      <c r="O21" s="5">
        <v>1</v>
      </c>
      <c r="P21" s="5">
        <v>1</v>
      </c>
      <c r="Q21" s="5">
        <v>2</v>
      </c>
      <c r="R21" s="5">
        <v>2</v>
      </c>
      <c r="S21" s="5">
        <v>2</v>
      </c>
      <c r="T21" s="5">
        <v>2</v>
      </c>
      <c r="U21" s="5">
        <v>2</v>
      </c>
      <c r="V21" s="5">
        <v>2</v>
      </c>
      <c r="W21" s="5">
        <v>2</v>
      </c>
      <c r="X21" s="5"/>
      <c r="Y21" s="5">
        <v>14.4</v>
      </c>
      <c r="Z21" s="5">
        <v>41.9</v>
      </c>
      <c r="AA21" s="5">
        <v>87.3</v>
      </c>
      <c r="AB21" s="5">
        <v>8.66</v>
      </c>
      <c r="AC21" s="5"/>
      <c r="AD21" s="5">
        <v>173</v>
      </c>
      <c r="AE21" s="5">
        <v>125.8</v>
      </c>
      <c r="AF21" s="5">
        <v>35</v>
      </c>
      <c r="AG21" s="5"/>
      <c r="AH21" s="5">
        <v>61</v>
      </c>
      <c r="AI21" s="5">
        <v>716</v>
      </c>
      <c r="AJ21" s="5"/>
      <c r="AK21" s="5"/>
      <c r="AL21" s="5" t="s">
        <v>114</v>
      </c>
      <c r="AM21" s="5" t="s">
        <v>115</v>
      </c>
      <c r="AN21" s="5"/>
      <c r="AO21" s="5"/>
      <c r="AP21" s="5"/>
      <c r="AQ21" s="5"/>
      <c r="AR21" s="5"/>
      <c r="AS21" s="5"/>
      <c r="AT21" s="5"/>
      <c r="AU21" s="5">
        <v>1</v>
      </c>
      <c r="AV21" s="5">
        <v>1</v>
      </c>
      <c r="AW21" s="5">
        <v>2</v>
      </c>
      <c r="AX21" s="5">
        <v>4</v>
      </c>
      <c r="AY21" s="5">
        <v>8</v>
      </c>
      <c r="AZ21" s="5">
        <v>2</v>
      </c>
      <c r="BA21" s="5">
        <v>2</v>
      </c>
      <c r="BB21" s="5">
        <v>1</v>
      </c>
      <c r="BC21" s="5">
        <v>1</v>
      </c>
      <c r="BD21" s="5">
        <v>85</v>
      </c>
      <c r="BE21" s="5">
        <v>0</v>
      </c>
      <c r="BF21" s="5">
        <v>0</v>
      </c>
      <c r="BG21" s="5">
        <v>1</v>
      </c>
      <c r="BH21" s="5">
        <v>2</v>
      </c>
      <c r="BI21" s="5">
        <v>1</v>
      </c>
      <c r="BJ21" s="5">
        <v>1</v>
      </c>
      <c r="BK21" s="5">
        <v>0</v>
      </c>
      <c r="BL21" s="5">
        <v>1</v>
      </c>
      <c r="BM21" s="5">
        <v>2</v>
      </c>
      <c r="BN21" s="5">
        <v>2</v>
      </c>
      <c r="BO21" s="5">
        <v>2</v>
      </c>
      <c r="BP21" s="5">
        <v>1</v>
      </c>
      <c r="BQ21" s="5">
        <v>1</v>
      </c>
      <c r="BR21" s="5">
        <v>1</v>
      </c>
      <c r="BS21" s="5">
        <v>15</v>
      </c>
      <c r="BT21" s="5">
        <v>1</v>
      </c>
      <c r="BU21" s="5">
        <v>0</v>
      </c>
      <c r="BV21" s="5"/>
    </row>
    <row r="22" spans="1:74" x14ac:dyDescent="0.25">
      <c r="A22" s="5" t="s">
        <v>327</v>
      </c>
      <c r="B22" s="5" t="s">
        <v>716</v>
      </c>
      <c r="C22" s="5">
        <v>1</v>
      </c>
      <c r="D22" s="5">
        <v>4.4556899999999997</v>
      </c>
      <c r="E22" s="6">
        <v>151007079</v>
      </c>
      <c r="F22" s="5">
        <v>44</v>
      </c>
      <c r="G22" s="5">
        <v>2</v>
      </c>
      <c r="H22" s="7">
        <v>45119</v>
      </c>
      <c r="I22" s="11">
        <v>0.375</v>
      </c>
      <c r="J22" s="7">
        <v>45124</v>
      </c>
      <c r="K22" s="7">
        <v>45125</v>
      </c>
      <c r="L22" s="5">
        <v>9372311404</v>
      </c>
      <c r="M22" s="5"/>
      <c r="N22" s="5">
        <v>2</v>
      </c>
      <c r="O22" s="5">
        <v>1</v>
      </c>
      <c r="P22" s="5">
        <v>1</v>
      </c>
      <c r="Q22" s="5">
        <v>2</v>
      </c>
      <c r="R22" s="5">
        <v>2</v>
      </c>
      <c r="S22" s="5">
        <v>2</v>
      </c>
      <c r="T22" s="5">
        <v>2</v>
      </c>
      <c r="U22" s="5">
        <v>2</v>
      </c>
      <c r="V22" s="5">
        <v>2</v>
      </c>
      <c r="W22" s="5">
        <v>2</v>
      </c>
      <c r="X22" s="5" t="s">
        <v>328</v>
      </c>
      <c r="Y22" s="5">
        <v>12.7</v>
      </c>
      <c r="Z22" s="5">
        <v>39.5</v>
      </c>
      <c r="AA22" s="5">
        <v>81.900000000000006</v>
      </c>
      <c r="AB22" s="5">
        <v>5.82</v>
      </c>
      <c r="AC22" s="5">
        <v>9.6999999999999993</v>
      </c>
      <c r="AD22" s="5">
        <v>136</v>
      </c>
      <c r="AE22" s="5">
        <v>76</v>
      </c>
      <c r="AF22" s="5">
        <v>27</v>
      </c>
      <c r="AG22" s="5">
        <v>33</v>
      </c>
      <c r="AH22" s="5">
        <v>165</v>
      </c>
      <c r="AI22" s="5">
        <v>2000</v>
      </c>
      <c r="AJ22" s="5"/>
      <c r="AK22" s="5"/>
      <c r="AL22" s="5" t="s">
        <v>329</v>
      </c>
      <c r="AM22" s="5" t="s">
        <v>330</v>
      </c>
      <c r="AN22" s="5"/>
      <c r="AO22" s="5"/>
      <c r="AP22" s="5"/>
      <c r="AQ22" s="5"/>
      <c r="AR22" s="5"/>
      <c r="AS22" s="5"/>
      <c r="AT22" s="5"/>
      <c r="AU22" s="5"/>
      <c r="AV22" s="5"/>
      <c r="AW22" s="5"/>
      <c r="AX22" s="5"/>
      <c r="AY22" s="5"/>
      <c r="AZ22" s="5"/>
      <c r="BA22" s="5"/>
      <c r="BB22" s="5">
        <v>1</v>
      </c>
      <c r="BC22" s="5">
        <v>1</v>
      </c>
      <c r="BD22" s="5">
        <v>90</v>
      </c>
      <c r="BE22" s="5">
        <v>1</v>
      </c>
      <c r="BF22" s="5">
        <v>2</v>
      </c>
      <c r="BG22" s="5">
        <v>2</v>
      </c>
      <c r="BH22" s="5">
        <v>1</v>
      </c>
      <c r="BI22" s="5">
        <v>1</v>
      </c>
      <c r="BJ22" s="5">
        <v>1</v>
      </c>
      <c r="BK22" s="5">
        <v>1</v>
      </c>
      <c r="BL22" s="5">
        <v>1</v>
      </c>
      <c r="BM22" s="5">
        <v>2</v>
      </c>
      <c r="BN22" s="5">
        <v>2</v>
      </c>
      <c r="BO22" s="5">
        <v>2</v>
      </c>
      <c r="BP22" s="5">
        <v>1</v>
      </c>
      <c r="BQ22" s="5">
        <v>1</v>
      </c>
      <c r="BR22" s="5">
        <v>1</v>
      </c>
      <c r="BS22" s="5">
        <v>19</v>
      </c>
      <c r="BT22" s="5">
        <v>1</v>
      </c>
      <c r="BU22" s="5">
        <v>0</v>
      </c>
      <c r="BV22" s="5"/>
    </row>
    <row r="23" spans="1:74" x14ac:dyDescent="0.25">
      <c r="A23" s="5" t="s">
        <v>439</v>
      </c>
      <c r="B23" s="5" t="s">
        <v>716</v>
      </c>
      <c r="C23" s="5">
        <v>1</v>
      </c>
      <c r="D23" s="5">
        <v>0.95894199999999996</v>
      </c>
      <c r="E23" s="6">
        <v>130403752</v>
      </c>
      <c r="F23" s="5">
        <v>75</v>
      </c>
      <c r="G23" s="5">
        <v>1</v>
      </c>
      <c r="H23" s="7">
        <v>45125</v>
      </c>
      <c r="I23" s="11">
        <v>0.66666666666666663</v>
      </c>
      <c r="J23" s="7">
        <v>45125</v>
      </c>
      <c r="K23" s="7">
        <v>45132</v>
      </c>
      <c r="L23" s="5">
        <v>8421492004</v>
      </c>
      <c r="M23" s="5"/>
      <c r="N23" s="5">
        <v>6</v>
      </c>
      <c r="O23" s="5">
        <v>2</v>
      </c>
      <c r="P23" s="5">
        <v>2</v>
      </c>
      <c r="Q23" s="5">
        <v>1</v>
      </c>
      <c r="R23" s="5">
        <v>1</v>
      </c>
      <c r="S23" s="5">
        <v>1</v>
      </c>
      <c r="T23" s="5">
        <v>2</v>
      </c>
      <c r="U23" s="5">
        <v>2</v>
      </c>
      <c r="V23" s="5">
        <v>2</v>
      </c>
      <c r="W23" s="5">
        <v>2</v>
      </c>
      <c r="X23" s="5" t="s">
        <v>440</v>
      </c>
      <c r="Y23" s="5">
        <v>13</v>
      </c>
      <c r="Z23" s="5">
        <v>39.6</v>
      </c>
      <c r="AA23" s="5">
        <v>89.2</v>
      </c>
      <c r="AB23" s="5">
        <v>39.6</v>
      </c>
      <c r="AC23" s="5">
        <v>5.7</v>
      </c>
      <c r="AD23" s="5"/>
      <c r="AE23" s="5"/>
      <c r="AF23" s="5"/>
      <c r="AG23" s="5"/>
      <c r="AH23" s="5"/>
      <c r="AI23" s="5">
        <v>401</v>
      </c>
      <c r="AJ23" s="5" t="s">
        <v>441</v>
      </c>
      <c r="AK23" s="5"/>
      <c r="AL23" s="5" t="s">
        <v>442</v>
      </c>
      <c r="AM23" s="5" t="s">
        <v>443</v>
      </c>
      <c r="AN23" s="5"/>
      <c r="AO23" s="5"/>
      <c r="AP23" s="5"/>
      <c r="AQ23" s="5"/>
      <c r="AR23" s="5"/>
      <c r="AS23" s="5"/>
      <c r="AT23" s="5"/>
      <c r="AU23" s="5">
        <v>1</v>
      </c>
      <c r="AV23" s="5">
        <v>2</v>
      </c>
      <c r="AW23" s="5">
        <v>2</v>
      </c>
      <c r="AX23" s="5">
        <v>4</v>
      </c>
      <c r="AY23" s="5">
        <v>2</v>
      </c>
      <c r="AZ23" s="5">
        <v>2</v>
      </c>
      <c r="BA23" s="5">
        <v>2</v>
      </c>
      <c r="BB23" s="5">
        <v>4</v>
      </c>
      <c r="BC23" s="5">
        <v>2</v>
      </c>
      <c r="BD23" s="5">
        <v>20</v>
      </c>
      <c r="BE23" s="5">
        <v>1</v>
      </c>
      <c r="BF23" s="5">
        <v>2</v>
      </c>
      <c r="BG23" s="5">
        <v>2</v>
      </c>
      <c r="BH23" s="5">
        <v>2</v>
      </c>
      <c r="BI23" s="5">
        <v>1</v>
      </c>
      <c r="BJ23" s="5">
        <v>1</v>
      </c>
      <c r="BK23" s="5">
        <v>1</v>
      </c>
      <c r="BL23" s="5">
        <v>1</v>
      </c>
      <c r="BM23" s="5">
        <v>2</v>
      </c>
      <c r="BN23" s="5">
        <v>2</v>
      </c>
      <c r="BO23" s="5">
        <v>2</v>
      </c>
      <c r="BP23" s="5">
        <v>1</v>
      </c>
      <c r="BQ23" s="5">
        <v>1</v>
      </c>
      <c r="BR23" s="5">
        <v>1</v>
      </c>
      <c r="BS23" s="5">
        <v>20</v>
      </c>
      <c r="BT23" s="5">
        <v>1</v>
      </c>
      <c r="BU23" s="5">
        <v>1</v>
      </c>
      <c r="BV23" s="5" t="s">
        <v>444</v>
      </c>
    </row>
    <row r="24" spans="1:74" x14ac:dyDescent="0.25">
      <c r="A24" s="5" t="s">
        <v>80</v>
      </c>
      <c r="B24" s="5" t="s">
        <v>716</v>
      </c>
      <c r="C24" s="5">
        <v>1</v>
      </c>
      <c r="D24" s="5">
        <v>65.188599999999994</v>
      </c>
      <c r="E24" s="6">
        <v>230703109</v>
      </c>
      <c r="F24" s="5">
        <v>58</v>
      </c>
      <c r="G24" s="5">
        <v>1</v>
      </c>
      <c r="H24" s="7">
        <v>45130</v>
      </c>
      <c r="I24" s="11">
        <v>0.58333333333333337</v>
      </c>
      <c r="J24" s="7">
        <v>45130</v>
      </c>
      <c r="K24" s="7">
        <v>45141</v>
      </c>
      <c r="L24" s="5">
        <v>7276991493</v>
      </c>
      <c r="M24" s="5"/>
      <c r="N24" s="5">
        <v>6</v>
      </c>
      <c r="O24" s="5">
        <v>1</v>
      </c>
      <c r="P24" s="5">
        <v>1</v>
      </c>
      <c r="Q24" s="5">
        <v>2</v>
      </c>
      <c r="R24" s="5">
        <v>2</v>
      </c>
      <c r="S24" s="5">
        <v>2</v>
      </c>
      <c r="T24" s="5">
        <v>2</v>
      </c>
      <c r="U24" s="5">
        <v>2</v>
      </c>
      <c r="V24" s="5">
        <v>2</v>
      </c>
      <c r="W24" s="5">
        <v>2</v>
      </c>
      <c r="X24" s="5" t="s">
        <v>81</v>
      </c>
      <c r="Y24" s="5">
        <v>14.9</v>
      </c>
      <c r="Z24" s="5"/>
      <c r="AA24" s="5"/>
      <c r="AB24" s="5">
        <v>26.58</v>
      </c>
      <c r="AC24" s="5">
        <v>11.2</v>
      </c>
      <c r="AD24" s="5">
        <v>177</v>
      </c>
      <c r="AE24" s="5">
        <v>118.8</v>
      </c>
      <c r="AF24" s="5">
        <v>50</v>
      </c>
      <c r="AG24" s="5">
        <v>8.1999999999999993</v>
      </c>
      <c r="AH24" s="5">
        <v>41</v>
      </c>
      <c r="AI24" s="5">
        <v>267</v>
      </c>
      <c r="AJ24" s="5"/>
      <c r="AK24" s="5"/>
      <c r="AL24" s="5" t="s">
        <v>82</v>
      </c>
      <c r="AM24" s="5" t="s">
        <v>83</v>
      </c>
      <c r="AN24" s="5"/>
      <c r="AO24" s="5"/>
      <c r="AP24" s="5"/>
      <c r="AQ24" s="5"/>
      <c r="AR24" s="5"/>
      <c r="AS24" s="5"/>
      <c r="AT24" s="5"/>
      <c r="AU24" s="5">
        <v>1</v>
      </c>
      <c r="AV24" s="5">
        <v>1</v>
      </c>
      <c r="AW24" s="5">
        <v>2</v>
      </c>
      <c r="AX24" s="5"/>
      <c r="AY24" s="5"/>
      <c r="AZ24" s="5"/>
      <c r="BA24" s="5"/>
      <c r="BB24" s="5">
        <v>1</v>
      </c>
      <c r="BC24" s="5">
        <v>1</v>
      </c>
      <c r="BD24" s="5">
        <v>100</v>
      </c>
      <c r="BE24" s="5">
        <v>1</v>
      </c>
      <c r="BF24" s="5">
        <v>2</v>
      </c>
      <c r="BG24" s="5">
        <v>2</v>
      </c>
      <c r="BH24" s="5">
        <v>2</v>
      </c>
      <c r="BI24" s="5">
        <v>1</v>
      </c>
      <c r="BJ24" s="5">
        <v>1</v>
      </c>
      <c r="BK24" s="5">
        <v>1</v>
      </c>
      <c r="BL24" s="5">
        <v>0</v>
      </c>
      <c r="BM24" s="5">
        <v>0</v>
      </c>
      <c r="BN24" s="5">
        <v>0</v>
      </c>
      <c r="BO24" s="5">
        <v>0</v>
      </c>
      <c r="BP24" s="5">
        <v>0</v>
      </c>
      <c r="BQ24" s="5">
        <v>0</v>
      </c>
      <c r="BR24" s="5">
        <v>1</v>
      </c>
      <c r="BS24" s="5">
        <v>11</v>
      </c>
      <c r="BT24" s="5">
        <v>0</v>
      </c>
      <c r="BU24" s="5">
        <v>1</v>
      </c>
      <c r="BV24" s="5"/>
    </row>
    <row r="25" spans="1:74" x14ac:dyDescent="0.25">
      <c r="A25" s="12" t="s">
        <v>337</v>
      </c>
      <c r="B25" s="5" t="s">
        <v>716</v>
      </c>
      <c r="C25" s="5">
        <v>1</v>
      </c>
      <c r="D25" s="12">
        <v>8.0977300000000003</v>
      </c>
      <c r="E25" s="13">
        <v>230704454</v>
      </c>
      <c r="F25" s="12">
        <v>45</v>
      </c>
      <c r="G25" s="12">
        <v>1</v>
      </c>
      <c r="H25" s="14">
        <v>45135</v>
      </c>
      <c r="I25" s="16">
        <v>0.47916666666666669</v>
      </c>
      <c r="J25" s="14">
        <v>45135</v>
      </c>
      <c r="K25" s="14">
        <v>45136</v>
      </c>
      <c r="L25" s="12">
        <v>7888249757</v>
      </c>
      <c r="M25" s="12"/>
      <c r="N25" s="12">
        <v>4</v>
      </c>
      <c r="O25" s="12">
        <v>2</v>
      </c>
      <c r="P25" s="12">
        <v>2</v>
      </c>
      <c r="Q25" s="12">
        <v>2</v>
      </c>
      <c r="R25" s="12">
        <v>2</v>
      </c>
      <c r="S25" s="12">
        <v>2</v>
      </c>
      <c r="T25" s="12">
        <v>2</v>
      </c>
      <c r="U25" s="12">
        <v>2</v>
      </c>
      <c r="V25" s="12">
        <v>2</v>
      </c>
      <c r="W25" s="12">
        <v>2</v>
      </c>
      <c r="X25" s="12"/>
      <c r="Y25" s="12">
        <v>14.2</v>
      </c>
      <c r="Z25" s="12">
        <v>42.6</v>
      </c>
      <c r="AA25" s="12">
        <v>88.2</v>
      </c>
      <c r="AB25" s="12">
        <v>14.52</v>
      </c>
      <c r="AC25" s="12">
        <v>6.5</v>
      </c>
      <c r="AD25" s="12">
        <v>216</v>
      </c>
      <c r="AE25" s="12">
        <v>123.2</v>
      </c>
      <c r="AF25" s="12">
        <v>40</v>
      </c>
      <c r="AG25" s="12">
        <v>52.8</v>
      </c>
      <c r="AH25" s="12">
        <v>264</v>
      </c>
      <c r="AI25" s="12"/>
      <c r="AJ25" s="12"/>
      <c r="AK25" s="12"/>
      <c r="AL25" s="12" t="s">
        <v>338</v>
      </c>
      <c r="AM25" s="12" t="s">
        <v>326</v>
      </c>
      <c r="AN25" s="12"/>
      <c r="AO25" s="12"/>
      <c r="AP25" s="12"/>
      <c r="AQ25" s="12"/>
      <c r="AR25" s="12"/>
      <c r="AS25" s="12"/>
      <c r="AT25" s="12"/>
      <c r="AU25" s="12">
        <v>1</v>
      </c>
      <c r="AV25" s="12"/>
      <c r="AW25" s="12">
        <v>1</v>
      </c>
      <c r="AX25" s="12">
        <v>2</v>
      </c>
      <c r="AY25" s="12"/>
      <c r="AZ25" s="12"/>
      <c r="BA25" s="12"/>
      <c r="BB25" s="12">
        <v>1</v>
      </c>
      <c r="BC25" s="5">
        <v>1</v>
      </c>
      <c r="BD25" s="12">
        <v>95</v>
      </c>
      <c r="BE25" s="12">
        <v>1</v>
      </c>
      <c r="BF25" s="12">
        <v>2</v>
      </c>
      <c r="BG25" s="12">
        <v>2</v>
      </c>
      <c r="BH25" s="12">
        <v>2</v>
      </c>
      <c r="BI25" s="12">
        <v>1</v>
      </c>
      <c r="BJ25" s="12">
        <v>1</v>
      </c>
      <c r="BK25" s="12">
        <v>1</v>
      </c>
      <c r="BL25" s="12">
        <v>1</v>
      </c>
      <c r="BM25" s="12">
        <v>1</v>
      </c>
      <c r="BN25" s="12">
        <v>2</v>
      </c>
      <c r="BO25" s="12">
        <v>2</v>
      </c>
      <c r="BP25" s="12">
        <v>1</v>
      </c>
      <c r="BQ25" s="12">
        <v>1</v>
      </c>
      <c r="BR25" s="12">
        <v>1</v>
      </c>
      <c r="BS25" s="12">
        <v>19</v>
      </c>
      <c r="BT25" s="12">
        <v>1</v>
      </c>
      <c r="BU25" s="12">
        <v>1</v>
      </c>
      <c r="BV25" s="12"/>
    </row>
    <row r="26" spans="1:74" x14ac:dyDescent="0.25">
      <c r="A26" s="12" t="s">
        <v>198</v>
      </c>
      <c r="B26" s="5" t="s">
        <v>716</v>
      </c>
      <c r="C26" s="5">
        <v>1</v>
      </c>
      <c r="D26" s="12">
        <v>14.3163</v>
      </c>
      <c r="E26" s="13">
        <v>230704763</v>
      </c>
      <c r="F26" s="12">
        <v>50</v>
      </c>
      <c r="G26" s="12">
        <v>1</v>
      </c>
      <c r="H26" s="14">
        <v>45135</v>
      </c>
      <c r="I26" s="16">
        <v>0.83333333333333337</v>
      </c>
      <c r="J26" s="14">
        <v>45136</v>
      </c>
      <c r="K26" s="14">
        <v>45141</v>
      </c>
      <c r="L26" s="12">
        <v>9665061962</v>
      </c>
      <c r="M26" s="12"/>
      <c r="N26" s="12">
        <v>6</v>
      </c>
      <c r="O26" s="12">
        <v>1</v>
      </c>
      <c r="P26" s="12">
        <v>2</v>
      </c>
      <c r="Q26" s="12">
        <v>2</v>
      </c>
      <c r="R26" s="12">
        <v>2</v>
      </c>
      <c r="S26" s="12">
        <v>2</v>
      </c>
      <c r="T26" s="12">
        <v>2</v>
      </c>
      <c r="U26" s="12">
        <v>2</v>
      </c>
      <c r="V26" s="12">
        <v>2</v>
      </c>
      <c r="W26" s="12">
        <v>2</v>
      </c>
      <c r="X26" s="12" t="s">
        <v>199</v>
      </c>
      <c r="Y26" s="12">
        <v>14.5</v>
      </c>
      <c r="Z26" s="12">
        <v>43.3</v>
      </c>
      <c r="AA26" s="12">
        <v>97.9</v>
      </c>
      <c r="AB26" s="12">
        <v>109</v>
      </c>
      <c r="AC26" s="12">
        <v>5.6</v>
      </c>
      <c r="AD26" s="12">
        <v>183</v>
      </c>
      <c r="AE26" s="12">
        <v>93</v>
      </c>
      <c r="AF26" s="12">
        <v>35</v>
      </c>
      <c r="AG26" s="12">
        <v>54</v>
      </c>
      <c r="AH26" s="12">
        <v>274</v>
      </c>
      <c r="AI26" s="12">
        <v>148</v>
      </c>
      <c r="AJ26" s="12"/>
      <c r="AK26" s="12"/>
      <c r="AL26" s="12" t="s">
        <v>200</v>
      </c>
      <c r="AM26" s="12" t="s">
        <v>201</v>
      </c>
      <c r="AN26" s="12"/>
      <c r="AO26" s="12"/>
      <c r="AP26" s="12"/>
      <c r="AQ26" s="12"/>
      <c r="AR26" s="12"/>
      <c r="AS26" s="12"/>
      <c r="AT26" s="12"/>
      <c r="AU26" s="12">
        <v>1</v>
      </c>
      <c r="AV26" s="12">
        <v>2</v>
      </c>
      <c r="AW26" s="12">
        <v>1</v>
      </c>
      <c r="AX26" s="12">
        <v>1</v>
      </c>
      <c r="AY26" s="12"/>
      <c r="AZ26" s="12"/>
      <c r="BA26" s="12"/>
      <c r="BB26" s="12">
        <v>0</v>
      </c>
      <c r="BC26" s="5">
        <v>1</v>
      </c>
      <c r="BD26" s="12">
        <v>100</v>
      </c>
      <c r="BE26" s="12">
        <v>1</v>
      </c>
      <c r="BF26" s="12">
        <v>2</v>
      </c>
      <c r="BG26" s="12">
        <v>2</v>
      </c>
      <c r="BH26" s="12">
        <v>2</v>
      </c>
      <c r="BI26" s="12">
        <v>1</v>
      </c>
      <c r="BJ26" s="12">
        <v>0</v>
      </c>
      <c r="BK26" s="12">
        <v>1</v>
      </c>
      <c r="BL26" s="12">
        <v>1</v>
      </c>
      <c r="BM26" s="12">
        <v>2</v>
      </c>
      <c r="BN26" s="12">
        <v>2</v>
      </c>
      <c r="BO26" s="12">
        <v>2</v>
      </c>
      <c r="BP26" s="12">
        <v>1</v>
      </c>
      <c r="BQ26" s="12">
        <v>1</v>
      </c>
      <c r="BR26" s="12">
        <v>1</v>
      </c>
      <c r="BS26" s="12">
        <v>18</v>
      </c>
      <c r="BT26" s="12">
        <v>1</v>
      </c>
      <c r="BU26" s="12">
        <v>1</v>
      </c>
      <c r="BV26" s="12"/>
    </row>
    <row r="27" spans="1:74" x14ac:dyDescent="0.25">
      <c r="A27" s="5" t="s">
        <v>398</v>
      </c>
      <c r="B27" s="5" t="s">
        <v>716</v>
      </c>
      <c r="C27" s="5">
        <v>1</v>
      </c>
      <c r="D27" s="5">
        <v>6.5866699999999998</v>
      </c>
      <c r="E27" s="6">
        <v>210404526</v>
      </c>
      <c r="F27" s="5">
        <v>66</v>
      </c>
      <c r="G27" s="5">
        <v>1</v>
      </c>
      <c r="H27" s="7">
        <v>45148</v>
      </c>
      <c r="I27" s="11">
        <v>0.95833333333333337</v>
      </c>
      <c r="J27" s="7">
        <v>45150</v>
      </c>
      <c r="K27" s="7">
        <v>45152</v>
      </c>
      <c r="L27" s="5">
        <v>7350328794</v>
      </c>
      <c r="M27" s="5"/>
      <c r="N27" s="5">
        <v>1</v>
      </c>
      <c r="O27" s="5">
        <v>1</v>
      </c>
      <c r="P27" s="5">
        <v>1</v>
      </c>
      <c r="Q27" s="5">
        <v>2</v>
      </c>
      <c r="R27" s="5">
        <v>2</v>
      </c>
      <c r="S27" s="5">
        <v>2</v>
      </c>
      <c r="T27" s="5">
        <v>2</v>
      </c>
      <c r="U27" s="5">
        <v>2</v>
      </c>
      <c r="V27" s="5">
        <v>2</v>
      </c>
      <c r="W27" s="5">
        <v>2</v>
      </c>
      <c r="X27" s="5"/>
      <c r="Y27" s="5">
        <v>11</v>
      </c>
      <c r="Z27" s="5">
        <v>33.799999999999997</v>
      </c>
      <c r="AA27" s="5">
        <v>82</v>
      </c>
      <c r="AB27" s="5"/>
      <c r="AC27" s="5">
        <v>9.8000000000000007</v>
      </c>
      <c r="AD27" s="5">
        <v>169</v>
      </c>
      <c r="AE27" s="5">
        <v>124.4</v>
      </c>
      <c r="AF27" s="5">
        <v>21</v>
      </c>
      <c r="AG27" s="5">
        <v>23.6</v>
      </c>
      <c r="AH27" s="5">
        <v>118</v>
      </c>
      <c r="AI27" s="5">
        <v>148</v>
      </c>
      <c r="AJ27" s="5"/>
      <c r="AK27" s="5"/>
      <c r="AL27" s="5" t="s">
        <v>399</v>
      </c>
      <c r="AM27" s="5" t="s">
        <v>400</v>
      </c>
      <c r="AN27" s="5"/>
      <c r="AO27" s="5"/>
      <c r="AP27" s="5"/>
      <c r="AQ27" s="5"/>
      <c r="AR27" s="5"/>
      <c r="AS27" s="5"/>
      <c r="AT27" s="5"/>
      <c r="AU27" s="5">
        <v>1</v>
      </c>
      <c r="AV27" s="5">
        <v>1</v>
      </c>
      <c r="AW27" s="5"/>
      <c r="AX27" s="5"/>
      <c r="AY27" s="5"/>
      <c r="AZ27" s="5"/>
      <c r="BA27" s="5"/>
      <c r="BB27" s="5">
        <v>1</v>
      </c>
      <c r="BC27" s="5">
        <v>1</v>
      </c>
      <c r="BD27" s="5">
        <v>90</v>
      </c>
      <c r="BE27" s="5">
        <v>1</v>
      </c>
      <c r="BF27" s="5">
        <v>2</v>
      </c>
      <c r="BG27" s="5">
        <v>2</v>
      </c>
      <c r="BH27" s="5">
        <v>2</v>
      </c>
      <c r="BI27" s="5">
        <v>1</v>
      </c>
      <c r="BJ27" s="5">
        <v>1</v>
      </c>
      <c r="BK27" s="5">
        <v>1</v>
      </c>
      <c r="BL27" s="5">
        <v>1</v>
      </c>
      <c r="BM27" s="5">
        <v>2</v>
      </c>
      <c r="BN27" s="5">
        <v>2</v>
      </c>
      <c r="BO27" s="5">
        <v>2</v>
      </c>
      <c r="BP27" s="5">
        <v>1</v>
      </c>
      <c r="BQ27" s="5">
        <v>1</v>
      </c>
      <c r="BR27" s="5">
        <v>1</v>
      </c>
      <c r="BS27" s="5">
        <v>20</v>
      </c>
      <c r="BT27" s="5">
        <v>1</v>
      </c>
      <c r="BU27" s="5">
        <v>1</v>
      </c>
      <c r="BV27" s="5"/>
    </row>
    <row r="28" spans="1:74" x14ac:dyDescent="0.25">
      <c r="A28" s="5" t="s">
        <v>116</v>
      </c>
      <c r="B28" s="5" t="s">
        <v>716</v>
      </c>
      <c r="C28" s="5">
        <v>1</v>
      </c>
      <c r="D28" s="5">
        <v>86.009299999999996</v>
      </c>
      <c r="E28" s="6">
        <v>220801803</v>
      </c>
      <c r="F28" s="5">
        <v>75</v>
      </c>
      <c r="G28" s="5">
        <v>2</v>
      </c>
      <c r="H28" s="7">
        <v>45151</v>
      </c>
      <c r="I28" s="11">
        <v>0.5625</v>
      </c>
      <c r="J28" s="7">
        <v>45151</v>
      </c>
      <c r="K28" s="7"/>
      <c r="L28" s="5">
        <v>9421802120</v>
      </c>
      <c r="M28" s="5"/>
      <c r="N28" s="5">
        <v>11</v>
      </c>
      <c r="O28" s="5">
        <v>2</v>
      </c>
      <c r="P28" s="5">
        <v>2</v>
      </c>
      <c r="Q28" s="5">
        <v>2</v>
      </c>
      <c r="R28" s="5">
        <v>2</v>
      </c>
      <c r="S28" s="5">
        <v>2</v>
      </c>
      <c r="T28" s="5">
        <v>2</v>
      </c>
      <c r="U28" s="5">
        <v>2</v>
      </c>
      <c r="V28" s="5">
        <v>2</v>
      </c>
      <c r="W28" s="5">
        <v>2</v>
      </c>
      <c r="X28" s="5"/>
      <c r="Y28" s="5">
        <v>12.3</v>
      </c>
      <c r="Z28" s="5"/>
      <c r="AA28" s="5"/>
      <c r="AB28" s="5">
        <v>20.72</v>
      </c>
      <c r="AC28" s="5"/>
      <c r="AD28" s="5">
        <v>236</v>
      </c>
      <c r="AE28" s="5">
        <v>153.4</v>
      </c>
      <c r="AF28" s="5">
        <v>37</v>
      </c>
      <c r="AG28" s="5">
        <v>45</v>
      </c>
      <c r="AH28" s="5">
        <v>228</v>
      </c>
      <c r="AI28" s="5"/>
      <c r="AJ28" s="5"/>
      <c r="AK28" s="5"/>
      <c r="AL28" s="5" t="s">
        <v>117</v>
      </c>
      <c r="AM28" s="5" t="s">
        <v>118</v>
      </c>
      <c r="AN28" s="5"/>
      <c r="AO28" s="5"/>
      <c r="AP28" s="5"/>
      <c r="AQ28" s="5"/>
      <c r="AR28" s="5"/>
      <c r="AS28" s="5"/>
      <c r="AT28" s="5"/>
      <c r="AU28" s="5">
        <v>1</v>
      </c>
      <c r="AV28" s="5">
        <v>1</v>
      </c>
      <c r="AW28" s="5">
        <v>2</v>
      </c>
      <c r="AX28" s="5"/>
      <c r="AY28" s="5"/>
      <c r="AZ28" s="5"/>
      <c r="BA28" s="5"/>
      <c r="BB28" s="5">
        <v>6</v>
      </c>
      <c r="BC28" s="5">
        <v>2</v>
      </c>
      <c r="BD28" s="5">
        <v>0</v>
      </c>
      <c r="BE28" s="5">
        <v>0</v>
      </c>
      <c r="BF28" s="5">
        <v>2</v>
      </c>
      <c r="BG28" s="5">
        <v>2</v>
      </c>
      <c r="BH28" s="5">
        <v>0</v>
      </c>
      <c r="BI28" s="5">
        <v>0</v>
      </c>
      <c r="BJ28" s="5">
        <v>0</v>
      </c>
      <c r="BK28" s="5">
        <v>1</v>
      </c>
      <c r="BL28" s="5">
        <v>1</v>
      </c>
      <c r="BM28" s="5">
        <v>2</v>
      </c>
      <c r="BN28" s="5">
        <v>2</v>
      </c>
      <c r="BO28" s="5">
        <v>2</v>
      </c>
      <c r="BP28" s="5">
        <v>1</v>
      </c>
      <c r="BQ28" s="5">
        <v>1</v>
      </c>
      <c r="BR28" s="5">
        <v>1</v>
      </c>
      <c r="BS28" s="5">
        <v>15</v>
      </c>
      <c r="BT28" s="5">
        <v>1</v>
      </c>
      <c r="BU28" s="5">
        <v>0</v>
      </c>
      <c r="BV28" s="5"/>
    </row>
    <row r="29" spans="1:74" x14ac:dyDescent="0.25">
      <c r="A29" s="5" t="s">
        <v>313</v>
      </c>
      <c r="B29" s="5" t="s">
        <v>716</v>
      </c>
      <c r="C29" s="5">
        <v>1</v>
      </c>
      <c r="D29" s="5">
        <v>43.568899999999999</v>
      </c>
      <c r="E29" s="6">
        <v>230802551</v>
      </c>
      <c r="F29" s="5">
        <v>75</v>
      </c>
      <c r="G29" s="5">
        <v>2</v>
      </c>
      <c r="H29" s="7">
        <v>45153</v>
      </c>
      <c r="I29" s="11">
        <v>0.375</v>
      </c>
      <c r="J29" s="7">
        <v>45155</v>
      </c>
      <c r="K29" s="7">
        <v>45163</v>
      </c>
      <c r="L29" s="5">
        <v>9604718659</v>
      </c>
      <c r="M29" s="5"/>
      <c r="N29" s="5">
        <v>9</v>
      </c>
      <c r="O29" s="5">
        <v>1</v>
      </c>
      <c r="P29" s="5">
        <v>1</v>
      </c>
      <c r="Q29" s="5">
        <v>2</v>
      </c>
      <c r="R29" s="5">
        <v>2</v>
      </c>
      <c r="S29" s="5">
        <v>1</v>
      </c>
      <c r="T29" s="5">
        <v>2</v>
      </c>
      <c r="U29" s="5">
        <v>2</v>
      </c>
      <c r="V29" s="5">
        <v>2</v>
      </c>
      <c r="W29" s="5">
        <v>2</v>
      </c>
      <c r="X29" s="5"/>
      <c r="Y29" s="5">
        <v>9</v>
      </c>
      <c r="Z29" s="5"/>
      <c r="AA29" s="5"/>
      <c r="AB29" s="5">
        <v>9.5299999999999994</v>
      </c>
      <c r="AC29" s="5">
        <v>10.1</v>
      </c>
      <c r="AD29" s="5">
        <v>171</v>
      </c>
      <c r="AE29" s="5">
        <v>102</v>
      </c>
      <c r="AF29" s="5">
        <v>39</v>
      </c>
      <c r="AG29" s="5">
        <v>22.6</v>
      </c>
      <c r="AH29" s="5">
        <v>113</v>
      </c>
      <c r="AI29" s="5">
        <v>2000</v>
      </c>
      <c r="AJ29" s="5" t="s">
        <v>314</v>
      </c>
      <c r="AK29" s="5"/>
      <c r="AL29" s="5" t="s">
        <v>315</v>
      </c>
      <c r="AM29" s="5"/>
      <c r="AN29" s="5"/>
      <c r="AO29" s="5">
        <v>7</v>
      </c>
      <c r="AP29" s="5"/>
      <c r="AQ29" s="5"/>
      <c r="AR29" s="5"/>
      <c r="AS29" s="5"/>
      <c r="AT29" s="5"/>
      <c r="AU29" s="5">
        <v>1</v>
      </c>
      <c r="AV29" s="5">
        <v>1</v>
      </c>
      <c r="AW29" s="5">
        <v>2</v>
      </c>
      <c r="AX29" s="5"/>
      <c r="AY29" s="5"/>
      <c r="AZ29" s="5"/>
      <c r="BA29" s="5"/>
      <c r="BB29" s="5">
        <v>0</v>
      </c>
      <c r="BC29" s="5">
        <v>1</v>
      </c>
      <c r="BD29" s="5">
        <v>100</v>
      </c>
      <c r="BE29" s="5">
        <v>1</v>
      </c>
      <c r="BF29" s="5">
        <v>2</v>
      </c>
      <c r="BG29" s="5">
        <v>2</v>
      </c>
      <c r="BH29" s="5">
        <v>1</v>
      </c>
      <c r="BI29" s="5">
        <v>1</v>
      </c>
      <c r="BJ29" s="5">
        <v>1</v>
      </c>
      <c r="BK29" s="5">
        <v>1</v>
      </c>
      <c r="BL29" s="5">
        <v>1</v>
      </c>
      <c r="BM29" s="5">
        <v>2</v>
      </c>
      <c r="BN29" s="5">
        <v>2</v>
      </c>
      <c r="BO29" s="5">
        <v>2</v>
      </c>
      <c r="BP29" s="5">
        <v>1</v>
      </c>
      <c r="BQ29" s="5">
        <v>1</v>
      </c>
      <c r="BR29" s="5">
        <v>1</v>
      </c>
      <c r="BS29" s="5">
        <v>19</v>
      </c>
      <c r="BT29" s="5">
        <v>1</v>
      </c>
      <c r="BU29" s="5">
        <v>1</v>
      </c>
      <c r="BV29" s="5" t="s">
        <v>316</v>
      </c>
    </row>
    <row r="30" spans="1:74" x14ac:dyDescent="0.25">
      <c r="A30" s="12" t="s">
        <v>193</v>
      </c>
      <c r="B30" s="5" t="s">
        <v>716</v>
      </c>
      <c r="C30" s="5">
        <v>1</v>
      </c>
      <c r="D30" s="12">
        <v>9.8848500000000001</v>
      </c>
      <c r="E30" s="13">
        <v>230000000000</v>
      </c>
      <c r="F30" s="12">
        <v>72</v>
      </c>
      <c r="G30" s="12">
        <v>1</v>
      </c>
      <c r="H30" s="14">
        <v>45156</v>
      </c>
      <c r="I30" s="16">
        <v>0.35416666666666669</v>
      </c>
      <c r="J30" s="14">
        <v>45156</v>
      </c>
      <c r="K30" s="14">
        <v>45159</v>
      </c>
      <c r="L30" s="12">
        <v>9890513032</v>
      </c>
      <c r="M30" s="12"/>
      <c r="N30" s="12">
        <v>2</v>
      </c>
      <c r="O30" s="12">
        <v>1</v>
      </c>
      <c r="P30" s="12">
        <v>2</v>
      </c>
      <c r="Q30" s="12">
        <v>2</v>
      </c>
      <c r="R30" s="12">
        <v>2</v>
      </c>
      <c r="S30" s="12">
        <v>2</v>
      </c>
      <c r="T30" s="12">
        <v>2</v>
      </c>
      <c r="U30" s="12">
        <v>2</v>
      </c>
      <c r="V30" s="12">
        <v>2</v>
      </c>
      <c r="W30" s="12">
        <v>2</v>
      </c>
      <c r="X30" s="12" t="s">
        <v>194</v>
      </c>
      <c r="Y30" s="12">
        <v>12.1</v>
      </c>
      <c r="Z30" s="12"/>
      <c r="AA30" s="12"/>
      <c r="AB30" s="12">
        <v>15.44</v>
      </c>
      <c r="AC30" s="12"/>
      <c r="AD30" s="12">
        <v>203</v>
      </c>
      <c r="AE30" s="12">
        <v>145.4</v>
      </c>
      <c r="AF30" s="12">
        <v>28</v>
      </c>
      <c r="AG30" s="12"/>
      <c r="AH30" s="12">
        <v>148</v>
      </c>
      <c r="AI30" s="12">
        <v>476</v>
      </c>
      <c r="AJ30" s="12"/>
      <c r="AK30" s="12"/>
      <c r="AL30" s="12" t="s">
        <v>195</v>
      </c>
      <c r="AM30" s="12" t="s">
        <v>196</v>
      </c>
      <c r="AN30" s="12"/>
      <c r="AO30" s="12"/>
      <c r="AP30" s="12"/>
      <c r="AQ30" s="12"/>
      <c r="AR30" s="12"/>
      <c r="AS30" s="12"/>
      <c r="AT30" s="12"/>
      <c r="AU30" s="12">
        <v>1</v>
      </c>
      <c r="AV30" s="12">
        <v>1</v>
      </c>
      <c r="AW30" s="12">
        <v>2</v>
      </c>
      <c r="AX30" s="12"/>
      <c r="AY30" s="12"/>
      <c r="AZ30" s="12"/>
      <c r="BA30" s="12"/>
      <c r="BB30" s="12">
        <v>0</v>
      </c>
      <c r="BC30" s="5">
        <v>1</v>
      </c>
      <c r="BD30" s="12">
        <v>100</v>
      </c>
      <c r="BE30" s="12">
        <v>1</v>
      </c>
      <c r="BF30" s="12">
        <v>1</v>
      </c>
      <c r="BG30" s="12">
        <v>2</v>
      </c>
      <c r="BH30" s="12">
        <v>2</v>
      </c>
      <c r="BI30" s="12">
        <v>1</v>
      </c>
      <c r="BJ30" s="12">
        <v>1</v>
      </c>
      <c r="BK30" s="12">
        <v>1</v>
      </c>
      <c r="BL30" s="12">
        <v>1</v>
      </c>
      <c r="BM30" s="12">
        <v>1</v>
      </c>
      <c r="BN30" s="12">
        <v>2</v>
      </c>
      <c r="BO30" s="12">
        <v>2</v>
      </c>
      <c r="BP30" s="12">
        <v>1</v>
      </c>
      <c r="BQ30" s="12">
        <v>1</v>
      </c>
      <c r="BR30" s="12">
        <v>1</v>
      </c>
      <c r="BS30" s="12">
        <v>18</v>
      </c>
      <c r="BT30" s="12">
        <v>1</v>
      </c>
      <c r="BU30" s="12">
        <v>1</v>
      </c>
      <c r="BV30" s="12" t="s">
        <v>197</v>
      </c>
    </row>
    <row r="31" spans="1:74" x14ac:dyDescent="0.25">
      <c r="A31" s="12" t="s">
        <v>323</v>
      </c>
      <c r="B31" s="5" t="s">
        <v>716</v>
      </c>
      <c r="C31" s="5">
        <v>1</v>
      </c>
      <c r="D31" s="12">
        <v>3.48706</v>
      </c>
      <c r="E31" s="13">
        <v>220403046</v>
      </c>
      <c r="F31" s="12">
        <v>75</v>
      </c>
      <c r="G31" s="12">
        <v>2</v>
      </c>
      <c r="H31" s="14">
        <v>45158</v>
      </c>
      <c r="I31" s="16">
        <v>0.40277777777777773</v>
      </c>
      <c r="J31" s="14">
        <v>45158</v>
      </c>
      <c r="K31" s="14">
        <v>45161</v>
      </c>
      <c r="L31" s="12">
        <v>8850292400</v>
      </c>
      <c r="M31" s="12"/>
      <c r="N31" s="12">
        <v>5</v>
      </c>
      <c r="O31" s="12">
        <v>1</v>
      </c>
      <c r="P31" s="12">
        <v>2</v>
      </c>
      <c r="Q31" s="12">
        <v>2</v>
      </c>
      <c r="R31" s="12">
        <v>2</v>
      </c>
      <c r="S31" s="12">
        <v>1</v>
      </c>
      <c r="T31" s="12">
        <v>2</v>
      </c>
      <c r="U31" s="12">
        <v>2</v>
      </c>
      <c r="V31" s="12">
        <v>2</v>
      </c>
      <c r="W31" s="12">
        <v>2</v>
      </c>
      <c r="X31" s="12" t="s">
        <v>324</v>
      </c>
      <c r="Y31" s="12">
        <v>10.6</v>
      </c>
      <c r="Z31" s="12"/>
      <c r="AA31" s="12"/>
      <c r="AB31" s="12">
        <v>6.22</v>
      </c>
      <c r="AC31" s="12">
        <v>6</v>
      </c>
      <c r="AD31" s="12">
        <v>184</v>
      </c>
      <c r="AE31" s="12">
        <v>107.8</v>
      </c>
      <c r="AF31" s="12">
        <v>39</v>
      </c>
      <c r="AG31" s="12">
        <v>37.200000000000003</v>
      </c>
      <c r="AH31" s="12">
        <v>186</v>
      </c>
      <c r="AI31" s="12">
        <v>690</v>
      </c>
      <c r="AJ31" s="12"/>
      <c r="AK31" s="12"/>
      <c r="AL31" s="12" t="s">
        <v>325</v>
      </c>
      <c r="AM31" s="12" t="s">
        <v>326</v>
      </c>
      <c r="AN31" s="12"/>
      <c r="AO31" s="12"/>
      <c r="AP31" s="12"/>
      <c r="AQ31" s="12"/>
      <c r="AR31" s="12"/>
      <c r="AS31" s="12"/>
      <c r="AT31" s="12"/>
      <c r="AU31" s="12">
        <v>1</v>
      </c>
      <c r="AV31" s="12">
        <v>1</v>
      </c>
      <c r="AW31" s="12">
        <v>2</v>
      </c>
      <c r="AX31" s="12">
        <v>4</v>
      </c>
      <c r="AY31" s="12">
        <v>8</v>
      </c>
      <c r="AZ31" s="12">
        <v>2</v>
      </c>
      <c r="BA31" s="12">
        <v>2</v>
      </c>
      <c r="BB31" s="12">
        <v>1</v>
      </c>
      <c r="BC31" s="5">
        <v>1</v>
      </c>
      <c r="BD31" s="12">
        <v>85</v>
      </c>
      <c r="BE31" s="12">
        <v>0</v>
      </c>
      <c r="BF31" s="12">
        <v>2</v>
      </c>
      <c r="BG31" s="12">
        <v>2</v>
      </c>
      <c r="BH31" s="12">
        <v>2</v>
      </c>
      <c r="BI31" s="12">
        <v>1</v>
      </c>
      <c r="BJ31" s="12">
        <v>1</v>
      </c>
      <c r="BK31" s="12">
        <v>1</v>
      </c>
      <c r="BL31" s="12">
        <v>1</v>
      </c>
      <c r="BM31" s="12">
        <v>2</v>
      </c>
      <c r="BN31" s="12">
        <v>2</v>
      </c>
      <c r="BO31" s="12">
        <v>2</v>
      </c>
      <c r="BP31" s="12">
        <v>1</v>
      </c>
      <c r="BQ31" s="12">
        <v>1</v>
      </c>
      <c r="BR31" s="12">
        <v>1</v>
      </c>
      <c r="BS31" s="12">
        <v>19</v>
      </c>
      <c r="BT31" s="12">
        <v>1</v>
      </c>
      <c r="BU31" s="12">
        <v>1</v>
      </c>
      <c r="BV31" s="12"/>
    </row>
    <row r="32" spans="1:74" x14ac:dyDescent="0.25">
      <c r="A32" s="12" t="s">
        <v>242</v>
      </c>
      <c r="B32" s="5" t="s">
        <v>716</v>
      </c>
      <c r="C32" s="5">
        <v>1</v>
      </c>
      <c r="D32" s="12">
        <v>2.6346699999999998</v>
      </c>
      <c r="E32" s="13">
        <v>190701897</v>
      </c>
      <c r="F32" s="12">
        <v>74</v>
      </c>
      <c r="G32" s="12">
        <v>2</v>
      </c>
      <c r="H32" s="14">
        <v>45159</v>
      </c>
      <c r="I32" s="16">
        <v>0.29166666666666669</v>
      </c>
      <c r="J32" s="14">
        <v>45160</v>
      </c>
      <c r="K32" s="14">
        <v>45164</v>
      </c>
      <c r="L32" s="12">
        <v>9850336332</v>
      </c>
      <c r="M32" s="12"/>
      <c r="N32" s="12">
        <v>2</v>
      </c>
      <c r="O32" s="12">
        <v>1</v>
      </c>
      <c r="P32" s="12">
        <v>1</v>
      </c>
      <c r="Q32" s="12">
        <v>2</v>
      </c>
      <c r="R32" s="12">
        <v>2</v>
      </c>
      <c r="S32" s="12">
        <v>1</v>
      </c>
      <c r="T32" s="12">
        <v>2</v>
      </c>
      <c r="U32" s="12">
        <v>2</v>
      </c>
      <c r="V32" s="12">
        <v>2</v>
      </c>
      <c r="W32" s="12">
        <v>2</v>
      </c>
      <c r="X32" s="12" t="s">
        <v>243</v>
      </c>
      <c r="Y32" s="12">
        <v>9.9</v>
      </c>
      <c r="Z32" s="12">
        <v>30.7</v>
      </c>
      <c r="AA32" s="12">
        <v>74.400000000000006</v>
      </c>
      <c r="AB32" s="12">
        <v>18.579999999999998</v>
      </c>
      <c r="AC32" s="12">
        <v>7.3</v>
      </c>
      <c r="AD32" s="12">
        <v>178</v>
      </c>
      <c r="AE32" s="12">
        <v>96</v>
      </c>
      <c r="AF32" s="12">
        <v>32</v>
      </c>
      <c r="AG32" s="12">
        <v>50</v>
      </c>
      <c r="AH32" s="12">
        <v>250</v>
      </c>
      <c r="AI32" s="12">
        <v>268</v>
      </c>
      <c r="AJ32" s="12"/>
      <c r="AK32" s="12"/>
      <c r="AL32" s="12" t="s">
        <v>244</v>
      </c>
      <c r="AM32" s="12" t="s">
        <v>245</v>
      </c>
      <c r="AN32" s="12"/>
      <c r="AO32" s="12"/>
      <c r="AP32" s="12"/>
      <c r="AQ32" s="12"/>
      <c r="AR32" s="12"/>
      <c r="AS32" s="12"/>
      <c r="AT32" s="12"/>
      <c r="AU32" s="12">
        <v>1</v>
      </c>
      <c r="AV32" s="12">
        <v>1</v>
      </c>
      <c r="AW32" s="12">
        <v>2</v>
      </c>
      <c r="AX32" s="12"/>
      <c r="AY32" s="12"/>
      <c r="AZ32" s="12"/>
      <c r="BA32" s="12"/>
      <c r="BB32" s="12">
        <v>2</v>
      </c>
      <c r="BC32" s="5">
        <v>1</v>
      </c>
      <c r="BD32" s="12">
        <v>70</v>
      </c>
      <c r="BE32" s="12">
        <v>0</v>
      </c>
      <c r="BF32" s="12">
        <v>2</v>
      </c>
      <c r="BG32" s="12">
        <v>2</v>
      </c>
      <c r="BH32" s="12">
        <v>2</v>
      </c>
      <c r="BI32" s="12">
        <v>1</v>
      </c>
      <c r="BJ32" s="12">
        <v>1</v>
      </c>
      <c r="BK32" s="12">
        <v>1</v>
      </c>
      <c r="BL32" s="12">
        <v>0</v>
      </c>
      <c r="BM32" s="12">
        <v>2</v>
      </c>
      <c r="BN32" s="12">
        <v>2</v>
      </c>
      <c r="BO32" s="12">
        <v>2</v>
      </c>
      <c r="BP32" s="12">
        <v>1</v>
      </c>
      <c r="BQ32" s="12">
        <v>1</v>
      </c>
      <c r="BR32" s="12">
        <v>1</v>
      </c>
      <c r="BS32" s="12">
        <v>18</v>
      </c>
      <c r="BT32" s="12">
        <v>0</v>
      </c>
      <c r="BU32" s="12">
        <v>0</v>
      </c>
      <c r="BV32" s="12"/>
    </row>
    <row r="33" spans="1:74" x14ac:dyDescent="0.25">
      <c r="A33" s="5" t="s">
        <v>308</v>
      </c>
      <c r="B33" s="5" t="s">
        <v>716</v>
      </c>
      <c r="C33" s="5">
        <v>1</v>
      </c>
      <c r="D33" s="5">
        <v>39.500599999999999</v>
      </c>
      <c r="E33" s="6">
        <v>230804009</v>
      </c>
      <c r="F33" s="5">
        <v>45</v>
      </c>
      <c r="G33" s="5">
        <v>2</v>
      </c>
      <c r="H33" s="7">
        <v>45163</v>
      </c>
      <c r="I33" s="11">
        <v>0.41666666666666669</v>
      </c>
      <c r="J33" s="7">
        <v>45163</v>
      </c>
      <c r="K33" s="7">
        <v>45166</v>
      </c>
      <c r="L33" s="5">
        <v>9850715056</v>
      </c>
      <c r="M33" s="5"/>
      <c r="N33" s="5">
        <v>11</v>
      </c>
      <c r="O33" s="5">
        <v>1</v>
      </c>
      <c r="P33" s="5">
        <v>2</v>
      </c>
      <c r="Q33" s="5">
        <v>2</v>
      </c>
      <c r="R33" s="5">
        <v>2</v>
      </c>
      <c r="S33" s="5">
        <v>2</v>
      </c>
      <c r="T33" s="5">
        <v>2</v>
      </c>
      <c r="U33" s="5">
        <v>2</v>
      </c>
      <c r="V33" s="5">
        <v>2</v>
      </c>
      <c r="W33" s="5">
        <v>2</v>
      </c>
      <c r="X33" s="5" t="s">
        <v>309</v>
      </c>
      <c r="Y33" s="5">
        <v>13.1</v>
      </c>
      <c r="Z33" s="5">
        <v>43.3</v>
      </c>
      <c r="AA33" s="5">
        <v>70.3</v>
      </c>
      <c r="AB33" s="5">
        <v>22.79</v>
      </c>
      <c r="AC33" s="5"/>
      <c r="AD33" s="5">
        <v>186</v>
      </c>
      <c r="AE33" s="5">
        <v>129.19999999999999</v>
      </c>
      <c r="AF33" s="5">
        <v>40</v>
      </c>
      <c r="AG33" s="5">
        <v>129.19999999999999</v>
      </c>
      <c r="AH33" s="5">
        <v>84</v>
      </c>
      <c r="AI33" s="5">
        <v>174</v>
      </c>
      <c r="AJ33" s="5"/>
      <c r="AK33" s="5"/>
      <c r="AL33" s="5" t="s">
        <v>310</v>
      </c>
      <c r="AM33" s="5" t="s">
        <v>311</v>
      </c>
      <c r="AN33" s="5"/>
      <c r="AO33" s="5"/>
      <c r="AP33" s="5"/>
      <c r="AQ33" s="5"/>
      <c r="AR33" s="5"/>
      <c r="AS33" s="5"/>
      <c r="AT33" s="5"/>
      <c r="AU33" s="5">
        <v>1</v>
      </c>
      <c r="AV33" s="5">
        <v>2</v>
      </c>
      <c r="AW33" s="5">
        <v>1</v>
      </c>
      <c r="AX33" s="5">
        <v>1</v>
      </c>
      <c r="AY33" s="5">
        <v>8</v>
      </c>
      <c r="AZ33" s="5">
        <v>2</v>
      </c>
      <c r="BA33" s="5">
        <v>2</v>
      </c>
      <c r="BB33" s="5">
        <v>0</v>
      </c>
      <c r="BC33" s="5">
        <v>1</v>
      </c>
      <c r="BD33" s="5">
        <v>100</v>
      </c>
      <c r="BE33" s="5">
        <v>1</v>
      </c>
      <c r="BF33" s="5">
        <v>2</v>
      </c>
      <c r="BG33" s="5">
        <v>2</v>
      </c>
      <c r="BH33" s="5">
        <v>2</v>
      </c>
      <c r="BI33" s="5">
        <v>1</v>
      </c>
      <c r="BJ33" s="5">
        <v>1</v>
      </c>
      <c r="BK33" s="5">
        <v>0</v>
      </c>
      <c r="BL33" s="5">
        <v>1</v>
      </c>
      <c r="BM33" s="5">
        <v>2</v>
      </c>
      <c r="BN33" s="5">
        <v>2</v>
      </c>
      <c r="BO33" s="5">
        <v>2</v>
      </c>
      <c r="BP33" s="5">
        <v>1</v>
      </c>
      <c r="BQ33" s="5">
        <v>1</v>
      </c>
      <c r="BR33" s="5">
        <v>1</v>
      </c>
      <c r="BS33" s="5">
        <v>19</v>
      </c>
      <c r="BT33" s="5">
        <v>1</v>
      </c>
      <c r="BU33" s="5">
        <v>1</v>
      </c>
      <c r="BV33" s="5"/>
    </row>
    <row r="34" spans="1:74" x14ac:dyDescent="0.25">
      <c r="A34" s="5" t="s">
        <v>395</v>
      </c>
      <c r="B34" s="5" t="s">
        <v>716</v>
      </c>
      <c r="C34" s="5">
        <v>1</v>
      </c>
      <c r="D34" s="5">
        <v>6.4316899999999997</v>
      </c>
      <c r="E34" s="6">
        <v>230804300</v>
      </c>
      <c r="F34" s="5">
        <v>27</v>
      </c>
      <c r="G34" s="5">
        <v>2</v>
      </c>
      <c r="H34" s="7">
        <v>45165</v>
      </c>
      <c r="I34" s="11">
        <v>0.9375</v>
      </c>
      <c r="J34" s="7">
        <v>45165</v>
      </c>
      <c r="K34" s="7">
        <v>45168</v>
      </c>
      <c r="L34" s="5">
        <v>9371381501</v>
      </c>
      <c r="M34" s="5"/>
      <c r="N34" s="5">
        <v>6</v>
      </c>
      <c r="O34" s="5">
        <v>2</v>
      </c>
      <c r="P34" s="5">
        <v>2</v>
      </c>
      <c r="Q34" s="5">
        <v>2</v>
      </c>
      <c r="R34" s="5">
        <v>2</v>
      </c>
      <c r="S34" s="5">
        <v>1</v>
      </c>
      <c r="T34" s="5">
        <v>2</v>
      </c>
      <c r="U34" s="5">
        <v>2</v>
      </c>
      <c r="V34" s="5">
        <v>2</v>
      </c>
      <c r="W34" s="5">
        <v>2</v>
      </c>
      <c r="X34" s="5" t="s">
        <v>396</v>
      </c>
      <c r="Y34" s="5">
        <v>9.6</v>
      </c>
      <c r="Z34" s="5">
        <v>31.4</v>
      </c>
      <c r="AA34" s="5"/>
      <c r="AB34" s="5">
        <v>11.35</v>
      </c>
      <c r="AC34" s="5">
        <v>5.3</v>
      </c>
      <c r="AD34" s="5">
        <v>125</v>
      </c>
      <c r="AE34" s="5">
        <v>66</v>
      </c>
      <c r="AF34" s="5">
        <v>34</v>
      </c>
      <c r="AG34" s="5">
        <v>24.2</v>
      </c>
      <c r="AH34" s="5">
        <v>121</v>
      </c>
      <c r="AI34" s="5"/>
      <c r="AJ34" s="5"/>
      <c r="AK34" s="5"/>
      <c r="AL34" s="5" t="s">
        <v>397</v>
      </c>
      <c r="AM34" s="5" t="s">
        <v>326</v>
      </c>
      <c r="AN34" s="5"/>
      <c r="AO34" s="5"/>
      <c r="AP34" s="5"/>
      <c r="AQ34" s="5"/>
      <c r="AR34" s="5"/>
      <c r="AS34" s="5"/>
      <c r="AT34" s="5"/>
      <c r="AU34" s="5">
        <v>1</v>
      </c>
      <c r="AV34" s="5">
        <v>1</v>
      </c>
      <c r="AW34" s="5">
        <v>2</v>
      </c>
      <c r="AX34" s="5">
        <v>4</v>
      </c>
      <c r="AY34" s="5">
        <v>8</v>
      </c>
      <c r="AZ34" s="5">
        <v>2</v>
      </c>
      <c r="BA34" s="5">
        <v>2</v>
      </c>
      <c r="BB34" s="5">
        <v>1</v>
      </c>
      <c r="BC34" s="5">
        <v>1</v>
      </c>
      <c r="BD34" s="5">
        <v>90</v>
      </c>
      <c r="BE34" s="5">
        <v>1</v>
      </c>
      <c r="BF34" s="5">
        <v>2</v>
      </c>
      <c r="BG34" s="5">
        <v>2</v>
      </c>
      <c r="BH34" s="5">
        <v>2</v>
      </c>
      <c r="BI34" s="5">
        <v>1</v>
      </c>
      <c r="BJ34" s="5">
        <v>1</v>
      </c>
      <c r="BK34" s="5">
        <v>1</v>
      </c>
      <c r="BL34" s="5">
        <v>1</v>
      </c>
      <c r="BM34" s="5">
        <v>2</v>
      </c>
      <c r="BN34" s="5">
        <v>2</v>
      </c>
      <c r="BO34" s="5">
        <v>2</v>
      </c>
      <c r="BP34" s="5">
        <v>1</v>
      </c>
      <c r="BQ34" s="5">
        <v>1</v>
      </c>
      <c r="BR34" s="5">
        <v>1</v>
      </c>
      <c r="BS34" s="5">
        <v>20</v>
      </c>
      <c r="BT34" s="5">
        <v>1</v>
      </c>
      <c r="BU34" s="5">
        <v>1</v>
      </c>
      <c r="BV34" s="5"/>
    </row>
    <row r="35" spans="1:74" x14ac:dyDescent="0.25">
      <c r="A35" s="5" t="s">
        <v>261</v>
      </c>
      <c r="B35" s="5" t="s">
        <v>716</v>
      </c>
      <c r="C35" s="5">
        <v>1</v>
      </c>
      <c r="D35" s="5">
        <v>1.4449700000000001</v>
      </c>
      <c r="E35" s="6">
        <v>210603906</v>
      </c>
      <c r="F35" s="5">
        <v>71</v>
      </c>
      <c r="G35" s="5">
        <v>2</v>
      </c>
      <c r="H35" s="7">
        <v>45167</v>
      </c>
      <c r="I35" s="11">
        <v>0.54166666666666663</v>
      </c>
      <c r="J35" s="7">
        <v>45168</v>
      </c>
      <c r="K35" s="7">
        <v>45170</v>
      </c>
      <c r="L35" s="5">
        <v>9922551013</v>
      </c>
      <c r="M35" s="5"/>
      <c r="N35" s="5">
        <v>9</v>
      </c>
      <c r="O35" s="5">
        <v>1</v>
      </c>
      <c r="P35" s="5">
        <v>1</v>
      </c>
      <c r="Q35" s="5">
        <v>2</v>
      </c>
      <c r="R35" s="5">
        <v>2</v>
      </c>
      <c r="S35" s="5">
        <v>1</v>
      </c>
      <c r="T35" s="5">
        <v>2</v>
      </c>
      <c r="U35" s="5">
        <v>2</v>
      </c>
      <c r="V35" s="5">
        <v>2</v>
      </c>
      <c r="W35" s="5">
        <v>2</v>
      </c>
      <c r="X35" s="5" t="s">
        <v>262</v>
      </c>
      <c r="Y35" s="5">
        <v>10.5</v>
      </c>
      <c r="Z35" s="5">
        <v>32.6</v>
      </c>
      <c r="AA35" s="5">
        <v>88.2</v>
      </c>
      <c r="AB35" s="5">
        <v>7.17</v>
      </c>
      <c r="AC35" s="5">
        <v>5.6</v>
      </c>
      <c r="AD35" s="5">
        <v>182</v>
      </c>
      <c r="AE35" s="5">
        <v>113.4</v>
      </c>
      <c r="AF35" s="5">
        <v>58</v>
      </c>
      <c r="AG35" s="5">
        <v>10.6</v>
      </c>
      <c r="AH35" s="5">
        <v>53</v>
      </c>
      <c r="AI35" s="5">
        <v>2000</v>
      </c>
      <c r="AJ35" s="5"/>
      <c r="AK35" s="5"/>
      <c r="AL35" s="5" t="s">
        <v>263</v>
      </c>
      <c r="AM35" s="5" t="s">
        <v>264</v>
      </c>
      <c r="AN35" s="5"/>
      <c r="AO35" s="5"/>
      <c r="AP35" s="5"/>
      <c r="AQ35" s="5"/>
      <c r="AR35" s="5"/>
      <c r="AS35" s="5"/>
      <c r="AT35" s="5"/>
      <c r="AU35" s="5">
        <v>1</v>
      </c>
      <c r="AV35" s="5">
        <v>2</v>
      </c>
      <c r="AW35" s="5">
        <v>2</v>
      </c>
      <c r="AX35" s="5"/>
      <c r="AY35" s="5"/>
      <c r="AZ35" s="5"/>
      <c r="BA35" s="5"/>
      <c r="BB35" s="5">
        <v>4</v>
      </c>
      <c r="BC35" s="5">
        <v>2</v>
      </c>
      <c r="BD35" s="5">
        <v>40</v>
      </c>
      <c r="BE35" s="5">
        <v>1</v>
      </c>
      <c r="BF35" s="5">
        <v>1</v>
      </c>
      <c r="BG35" s="5">
        <v>2</v>
      </c>
      <c r="BH35" s="5">
        <v>2</v>
      </c>
      <c r="BI35" s="5">
        <v>1</v>
      </c>
      <c r="BJ35" s="5">
        <v>1</v>
      </c>
      <c r="BK35" s="5">
        <v>1</v>
      </c>
      <c r="BL35" s="5">
        <v>1</v>
      </c>
      <c r="BM35" s="5">
        <v>1</v>
      </c>
      <c r="BN35" s="5">
        <v>2</v>
      </c>
      <c r="BO35" s="5">
        <v>2</v>
      </c>
      <c r="BP35" s="5">
        <v>1</v>
      </c>
      <c r="BQ35" s="5">
        <v>1</v>
      </c>
      <c r="BR35" s="5">
        <v>1</v>
      </c>
      <c r="BS35" s="5">
        <v>18</v>
      </c>
      <c r="BT35" s="5">
        <v>1</v>
      </c>
      <c r="BU35" s="5">
        <v>1</v>
      </c>
      <c r="BV35" s="5"/>
    </row>
    <row r="36" spans="1:74" x14ac:dyDescent="0.25">
      <c r="A36" s="5" t="s">
        <v>186</v>
      </c>
      <c r="B36" s="5" t="s">
        <v>716</v>
      </c>
      <c r="C36" s="5">
        <v>1</v>
      </c>
      <c r="D36" s="5">
        <v>5.3274599999999998E-2</v>
      </c>
      <c r="E36" s="6">
        <v>120205789</v>
      </c>
      <c r="F36" s="5">
        <v>78</v>
      </c>
      <c r="G36" s="5">
        <v>1</v>
      </c>
      <c r="H36" s="7">
        <v>45170</v>
      </c>
      <c r="I36" s="11">
        <v>0.49305555555555558</v>
      </c>
      <c r="J36" s="7">
        <v>45170</v>
      </c>
      <c r="K36" s="7">
        <v>45173</v>
      </c>
      <c r="L36" s="5">
        <v>9850007762</v>
      </c>
      <c r="M36" s="5"/>
      <c r="N36" s="5">
        <v>3</v>
      </c>
      <c r="O36" s="5">
        <v>1</v>
      </c>
      <c r="P36" s="5">
        <v>1</v>
      </c>
      <c r="Q36" s="5">
        <v>2</v>
      </c>
      <c r="R36" s="5">
        <v>2</v>
      </c>
      <c r="S36" s="5">
        <v>1</v>
      </c>
      <c r="T36" s="5">
        <v>2</v>
      </c>
      <c r="U36" s="5">
        <v>2</v>
      </c>
      <c r="V36" s="5">
        <v>2</v>
      </c>
      <c r="W36" s="5">
        <v>2</v>
      </c>
      <c r="X36" s="5" t="s">
        <v>187</v>
      </c>
      <c r="Y36" s="5">
        <v>13.2</v>
      </c>
      <c r="Z36" s="5"/>
      <c r="AA36" s="5"/>
      <c r="AB36" s="5">
        <v>28.51</v>
      </c>
      <c r="AC36" s="5">
        <v>8.1</v>
      </c>
      <c r="AD36" s="5">
        <v>111</v>
      </c>
      <c r="AE36" s="5">
        <v>54</v>
      </c>
      <c r="AF36" s="5">
        <v>33</v>
      </c>
      <c r="AG36" s="5"/>
      <c r="AH36" s="5">
        <v>117</v>
      </c>
      <c r="AI36" s="5">
        <v>328</v>
      </c>
      <c r="AJ36" s="5"/>
      <c r="AK36" s="5"/>
      <c r="AL36" s="5" t="s">
        <v>188</v>
      </c>
      <c r="AM36" s="5"/>
      <c r="AN36" s="5"/>
      <c r="AO36" s="5"/>
      <c r="AP36" s="5"/>
      <c r="AQ36" s="5"/>
      <c r="AR36" s="5"/>
      <c r="AS36" s="5"/>
      <c r="AT36" s="5"/>
      <c r="AU36" s="5">
        <v>2</v>
      </c>
      <c r="AV36" s="5">
        <v>2</v>
      </c>
      <c r="AW36" s="5">
        <v>2</v>
      </c>
      <c r="AX36" s="5">
        <v>4</v>
      </c>
      <c r="AY36" s="5">
        <v>8</v>
      </c>
      <c r="AZ36" s="5">
        <v>2</v>
      </c>
      <c r="BA36" s="5">
        <v>2</v>
      </c>
      <c r="BB36" s="5">
        <v>6</v>
      </c>
      <c r="BC36" s="5">
        <v>2</v>
      </c>
      <c r="BD36" s="5">
        <v>0</v>
      </c>
      <c r="BE36" s="5">
        <v>1</v>
      </c>
      <c r="BF36" s="5">
        <v>1</v>
      </c>
      <c r="BG36" s="5">
        <v>2</v>
      </c>
      <c r="BH36" s="5">
        <v>2</v>
      </c>
      <c r="BI36" s="5">
        <v>0</v>
      </c>
      <c r="BJ36" s="5">
        <v>1</v>
      </c>
      <c r="BK36" s="5">
        <v>1</v>
      </c>
      <c r="BL36" s="5">
        <v>1</v>
      </c>
      <c r="BM36" s="5">
        <v>1</v>
      </c>
      <c r="BN36" s="5">
        <v>2</v>
      </c>
      <c r="BO36" s="5">
        <v>2</v>
      </c>
      <c r="BP36" s="5">
        <v>1</v>
      </c>
      <c r="BQ36" s="5">
        <v>1</v>
      </c>
      <c r="BR36" s="5">
        <v>1</v>
      </c>
      <c r="BS36" s="5">
        <v>17</v>
      </c>
      <c r="BT36" s="5"/>
      <c r="BU36" s="5"/>
      <c r="BV36" s="5"/>
    </row>
    <row r="37" spans="1:74" x14ac:dyDescent="0.25">
      <c r="A37" s="5" t="s">
        <v>72</v>
      </c>
      <c r="B37" s="5" t="s">
        <v>716</v>
      </c>
      <c r="C37" s="5">
        <v>1</v>
      </c>
      <c r="D37" s="5">
        <v>1.8210200000000001</v>
      </c>
      <c r="E37" s="6">
        <v>230000000000</v>
      </c>
      <c r="F37" s="5">
        <v>62</v>
      </c>
      <c r="G37" s="5">
        <v>1</v>
      </c>
      <c r="H37" s="7">
        <v>45243</v>
      </c>
      <c r="I37" s="5"/>
      <c r="J37" s="7">
        <v>45243</v>
      </c>
      <c r="K37" s="7">
        <v>45245</v>
      </c>
      <c r="L37" s="5">
        <v>9158221010</v>
      </c>
      <c r="M37" s="5"/>
      <c r="N37" s="5">
        <v>2</v>
      </c>
      <c r="O37" s="5">
        <v>2</v>
      </c>
      <c r="P37" s="5">
        <v>1</v>
      </c>
      <c r="Q37" s="5">
        <v>2</v>
      </c>
      <c r="R37" s="5">
        <v>2</v>
      </c>
      <c r="S37" s="5">
        <v>2</v>
      </c>
      <c r="T37" s="5">
        <v>2</v>
      </c>
      <c r="U37" s="5">
        <v>2</v>
      </c>
      <c r="V37" s="5">
        <v>2</v>
      </c>
      <c r="W37" s="5">
        <v>2</v>
      </c>
      <c r="X37" s="5"/>
      <c r="Y37" s="5">
        <v>13.4</v>
      </c>
      <c r="Z37" s="5"/>
      <c r="AA37" s="5"/>
      <c r="AB37" s="5">
        <v>138</v>
      </c>
      <c r="AC37" s="5">
        <v>7.2</v>
      </c>
      <c r="AD37" s="5"/>
      <c r="AE37" s="5"/>
      <c r="AF37" s="5"/>
      <c r="AG37" s="5"/>
      <c r="AH37" s="5"/>
      <c r="AI37" s="5">
        <v>148</v>
      </c>
      <c r="AJ37" s="5"/>
      <c r="AK37" s="5"/>
      <c r="AL37" s="5" t="s">
        <v>73</v>
      </c>
      <c r="AM37" s="5"/>
      <c r="AN37" s="5"/>
      <c r="AO37" s="5"/>
      <c r="AP37" s="5"/>
      <c r="AQ37" s="5"/>
      <c r="AR37" s="5"/>
      <c r="AS37" s="5"/>
      <c r="AT37" s="5"/>
      <c r="AU37" s="5">
        <v>1</v>
      </c>
      <c r="AV37" s="5">
        <v>1</v>
      </c>
      <c r="AW37" s="5">
        <v>2</v>
      </c>
      <c r="AX37" s="5">
        <v>4</v>
      </c>
      <c r="AY37" s="5">
        <v>8</v>
      </c>
      <c r="AZ37" s="5">
        <v>2</v>
      </c>
      <c r="BA37" s="5">
        <v>2</v>
      </c>
      <c r="BB37" s="5">
        <v>4</v>
      </c>
      <c r="BC37" s="5">
        <v>2</v>
      </c>
      <c r="BD37" s="5">
        <v>60</v>
      </c>
      <c r="BE37" s="5">
        <v>1</v>
      </c>
      <c r="BF37" s="5">
        <v>2</v>
      </c>
      <c r="BG37" s="5">
        <v>2</v>
      </c>
      <c r="BH37" s="5">
        <v>2</v>
      </c>
      <c r="BI37" s="5">
        <v>1</v>
      </c>
      <c r="BJ37" s="5">
        <v>1</v>
      </c>
      <c r="BK37" s="5">
        <v>1</v>
      </c>
      <c r="BL37" s="5">
        <v>0</v>
      </c>
      <c r="BM37" s="5">
        <v>2</v>
      </c>
      <c r="BN37" s="5">
        <v>2</v>
      </c>
      <c r="BO37" s="5">
        <v>2</v>
      </c>
      <c r="BP37" s="5">
        <v>1</v>
      </c>
      <c r="BQ37" s="5">
        <v>1</v>
      </c>
      <c r="BR37" s="5">
        <v>1</v>
      </c>
      <c r="BS37" s="5">
        <v>19</v>
      </c>
      <c r="BT37" s="5">
        <v>1</v>
      </c>
      <c r="BU37" s="5">
        <v>0</v>
      </c>
      <c r="BV37" s="5" t="s">
        <v>74</v>
      </c>
    </row>
    <row r="38" spans="1:74" x14ac:dyDescent="0.25">
      <c r="A38" s="12" t="s">
        <v>419</v>
      </c>
      <c r="B38" s="5" t="s">
        <v>716</v>
      </c>
      <c r="C38" s="5">
        <v>1</v>
      </c>
      <c r="D38" s="12">
        <v>20.573699999999999</v>
      </c>
      <c r="E38" s="13">
        <v>230000000000</v>
      </c>
      <c r="F38" s="12">
        <v>81</v>
      </c>
      <c r="G38" s="12">
        <v>1</v>
      </c>
      <c r="H38" s="14">
        <v>45253</v>
      </c>
      <c r="I38" s="12"/>
      <c r="J38" s="14">
        <v>45253</v>
      </c>
      <c r="K38" s="14"/>
      <c r="L38" s="12"/>
      <c r="M38" s="12"/>
      <c r="N38" s="12">
        <v>2</v>
      </c>
      <c r="O38" s="12">
        <v>2</v>
      </c>
      <c r="P38" s="12">
        <v>2</v>
      </c>
      <c r="Q38" s="12">
        <v>2</v>
      </c>
      <c r="R38" s="12">
        <v>2</v>
      </c>
      <c r="S38" s="12">
        <v>2</v>
      </c>
      <c r="T38" s="12">
        <v>2</v>
      </c>
      <c r="U38" s="12">
        <v>2</v>
      </c>
      <c r="V38" s="12">
        <v>2</v>
      </c>
      <c r="W38" s="12">
        <v>2</v>
      </c>
      <c r="X38" s="12"/>
      <c r="Y38" s="12">
        <v>11.6</v>
      </c>
      <c r="Z38" s="12">
        <v>35.1</v>
      </c>
      <c r="AA38" s="12">
        <v>87.6</v>
      </c>
      <c r="AB38" s="12"/>
      <c r="AC38" s="12"/>
      <c r="AD38" s="12">
        <v>173</v>
      </c>
      <c r="AE38" s="12">
        <v>112</v>
      </c>
      <c r="AF38" s="12">
        <v>49</v>
      </c>
      <c r="AG38" s="12">
        <v>12</v>
      </c>
      <c r="AH38" s="12">
        <v>60</v>
      </c>
      <c r="AI38" s="12"/>
      <c r="AJ38" s="12"/>
      <c r="AK38" s="12"/>
      <c r="AL38" s="12" t="s">
        <v>420</v>
      </c>
      <c r="AM38" s="12" t="s">
        <v>421</v>
      </c>
      <c r="AN38" s="12"/>
      <c r="AO38" s="12"/>
      <c r="AP38" s="12"/>
      <c r="AQ38" s="12"/>
      <c r="AR38" s="12"/>
      <c r="AS38" s="12"/>
      <c r="AT38" s="12"/>
      <c r="AU38" s="12">
        <v>1</v>
      </c>
      <c r="AV38" s="12">
        <v>1</v>
      </c>
      <c r="AW38" s="12">
        <v>2</v>
      </c>
      <c r="AX38" s="12"/>
      <c r="AY38" s="12"/>
      <c r="AZ38" s="12"/>
      <c r="BA38" s="12"/>
      <c r="BB38" s="12">
        <v>1</v>
      </c>
      <c r="BC38" s="5">
        <v>1</v>
      </c>
      <c r="BD38" s="12">
        <v>100</v>
      </c>
      <c r="BE38" s="12">
        <v>1</v>
      </c>
      <c r="BF38" s="12">
        <v>2</v>
      </c>
      <c r="BG38" s="12">
        <v>2</v>
      </c>
      <c r="BH38" s="12">
        <v>2</v>
      </c>
      <c r="BI38" s="12">
        <v>1</v>
      </c>
      <c r="BJ38" s="12">
        <v>1</v>
      </c>
      <c r="BK38" s="12">
        <v>1</v>
      </c>
      <c r="BL38" s="12">
        <v>1</v>
      </c>
      <c r="BM38" s="12">
        <v>2</v>
      </c>
      <c r="BN38" s="12">
        <v>2</v>
      </c>
      <c r="BO38" s="12">
        <v>2</v>
      </c>
      <c r="BP38" s="12">
        <v>1</v>
      </c>
      <c r="BQ38" s="12">
        <v>1</v>
      </c>
      <c r="BR38" s="12">
        <v>1</v>
      </c>
      <c r="BS38" s="12">
        <v>20</v>
      </c>
      <c r="BT38" s="12">
        <v>0</v>
      </c>
      <c r="BU38" s="12">
        <v>0</v>
      </c>
      <c r="BV38" s="12"/>
    </row>
    <row r="39" spans="1:74" x14ac:dyDescent="0.25">
      <c r="A39" s="5" t="s">
        <v>349</v>
      </c>
      <c r="B39" s="5" t="s">
        <v>716</v>
      </c>
      <c r="C39" s="5">
        <v>1</v>
      </c>
      <c r="D39" s="5">
        <v>36.410600000000002</v>
      </c>
      <c r="E39" s="6">
        <v>230008777</v>
      </c>
      <c r="F39" s="5">
        <v>71</v>
      </c>
      <c r="G39" s="5">
        <v>2</v>
      </c>
      <c r="H39" s="7">
        <v>45253</v>
      </c>
      <c r="I39" s="11">
        <v>0.95833333333333337</v>
      </c>
      <c r="J39" s="7">
        <v>45254</v>
      </c>
      <c r="K39" s="7"/>
      <c r="L39" s="5">
        <v>8087680269</v>
      </c>
      <c r="M39" s="5">
        <v>9850997793</v>
      </c>
      <c r="N39" s="5">
        <v>10</v>
      </c>
      <c r="O39" s="5">
        <v>2</v>
      </c>
      <c r="P39" s="5">
        <v>2</v>
      </c>
      <c r="Q39" s="5">
        <v>2</v>
      </c>
      <c r="R39" s="5">
        <v>2</v>
      </c>
      <c r="S39" s="5">
        <v>2</v>
      </c>
      <c r="T39" s="5">
        <v>2</v>
      </c>
      <c r="U39" s="5">
        <v>2</v>
      </c>
      <c r="V39" s="5">
        <v>2</v>
      </c>
      <c r="W39" s="5">
        <v>2</v>
      </c>
      <c r="X39" s="5" t="s">
        <v>350</v>
      </c>
      <c r="Y39" s="5">
        <v>11.4</v>
      </c>
      <c r="Z39" s="5">
        <v>35</v>
      </c>
      <c r="AA39" s="5"/>
      <c r="AB39" s="5">
        <v>25.59</v>
      </c>
      <c r="AC39" s="5">
        <v>5.5</v>
      </c>
      <c r="AD39" s="5">
        <v>160</v>
      </c>
      <c r="AE39" s="5">
        <v>83.2</v>
      </c>
      <c r="AF39" s="5">
        <v>37</v>
      </c>
      <c r="AG39" s="5">
        <v>39.799999999999997</v>
      </c>
      <c r="AH39" s="5">
        <v>199</v>
      </c>
      <c r="AI39" s="5"/>
      <c r="AJ39" s="5"/>
      <c r="AK39" s="5"/>
      <c r="AL39" s="5" t="s">
        <v>351</v>
      </c>
      <c r="AM39" s="5" t="s">
        <v>122</v>
      </c>
      <c r="AN39" s="5"/>
      <c r="AO39" s="5"/>
      <c r="AP39" s="5"/>
      <c r="AQ39" s="5"/>
      <c r="AR39" s="5"/>
      <c r="AS39" s="5"/>
      <c r="AT39" s="5"/>
      <c r="AU39" s="5">
        <v>1</v>
      </c>
      <c r="AV39" s="5">
        <v>2</v>
      </c>
      <c r="AW39" s="5">
        <v>1</v>
      </c>
      <c r="AX39" s="5">
        <v>1</v>
      </c>
      <c r="AY39" s="5">
        <v>8</v>
      </c>
      <c r="AZ39" s="5">
        <v>1</v>
      </c>
      <c r="BA39" s="5">
        <v>2</v>
      </c>
      <c r="BB39" s="5">
        <v>1</v>
      </c>
      <c r="BC39" s="5">
        <v>1</v>
      </c>
      <c r="BD39" s="5">
        <v>100</v>
      </c>
      <c r="BE39" s="5">
        <v>1</v>
      </c>
      <c r="BF39" s="5">
        <v>2</v>
      </c>
      <c r="BG39" s="5">
        <v>1</v>
      </c>
      <c r="BH39" s="5">
        <v>2</v>
      </c>
      <c r="BI39" s="5">
        <v>1</v>
      </c>
      <c r="BJ39" s="5">
        <v>1</v>
      </c>
      <c r="BK39" s="5">
        <v>1</v>
      </c>
      <c r="BL39" s="5">
        <v>1</v>
      </c>
      <c r="BM39" s="5">
        <v>2</v>
      </c>
      <c r="BN39" s="5">
        <v>2</v>
      </c>
      <c r="BO39" s="5">
        <v>2</v>
      </c>
      <c r="BP39" s="5">
        <v>1</v>
      </c>
      <c r="BQ39" s="5">
        <v>1</v>
      </c>
      <c r="BR39" s="5">
        <v>1</v>
      </c>
      <c r="BS39" s="5">
        <v>19</v>
      </c>
      <c r="BT39" s="5">
        <v>1</v>
      </c>
      <c r="BU39" s="5">
        <v>0</v>
      </c>
      <c r="BV39" s="5"/>
    </row>
    <row r="40" spans="1:74" x14ac:dyDescent="0.25">
      <c r="A40" s="5" t="s">
        <v>391</v>
      </c>
      <c r="B40" s="5" t="s">
        <v>716</v>
      </c>
      <c r="C40" s="5">
        <v>1</v>
      </c>
      <c r="D40" s="5">
        <v>43.631900000000002</v>
      </c>
      <c r="E40" s="6">
        <v>230000000000</v>
      </c>
      <c r="F40" s="5">
        <v>75</v>
      </c>
      <c r="G40" s="5">
        <v>1</v>
      </c>
      <c r="H40" s="7">
        <v>45269</v>
      </c>
      <c r="I40" s="11">
        <v>0.625</v>
      </c>
      <c r="J40" s="7">
        <v>45269</v>
      </c>
      <c r="K40" s="7">
        <v>45270</v>
      </c>
      <c r="L40" s="5">
        <v>9604558802</v>
      </c>
      <c r="M40" s="5"/>
      <c r="N40" s="5">
        <v>20</v>
      </c>
      <c r="O40" s="5">
        <v>2</v>
      </c>
      <c r="P40" s="5">
        <v>2</v>
      </c>
      <c r="Q40" s="5">
        <v>2</v>
      </c>
      <c r="R40" s="5">
        <v>2</v>
      </c>
      <c r="S40" s="5">
        <v>2</v>
      </c>
      <c r="T40" s="5">
        <v>2</v>
      </c>
      <c r="U40" s="5">
        <v>2</v>
      </c>
      <c r="V40" s="5">
        <v>2</v>
      </c>
      <c r="W40" s="5">
        <v>2</v>
      </c>
      <c r="X40" s="5"/>
      <c r="Y40" s="5">
        <v>13.9</v>
      </c>
      <c r="Z40" s="5">
        <v>43.1</v>
      </c>
      <c r="AA40" s="5">
        <v>88.6</v>
      </c>
      <c r="AB40" s="5">
        <v>14.73</v>
      </c>
      <c r="AC40" s="5">
        <v>6.4</v>
      </c>
      <c r="AD40" s="5">
        <v>220</v>
      </c>
      <c r="AE40" s="5">
        <v>146</v>
      </c>
      <c r="AF40" s="5">
        <v>58</v>
      </c>
      <c r="AG40" s="5">
        <v>16</v>
      </c>
      <c r="AH40" s="5">
        <v>80</v>
      </c>
      <c r="AI40" s="5">
        <v>1613</v>
      </c>
      <c r="AJ40" s="5"/>
      <c r="AK40" s="5"/>
      <c r="AL40" s="5" t="s">
        <v>392</v>
      </c>
      <c r="AM40" s="5" t="s">
        <v>393</v>
      </c>
      <c r="AN40" s="5"/>
      <c r="AO40" s="5"/>
      <c r="AP40" s="5"/>
      <c r="AQ40" s="5"/>
      <c r="AR40" s="5"/>
      <c r="AS40" s="5"/>
      <c r="AT40" s="5"/>
      <c r="AU40" s="5">
        <v>1</v>
      </c>
      <c r="AV40" s="5">
        <v>1</v>
      </c>
      <c r="AW40" s="5">
        <v>2</v>
      </c>
      <c r="AX40" s="5"/>
      <c r="AY40" s="5"/>
      <c r="AZ40" s="5"/>
      <c r="BA40" s="5"/>
      <c r="BB40" s="5">
        <v>0</v>
      </c>
      <c r="BC40" s="5">
        <v>1</v>
      </c>
      <c r="BD40" s="5">
        <v>100</v>
      </c>
      <c r="BE40" s="5">
        <v>1</v>
      </c>
      <c r="BF40" s="5">
        <v>2</v>
      </c>
      <c r="BG40" s="5">
        <v>2</v>
      </c>
      <c r="BH40" s="5">
        <v>2</v>
      </c>
      <c r="BI40" s="5">
        <v>1</v>
      </c>
      <c r="BJ40" s="5">
        <v>1</v>
      </c>
      <c r="BK40" s="5">
        <v>1</v>
      </c>
      <c r="BL40" s="5">
        <v>1</v>
      </c>
      <c r="BM40" s="5">
        <v>2</v>
      </c>
      <c r="BN40" s="5">
        <v>2</v>
      </c>
      <c r="BO40" s="5">
        <v>2</v>
      </c>
      <c r="BP40" s="5">
        <v>1</v>
      </c>
      <c r="BQ40" s="5">
        <v>1</v>
      </c>
      <c r="BR40" s="5">
        <v>1</v>
      </c>
      <c r="BS40" s="5">
        <v>20</v>
      </c>
      <c r="BT40" s="5">
        <v>1</v>
      </c>
      <c r="BU40" s="5">
        <v>1</v>
      </c>
      <c r="BV40" s="5" t="s">
        <v>316</v>
      </c>
    </row>
    <row r="41" spans="1:74" x14ac:dyDescent="0.25">
      <c r="A41" s="5" t="s">
        <v>370</v>
      </c>
      <c r="B41" s="5" t="s">
        <v>716</v>
      </c>
      <c r="C41" s="5">
        <v>1</v>
      </c>
      <c r="D41" s="5">
        <v>0.52790199999999998</v>
      </c>
      <c r="E41" s="6">
        <v>230000000000</v>
      </c>
      <c r="F41" s="5">
        <v>67</v>
      </c>
      <c r="G41" s="5">
        <v>1</v>
      </c>
      <c r="H41" s="7">
        <v>45279</v>
      </c>
      <c r="I41" s="11">
        <v>0.375</v>
      </c>
      <c r="J41" s="7">
        <v>45279</v>
      </c>
      <c r="K41" s="7">
        <v>45282</v>
      </c>
      <c r="L41" s="5">
        <v>7661974723</v>
      </c>
      <c r="M41" s="5"/>
      <c r="N41" s="5">
        <v>3</v>
      </c>
      <c r="O41" s="5">
        <v>1</v>
      </c>
      <c r="P41" s="5">
        <v>1</v>
      </c>
      <c r="Q41" s="5">
        <v>2</v>
      </c>
      <c r="R41" s="5">
        <v>2</v>
      </c>
      <c r="S41" s="5">
        <v>1</v>
      </c>
      <c r="T41" s="5">
        <v>2</v>
      </c>
      <c r="U41" s="5">
        <v>2</v>
      </c>
      <c r="V41" s="5">
        <v>2</v>
      </c>
      <c r="W41" s="5">
        <v>2</v>
      </c>
      <c r="X41" s="5"/>
      <c r="Y41" s="5">
        <v>14.2</v>
      </c>
      <c r="Z41" s="5">
        <v>43.3</v>
      </c>
      <c r="AA41" s="5">
        <v>91.4</v>
      </c>
      <c r="AB41" s="5">
        <v>15.31</v>
      </c>
      <c r="AC41" s="5">
        <v>8.1</v>
      </c>
      <c r="AD41" s="5"/>
      <c r="AE41" s="5"/>
      <c r="AF41" s="5"/>
      <c r="AG41" s="5"/>
      <c r="AH41" s="5"/>
      <c r="AI41" s="5">
        <v>294</v>
      </c>
      <c r="AJ41" s="5"/>
      <c r="AK41" s="5"/>
      <c r="AL41" s="5" t="s">
        <v>371</v>
      </c>
      <c r="AM41" s="5" t="s">
        <v>372</v>
      </c>
      <c r="AN41" s="5"/>
      <c r="AO41" s="5"/>
      <c r="AP41" s="5"/>
      <c r="AQ41" s="5"/>
      <c r="AR41" s="5"/>
      <c r="AS41" s="5"/>
      <c r="AT41" s="5"/>
      <c r="AU41" s="5">
        <v>1</v>
      </c>
      <c r="AV41" s="5">
        <v>2</v>
      </c>
      <c r="AW41" s="5">
        <v>1</v>
      </c>
      <c r="AX41" s="5">
        <v>1</v>
      </c>
      <c r="AY41" s="5">
        <v>4</v>
      </c>
      <c r="AZ41" s="5">
        <v>2</v>
      </c>
      <c r="BA41" s="5">
        <v>2</v>
      </c>
      <c r="BB41" s="5">
        <v>6</v>
      </c>
      <c r="BC41" s="5">
        <v>2</v>
      </c>
      <c r="BD41" s="5">
        <v>0</v>
      </c>
      <c r="BE41" s="5">
        <v>1</v>
      </c>
      <c r="BF41" s="5">
        <v>1</v>
      </c>
      <c r="BG41" s="5">
        <v>2</v>
      </c>
      <c r="BH41" s="5">
        <v>2</v>
      </c>
      <c r="BI41" s="5">
        <v>1</v>
      </c>
      <c r="BJ41" s="5">
        <v>1</v>
      </c>
      <c r="BK41" s="5">
        <v>1</v>
      </c>
      <c r="BL41" s="5">
        <v>1</v>
      </c>
      <c r="BM41" s="5">
        <v>2</v>
      </c>
      <c r="BN41" s="5">
        <v>2</v>
      </c>
      <c r="BO41" s="5">
        <v>2</v>
      </c>
      <c r="BP41" s="5">
        <v>1</v>
      </c>
      <c r="BQ41" s="5">
        <v>1</v>
      </c>
      <c r="BR41" s="5">
        <v>1</v>
      </c>
      <c r="BS41" s="5">
        <v>19</v>
      </c>
      <c r="BT41" s="5">
        <v>1</v>
      </c>
      <c r="BU41" s="5">
        <v>1</v>
      </c>
      <c r="BV41" s="5" t="s">
        <v>373</v>
      </c>
    </row>
    <row r="42" spans="1:74" x14ac:dyDescent="0.25">
      <c r="A42" s="5" t="s">
        <v>433</v>
      </c>
      <c r="B42" s="5"/>
      <c r="C42" s="5">
        <v>1</v>
      </c>
      <c r="D42" s="5">
        <v>0.92019600000000001</v>
      </c>
      <c r="E42" s="6">
        <v>24000000000</v>
      </c>
      <c r="F42" s="5">
        <v>42</v>
      </c>
      <c r="G42" s="5">
        <v>1</v>
      </c>
      <c r="H42" s="7">
        <v>45324</v>
      </c>
      <c r="I42" s="20">
        <v>0.95833333333333337</v>
      </c>
      <c r="J42" s="7">
        <v>45325</v>
      </c>
      <c r="K42" s="7"/>
      <c r="L42" s="5">
        <v>9021456694</v>
      </c>
      <c r="M42" s="5"/>
      <c r="N42" s="5">
        <v>3</v>
      </c>
      <c r="O42" s="5">
        <v>1</v>
      </c>
      <c r="P42" s="5">
        <v>2</v>
      </c>
      <c r="Q42" s="5">
        <v>1</v>
      </c>
      <c r="R42" s="5">
        <v>2</v>
      </c>
      <c r="S42" s="5">
        <v>1</v>
      </c>
      <c r="T42" s="5">
        <v>2</v>
      </c>
      <c r="U42" s="5">
        <v>2</v>
      </c>
      <c r="V42" s="5">
        <v>2</v>
      </c>
      <c r="W42" s="5">
        <v>2</v>
      </c>
      <c r="X42" s="5"/>
      <c r="Y42" s="5"/>
      <c r="Z42" s="5"/>
      <c r="AA42" s="5"/>
      <c r="AB42" s="5"/>
      <c r="AC42" s="5"/>
      <c r="AD42" s="5"/>
      <c r="AE42" s="5"/>
      <c r="AF42" s="5"/>
      <c r="AG42" s="5"/>
      <c r="AH42" s="5"/>
      <c r="AI42" s="5"/>
      <c r="AJ42" s="5"/>
      <c r="AK42" s="5"/>
      <c r="AL42" s="5" t="s">
        <v>434</v>
      </c>
      <c r="AM42" s="5" t="s">
        <v>435</v>
      </c>
      <c r="AN42" s="5"/>
      <c r="AO42" s="5"/>
      <c r="AP42" s="5"/>
      <c r="AQ42" s="5"/>
      <c r="AR42" s="5"/>
      <c r="AS42" s="5"/>
      <c r="AT42" s="5"/>
      <c r="AU42" s="5">
        <v>1</v>
      </c>
      <c r="AV42" s="5">
        <v>1</v>
      </c>
      <c r="AW42" s="5">
        <v>2</v>
      </c>
      <c r="AX42" s="5">
        <v>4</v>
      </c>
      <c r="AY42" s="5">
        <v>8</v>
      </c>
      <c r="AZ42" s="5">
        <v>2</v>
      </c>
      <c r="BA42" s="5">
        <v>2</v>
      </c>
      <c r="BB42" s="5">
        <v>4</v>
      </c>
      <c r="BC42" s="5">
        <v>2</v>
      </c>
      <c r="BD42" s="5">
        <v>15</v>
      </c>
      <c r="BE42" s="5">
        <v>1</v>
      </c>
      <c r="BF42" s="5">
        <v>2</v>
      </c>
      <c r="BG42" s="5">
        <v>2</v>
      </c>
      <c r="BH42" s="5">
        <v>2</v>
      </c>
      <c r="BI42" s="5">
        <v>1</v>
      </c>
      <c r="BJ42" s="5">
        <v>1</v>
      </c>
      <c r="BK42" s="5">
        <v>1</v>
      </c>
      <c r="BL42" s="5">
        <v>1</v>
      </c>
      <c r="BM42" s="5">
        <v>2</v>
      </c>
      <c r="BN42" s="5">
        <v>2</v>
      </c>
      <c r="BO42" s="5">
        <v>2</v>
      </c>
      <c r="BP42" s="5">
        <v>1</v>
      </c>
      <c r="BQ42" s="5">
        <v>1</v>
      </c>
      <c r="BR42" s="5">
        <v>1</v>
      </c>
      <c r="BS42" s="5">
        <v>20</v>
      </c>
      <c r="BT42" s="5">
        <v>1</v>
      </c>
      <c r="BU42" s="5">
        <v>1</v>
      </c>
      <c r="BV42" s="5"/>
    </row>
    <row r="43" spans="1:74" x14ac:dyDescent="0.25">
      <c r="A43" s="5" t="s">
        <v>152</v>
      </c>
      <c r="B43" s="5"/>
      <c r="C43" s="5">
        <v>1</v>
      </c>
      <c r="D43" s="5">
        <v>0.49941200000000002</v>
      </c>
      <c r="E43" s="6">
        <v>23000001514</v>
      </c>
      <c r="F43" s="5">
        <v>80</v>
      </c>
      <c r="G43" s="5">
        <v>1</v>
      </c>
      <c r="H43" s="7">
        <v>45323</v>
      </c>
      <c r="I43" s="20">
        <v>0.20833333333333334</v>
      </c>
      <c r="J43" s="7">
        <v>45327</v>
      </c>
      <c r="K43" s="7"/>
      <c r="L43" s="5">
        <v>8888837024</v>
      </c>
      <c r="M43" s="5"/>
      <c r="N43" s="5"/>
      <c r="O43" s="5">
        <v>1</v>
      </c>
      <c r="P43" s="5">
        <v>1</v>
      </c>
      <c r="Q43" s="5">
        <v>2</v>
      </c>
      <c r="R43" s="5">
        <v>2</v>
      </c>
      <c r="S43" s="5">
        <v>2</v>
      </c>
      <c r="T43" s="5">
        <v>2</v>
      </c>
      <c r="U43" s="5">
        <v>2</v>
      </c>
      <c r="V43" s="5">
        <v>2</v>
      </c>
      <c r="W43" s="5">
        <v>2</v>
      </c>
      <c r="X43" s="5" t="s">
        <v>153</v>
      </c>
      <c r="Y43" s="5">
        <v>13</v>
      </c>
      <c r="Z43" s="5">
        <v>38</v>
      </c>
      <c r="AA43" s="5">
        <v>83</v>
      </c>
      <c r="AB43" s="5">
        <v>27</v>
      </c>
      <c r="AC43" s="5">
        <v>11.1</v>
      </c>
      <c r="AD43" s="5">
        <v>276</v>
      </c>
      <c r="AE43" s="5">
        <v>168</v>
      </c>
      <c r="AF43" s="5">
        <v>43</v>
      </c>
      <c r="AG43" s="5">
        <v>323</v>
      </c>
      <c r="AH43" s="5">
        <v>64</v>
      </c>
      <c r="AI43" s="5">
        <v>305</v>
      </c>
      <c r="AJ43" s="5"/>
      <c r="AK43" s="5"/>
      <c r="AL43" s="5" t="s">
        <v>154</v>
      </c>
      <c r="AM43" s="5"/>
      <c r="AN43" s="5"/>
      <c r="AO43" s="5"/>
      <c r="AP43" s="5"/>
      <c r="AQ43" s="5"/>
      <c r="AR43" s="5"/>
      <c r="AS43" s="5"/>
      <c r="AT43" s="5"/>
      <c r="AU43" s="5">
        <v>1</v>
      </c>
      <c r="AV43" s="5">
        <v>2</v>
      </c>
      <c r="AW43" s="5">
        <v>2</v>
      </c>
      <c r="AX43" s="5"/>
      <c r="AY43" s="5"/>
      <c r="AZ43" s="5">
        <v>1</v>
      </c>
      <c r="BA43" s="5"/>
      <c r="BB43" s="5">
        <v>6</v>
      </c>
      <c r="BC43" s="5">
        <v>2</v>
      </c>
      <c r="BD43" s="5">
        <v>0</v>
      </c>
      <c r="BE43" s="5">
        <v>0</v>
      </c>
      <c r="BF43" s="5">
        <v>1</v>
      </c>
      <c r="BG43" s="5">
        <v>2</v>
      </c>
      <c r="BH43" s="5">
        <v>2</v>
      </c>
      <c r="BI43" s="5">
        <v>1</v>
      </c>
      <c r="BJ43" s="5">
        <v>1</v>
      </c>
      <c r="BK43" s="5">
        <v>1</v>
      </c>
      <c r="BL43" s="5">
        <v>0</v>
      </c>
      <c r="BM43" s="5">
        <v>1</v>
      </c>
      <c r="BN43" s="5">
        <v>2</v>
      </c>
      <c r="BO43" s="5">
        <v>2</v>
      </c>
      <c r="BP43" s="5">
        <v>1</v>
      </c>
      <c r="BQ43" s="5">
        <v>1</v>
      </c>
      <c r="BR43" s="5">
        <v>1</v>
      </c>
      <c r="BS43" s="5">
        <v>16</v>
      </c>
      <c r="BT43" s="5">
        <v>0</v>
      </c>
      <c r="BU43" s="5">
        <v>0</v>
      </c>
      <c r="BV43" s="5"/>
    </row>
    <row r="44" spans="1:74" x14ac:dyDescent="0.25">
      <c r="A44" s="5" t="s">
        <v>447</v>
      </c>
      <c r="B44" s="5"/>
      <c r="C44" s="5">
        <v>1</v>
      </c>
      <c r="D44" s="5">
        <v>1.6671800000000001</v>
      </c>
      <c r="E44" s="6"/>
      <c r="F44" s="5">
        <v>40</v>
      </c>
      <c r="G44" s="5">
        <v>1</v>
      </c>
      <c r="H44" s="7">
        <v>45326</v>
      </c>
      <c r="I44" s="20">
        <v>0.75</v>
      </c>
      <c r="J44" s="7">
        <v>45327</v>
      </c>
      <c r="K44" s="7"/>
      <c r="L44" s="5">
        <v>8007484789</v>
      </c>
      <c r="M44" s="5"/>
      <c r="N44" s="5">
        <v>3</v>
      </c>
      <c r="O44" s="5">
        <v>1</v>
      </c>
      <c r="P44" s="5">
        <v>2</v>
      </c>
      <c r="Q44" s="5">
        <v>2</v>
      </c>
      <c r="R44" s="5">
        <v>2</v>
      </c>
      <c r="S44" s="5">
        <v>2</v>
      </c>
      <c r="T44" s="5">
        <v>2</v>
      </c>
      <c r="U44" s="5">
        <v>2</v>
      </c>
      <c r="V44" s="5">
        <v>2</v>
      </c>
      <c r="W44" s="5">
        <v>2</v>
      </c>
      <c r="X44" s="5"/>
      <c r="Y44" s="5">
        <v>17.100000000000001</v>
      </c>
      <c r="Z44" s="5">
        <v>50.5</v>
      </c>
      <c r="AA44" s="5">
        <v>79</v>
      </c>
      <c r="AB44" s="5">
        <v>30.8</v>
      </c>
      <c r="AC44" s="5">
        <v>6.7</v>
      </c>
      <c r="AD44" s="5"/>
      <c r="AE44" s="5"/>
      <c r="AF44" s="5"/>
      <c r="AG44" s="5"/>
      <c r="AH44" s="5"/>
      <c r="AI44" s="5">
        <v>225</v>
      </c>
      <c r="AJ44" s="5"/>
      <c r="AK44" s="5"/>
      <c r="AL44" s="5" t="s">
        <v>448</v>
      </c>
      <c r="AM44" s="5" t="s">
        <v>449</v>
      </c>
      <c r="AN44" s="5"/>
      <c r="AO44" s="5"/>
      <c r="AP44" s="5"/>
      <c r="AQ44" s="5"/>
      <c r="AR44" s="5"/>
      <c r="AS44" s="5"/>
      <c r="AT44" s="5"/>
      <c r="AU44" s="5">
        <v>1</v>
      </c>
      <c r="AV44" s="5">
        <v>2</v>
      </c>
      <c r="AW44" s="5">
        <v>1</v>
      </c>
      <c r="AX44" s="5">
        <v>1</v>
      </c>
      <c r="AY44" s="5"/>
      <c r="AZ44" s="5"/>
      <c r="BA44" s="5"/>
      <c r="BB44" s="5">
        <v>4</v>
      </c>
      <c r="BC44" s="5">
        <v>2</v>
      </c>
      <c r="BD44" s="5">
        <v>50</v>
      </c>
      <c r="BE44" s="5">
        <v>1</v>
      </c>
      <c r="BF44" s="5">
        <v>2</v>
      </c>
      <c r="BG44" s="5">
        <v>2</v>
      </c>
      <c r="BH44" s="5">
        <v>2</v>
      </c>
      <c r="BI44" s="5">
        <v>1</v>
      </c>
      <c r="BJ44" s="5">
        <v>1</v>
      </c>
      <c r="BK44" s="5">
        <v>1</v>
      </c>
      <c r="BL44" s="5">
        <v>1</v>
      </c>
      <c r="BM44" s="5">
        <v>2</v>
      </c>
      <c r="BN44" s="5">
        <v>2</v>
      </c>
      <c r="BO44" s="5">
        <v>2</v>
      </c>
      <c r="BP44" s="5">
        <v>1</v>
      </c>
      <c r="BQ44" s="5">
        <v>1</v>
      </c>
      <c r="BR44" s="5">
        <v>1</v>
      </c>
      <c r="BS44" s="5">
        <v>20</v>
      </c>
      <c r="BT44" s="5">
        <v>1</v>
      </c>
      <c r="BU44" s="5">
        <v>1</v>
      </c>
      <c r="BV44" s="5"/>
    </row>
    <row r="45" spans="1:74" x14ac:dyDescent="0.25">
      <c r="A45" s="12" t="s">
        <v>339</v>
      </c>
      <c r="B45" s="12" t="s">
        <v>717</v>
      </c>
      <c r="C45" s="5">
        <v>1</v>
      </c>
      <c r="D45" s="12">
        <v>14.218</v>
      </c>
      <c r="E45" s="13">
        <v>24000009353</v>
      </c>
      <c r="F45" s="12">
        <v>65</v>
      </c>
      <c r="G45" s="12">
        <v>1</v>
      </c>
      <c r="H45" s="14">
        <v>45332</v>
      </c>
      <c r="I45" s="15">
        <v>0.91666666666666663</v>
      </c>
      <c r="J45" s="14">
        <v>45333</v>
      </c>
      <c r="K45" s="14"/>
      <c r="L45" s="12">
        <v>8788726932</v>
      </c>
      <c r="M45" s="12"/>
      <c r="N45" s="12">
        <v>9</v>
      </c>
      <c r="O45" s="12">
        <v>1</v>
      </c>
      <c r="P45" s="12">
        <v>1</v>
      </c>
      <c r="Q45" s="12">
        <v>2</v>
      </c>
      <c r="R45" s="12">
        <v>2</v>
      </c>
      <c r="S45" s="12">
        <v>2</v>
      </c>
      <c r="T45" s="12">
        <v>2</v>
      </c>
      <c r="U45" s="12">
        <v>2</v>
      </c>
      <c r="V45" s="12">
        <v>1</v>
      </c>
      <c r="W45" s="12">
        <v>2</v>
      </c>
      <c r="X45" s="12" t="s">
        <v>340</v>
      </c>
      <c r="Y45" s="12">
        <v>9.6</v>
      </c>
      <c r="Z45" s="12">
        <v>30.3</v>
      </c>
      <c r="AA45" s="12">
        <v>70</v>
      </c>
      <c r="AB45" s="12">
        <v>9.6999999999999993</v>
      </c>
      <c r="AC45" s="12">
        <v>8.6</v>
      </c>
      <c r="AD45" s="12">
        <v>101</v>
      </c>
      <c r="AE45" s="12">
        <v>44</v>
      </c>
      <c r="AF45" s="12">
        <v>31</v>
      </c>
      <c r="AG45" s="12">
        <v>126</v>
      </c>
      <c r="AH45" s="12">
        <v>25</v>
      </c>
      <c r="AI45" s="12">
        <v>363</v>
      </c>
      <c r="AJ45" s="12"/>
      <c r="AK45" s="12"/>
      <c r="AL45" s="12" t="s">
        <v>341</v>
      </c>
      <c r="AM45" s="12" t="s">
        <v>342</v>
      </c>
      <c r="AN45" s="12"/>
      <c r="AO45" s="12"/>
      <c r="AP45" s="12"/>
      <c r="AQ45" s="12"/>
      <c r="AR45" s="12"/>
      <c r="AS45" s="12"/>
      <c r="AT45" s="12"/>
      <c r="AU45" s="12">
        <v>1</v>
      </c>
      <c r="AV45" s="12">
        <v>1</v>
      </c>
      <c r="AW45" s="12">
        <v>2</v>
      </c>
      <c r="AX45" s="12"/>
      <c r="AY45" s="12">
        <v>1</v>
      </c>
      <c r="AZ45" s="12"/>
      <c r="BA45" s="12"/>
      <c r="BB45" s="12">
        <v>1</v>
      </c>
      <c r="BC45" s="5">
        <v>1</v>
      </c>
      <c r="BD45" s="12">
        <v>100</v>
      </c>
      <c r="BE45" s="12">
        <v>1</v>
      </c>
      <c r="BF45" s="12">
        <v>2</v>
      </c>
      <c r="BG45" s="12">
        <v>2</v>
      </c>
      <c r="BH45" s="12">
        <v>1</v>
      </c>
      <c r="BI45" s="12">
        <v>1</v>
      </c>
      <c r="BJ45" s="12">
        <v>1</v>
      </c>
      <c r="BK45" s="12">
        <v>1</v>
      </c>
      <c r="BL45" s="12">
        <v>1</v>
      </c>
      <c r="BM45" s="12">
        <v>2</v>
      </c>
      <c r="BN45" s="12">
        <v>2</v>
      </c>
      <c r="BO45" s="12">
        <v>2</v>
      </c>
      <c r="BP45" s="12">
        <v>1</v>
      </c>
      <c r="BQ45" s="12">
        <v>1</v>
      </c>
      <c r="BR45" s="12">
        <v>1</v>
      </c>
      <c r="BS45" s="12">
        <v>19</v>
      </c>
      <c r="BT45" s="12">
        <v>1</v>
      </c>
      <c r="BU45" s="12">
        <v>1</v>
      </c>
      <c r="BV45" s="12" t="s">
        <v>295</v>
      </c>
    </row>
    <row r="46" spans="1:74" x14ac:dyDescent="0.25">
      <c r="A46" s="22" t="s">
        <v>712</v>
      </c>
      <c r="B46" s="22"/>
      <c r="C46" s="22"/>
      <c r="D46" s="22"/>
      <c r="E46" s="22">
        <v>240000056684</v>
      </c>
      <c r="F46" s="22">
        <v>55</v>
      </c>
      <c r="G46" s="22">
        <v>1</v>
      </c>
      <c r="H46" s="23">
        <v>45470</v>
      </c>
      <c r="I46" s="24">
        <v>0.16666666666666666</v>
      </c>
      <c r="J46" s="23">
        <v>45471</v>
      </c>
      <c r="K46" s="23">
        <v>45473</v>
      </c>
      <c r="L46" s="22">
        <v>8262962259</v>
      </c>
      <c r="M46" s="22"/>
      <c r="N46" s="22"/>
      <c r="O46" s="22">
        <v>1</v>
      </c>
      <c r="P46" s="22">
        <v>2</v>
      </c>
      <c r="Q46" s="22">
        <v>2</v>
      </c>
      <c r="R46" s="22">
        <v>2</v>
      </c>
      <c r="S46" s="22">
        <v>2</v>
      </c>
      <c r="T46" s="22">
        <v>2</v>
      </c>
      <c r="U46" s="22">
        <v>2</v>
      </c>
      <c r="V46" s="22">
        <v>1</v>
      </c>
      <c r="W46" s="22">
        <v>2</v>
      </c>
      <c r="X46" s="22" t="s">
        <v>713</v>
      </c>
      <c r="Y46" s="22">
        <v>12</v>
      </c>
      <c r="Z46" s="22">
        <v>36.6</v>
      </c>
      <c r="AA46" s="22">
        <v>89.5</v>
      </c>
      <c r="AB46" s="22">
        <v>18.36</v>
      </c>
      <c r="AC46" s="22">
        <v>9.3000000000000007</v>
      </c>
      <c r="AD46" s="22"/>
      <c r="AE46" s="22"/>
      <c r="AF46" s="22"/>
      <c r="AG46" s="22"/>
      <c r="AH46" s="22"/>
      <c r="AI46" s="22">
        <v>2000</v>
      </c>
      <c r="AJ46" s="22"/>
      <c r="AK46" s="22"/>
      <c r="AL46" s="22" t="s">
        <v>714</v>
      </c>
      <c r="AM46" s="22" t="s">
        <v>715</v>
      </c>
      <c r="AN46" s="22"/>
      <c r="AO46" s="22">
        <v>9</v>
      </c>
      <c r="AP46" s="22"/>
      <c r="AQ46" s="22"/>
      <c r="AR46" s="22"/>
      <c r="AS46" s="22"/>
      <c r="AT46" s="22" t="s">
        <v>715</v>
      </c>
      <c r="AU46" s="22">
        <v>1</v>
      </c>
      <c r="AV46" s="22">
        <v>1</v>
      </c>
      <c r="AW46" s="22">
        <v>2</v>
      </c>
      <c r="AX46" s="22"/>
      <c r="AY46" s="22"/>
      <c r="AZ46" s="22"/>
      <c r="BA46" s="22"/>
      <c r="BB46" s="22">
        <v>0</v>
      </c>
      <c r="BC46" s="22">
        <v>100</v>
      </c>
      <c r="BD46" s="22"/>
      <c r="BE46" s="22"/>
      <c r="BF46" s="22"/>
      <c r="BG46" s="22"/>
      <c r="BH46" s="22"/>
      <c r="BI46" s="22"/>
      <c r="BJ46" s="22"/>
      <c r="BK46" s="22"/>
      <c r="BL46" s="22"/>
      <c r="BM46" s="22"/>
      <c r="BN46" s="22"/>
      <c r="BO46" s="22"/>
      <c r="BP46" s="22"/>
    </row>
    <row r="47" spans="1:74" x14ac:dyDescent="0.25">
      <c r="A47" s="22" t="s">
        <v>708</v>
      </c>
      <c r="B47" s="22"/>
      <c r="C47" s="22"/>
      <c r="D47" s="22"/>
      <c r="E47" s="22">
        <v>240000056787</v>
      </c>
      <c r="F47" s="22">
        <v>70</v>
      </c>
      <c r="G47" s="22">
        <v>2</v>
      </c>
      <c r="H47" s="23">
        <v>45471</v>
      </c>
      <c r="I47" s="24">
        <v>0.27083333333333331</v>
      </c>
      <c r="J47" s="23">
        <v>45472</v>
      </c>
      <c r="K47" s="23">
        <v>45474</v>
      </c>
      <c r="L47" s="22">
        <v>9975357000</v>
      </c>
      <c r="M47" s="22"/>
      <c r="N47" s="22">
        <v>0</v>
      </c>
      <c r="O47" s="22">
        <v>1</v>
      </c>
      <c r="P47" s="22">
        <v>2</v>
      </c>
      <c r="Q47" s="22">
        <v>2</v>
      </c>
      <c r="R47" s="22">
        <v>2</v>
      </c>
      <c r="S47" s="22">
        <v>1</v>
      </c>
      <c r="T47" s="22">
        <v>2</v>
      </c>
      <c r="U47" s="22">
        <v>2</v>
      </c>
      <c r="V47" s="22">
        <v>2</v>
      </c>
      <c r="W47" s="22">
        <v>2</v>
      </c>
      <c r="X47" s="22"/>
      <c r="Y47" s="22">
        <v>12.6</v>
      </c>
      <c r="Z47" s="22">
        <v>38.1</v>
      </c>
      <c r="AA47" s="22">
        <v>84</v>
      </c>
      <c r="AB47" s="22">
        <v>20.7</v>
      </c>
      <c r="AC47" s="22">
        <v>6.1</v>
      </c>
      <c r="AD47" s="22">
        <v>193</v>
      </c>
      <c r="AE47" s="22">
        <v>115.8</v>
      </c>
      <c r="AF47" s="22">
        <v>38</v>
      </c>
      <c r="AG47" s="22">
        <v>39.200000000000003</v>
      </c>
      <c r="AH47" s="22">
        <v>196</v>
      </c>
      <c r="AI47" s="22">
        <v>169</v>
      </c>
      <c r="AJ47" s="22"/>
      <c r="AK47" s="22"/>
      <c r="AL47" s="22" t="s">
        <v>709</v>
      </c>
      <c r="AM47" s="22" t="s">
        <v>710</v>
      </c>
      <c r="AN47" s="22" t="s">
        <v>711</v>
      </c>
      <c r="AO47" s="22">
        <v>10</v>
      </c>
      <c r="AP47" s="22"/>
      <c r="AQ47" s="22"/>
      <c r="AR47" s="22"/>
      <c r="AS47" s="22"/>
      <c r="AT47" s="22"/>
      <c r="AU47" s="22">
        <v>1</v>
      </c>
      <c r="AV47" s="22">
        <v>1</v>
      </c>
      <c r="AW47" s="22">
        <v>2</v>
      </c>
      <c r="AX47" s="22"/>
      <c r="AY47" s="22"/>
      <c r="AZ47" s="22"/>
      <c r="BA47" s="22"/>
      <c r="BB47" s="22">
        <v>0</v>
      </c>
      <c r="BC47" s="22">
        <v>100</v>
      </c>
      <c r="BD47" s="22"/>
      <c r="BE47" s="22"/>
      <c r="BF47" s="22"/>
      <c r="BG47" s="22"/>
      <c r="BH47" s="22"/>
      <c r="BI47" s="22"/>
      <c r="BJ47" s="22"/>
      <c r="BK47" s="22"/>
      <c r="BL47" s="22"/>
      <c r="BM47" s="22"/>
      <c r="BN47" s="22"/>
      <c r="BO47" s="22"/>
      <c r="BP47" s="22"/>
    </row>
  </sheetData>
  <sortState xmlns:xlrd2="http://schemas.microsoft.com/office/spreadsheetml/2017/richdata2" ref="A2:BV48">
    <sortCondition ref="J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MRI+MRS 203</vt:lpstr>
      <vt:lpstr>MRI+CTA+MRS 161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Aditya Ghadge</cp:lastModifiedBy>
  <dcterms:created xsi:type="dcterms:W3CDTF">2024-10-10T16:25:50Z</dcterms:created>
  <dcterms:modified xsi:type="dcterms:W3CDTF">2024-10-14T17:37:14Z</dcterms:modified>
</cp:coreProperties>
</file>